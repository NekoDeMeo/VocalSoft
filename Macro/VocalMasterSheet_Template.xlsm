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Neko\PycharmProjects\VocalSoft\Macro\"/>
    </mc:Choice>
  </mc:AlternateContent>
  <xr:revisionPtr revIDLastSave="0" documentId="13_ncr:1_{1E021C95-8077-40C7-8135-D06DB37BC87F}" xr6:coauthVersionLast="47" xr6:coauthVersionMax="47" xr10:uidLastSave="{00000000-0000-0000-0000-000000000000}"/>
  <bookViews>
    <workbookView xWindow="-120" yWindow="-120" windowWidth="29040" windowHeight="15990" activeTab="1"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2" l="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D15" i="13"/>
  <c r="D20" i="13"/>
  <c r="D2" i="13"/>
  <c r="D5" i="13"/>
  <c r="D8" i="13"/>
  <c r="D11" i="13"/>
  <c r="D16" i="13"/>
  <c r="D21" i="13" l="1"/>
  <c r="D7" i="13"/>
  <c r="D6" i="13"/>
  <c r="D18" i="13"/>
  <c r="D17" i="13"/>
  <c r="D13" i="13"/>
  <c r="D12" i="13"/>
  <c r="D10" i="13" l="1"/>
  <c r="D9" i="13"/>
  <c r="D3" i="13"/>
  <c r="D4" i="13"/>
  <c r="D4" i="8"/>
  <c r="D3" i="8"/>
  <c r="B7" i="5" l="1"/>
  <c r="C160" i="2" l="1"/>
  <c r="E161" i="2"/>
  <c r="C179" i="2"/>
  <c r="E179" i="2"/>
  <c r="C193" i="2"/>
  <c r="E203" i="2"/>
  <c r="D205" i="2"/>
  <c r="D214" i="2"/>
  <c r="C221" i="2"/>
  <c r="C241"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<sst xmlns="http://schemas.openxmlformats.org/spreadsheetml/2006/main" count="19847" uniqueCount="9325">
  <si>
    <t>&lt;break time="1s"/&gt;</t>
    <phoneticPr fontId="7"/>
  </si>
  <si>
    <t>Kanji 1</t>
  </si>
  <si>
    <t>Kanji 2</t>
  </si>
  <si>
    <t>Kanji 3</t>
  </si>
  <si>
    <t>Kanji 4</t>
  </si>
  <si>
    <t>漢字</t>
  </si>
  <si>
    <t>Han Viet</t>
    <phoneticPr fontId="10"/>
  </si>
  <si>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</si>
  <si>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</si>
  <si>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</si>
  <si>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</si>
  <si>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</si>
  <si>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</si>
  <si>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</si>
  <si>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</si>
  <si>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</si>
  <si>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</si>
  <si>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</si>
  <si>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</si>
  <si>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</si>
  <si>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</si>
  <si>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</si>
  <si>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</si>
  <si>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</si>
  <si>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</si>
  <si>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</si>
  <si>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</si>
  <si>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</si>
  <si>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</si>
  <si>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</si>
  <si>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</si>
  <si>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</si>
  <si>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</si>
  <si>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</si>
  <si>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</si>
  <si>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</si>
  <si>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</si>
  <si>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</si>
  <si>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</si>
  <si>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</si>
  <si>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</si>
  <si>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</si>
  <si>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</si>
  <si>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</si>
  <si>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</si>
  <si>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</si>
  <si>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</si>
  <si>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</si>
  <si>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</si>
  <si>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</si>
  <si>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</si>
  <si>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</si>
  <si>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</si>
  <si>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</si>
  <si>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</si>
  <si>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</si>
  <si>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</si>
  <si>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</si>
  <si>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</si>
  <si>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</si>
  <si>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</si>
  <si>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</si>
  <si>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</si>
  <si>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</si>
  <si>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</si>
  <si>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</si>
  <si>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</si>
  <si>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</si>
  <si>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</si>
  <si>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</si>
  <si>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</si>
  <si>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10"/>
  </si>
  <si>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</si>
  <si>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</si>
  <si>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</si>
  <si>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</si>
  <si>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</si>
  <si>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</si>
  <si>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</si>
  <si>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</si>
  <si>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</si>
  <si>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</si>
  <si>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</si>
  <si>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</si>
  <si>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</si>
  <si>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</si>
  <si>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</si>
  <si>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</si>
  <si>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</si>
  <si>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</si>
  <si>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</si>
  <si>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</si>
  <si>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</si>
  <si>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</si>
  <si>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</si>
  <si>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</si>
  <si>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</si>
  <si>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</si>
  <si>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</si>
  <si>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</si>
  <si>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</si>
  <si>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</si>
  <si>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</si>
  <si>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</si>
  <si>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</si>
  <si>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</si>
  <si>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</si>
  <si>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</si>
  <si>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</si>
  <si>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</si>
  <si>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</si>
  <si>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</si>
  <si>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</si>
  <si>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</si>
  <si>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</si>
  <si>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</si>
  <si>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</si>
  <si>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</si>
  <si>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</si>
  <si>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</si>
  <si>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</si>
  <si>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</si>
  <si>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</si>
  <si>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</si>
  <si>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</si>
  <si>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</si>
  <si>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</si>
  <si>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</si>
  <si>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</si>
  <si>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</si>
  <si>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</si>
  <si>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</si>
  <si>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</si>
  <si>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</si>
  <si>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</si>
  <si>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</si>
  <si>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</si>
  <si>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</si>
  <si>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</si>
  <si>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</si>
  <si>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</si>
  <si>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</si>
  <si>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</si>
  <si>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</si>
  <si>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</si>
  <si>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</si>
  <si>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</si>
  <si>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</si>
  <si>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</si>
  <si>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</si>
  <si>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</si>
  <si>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</si>
  <si>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</si>
  <si>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</si>
  <si>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</si>
  <si>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</si>
  <si>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</si>
  <si>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</si>
  <si>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</si>
  <si>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</si>
  <si>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</si>
  <si>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</si>
  <si>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</si>
  <si>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</si>
  <si>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</si>
  <si>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</si>
  <si>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</si>
  <si>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</si>
  <si>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</si>
  <si>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</si>
  <si>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</si>
  <si>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</si>
  <si>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</si>
  <si>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</si>
  <si>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</si>
  <si>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</si>
  <si>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</si>
  <si>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</si>
  <si>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</si>
  <si>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</si>
  <si>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</si>
  <si>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</si>
  <si>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</si>
  <si>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</si>
  <si>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</si>
  <si>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</si>
  <si>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</si>
  <si>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</si>
  <si>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</si>
  <si>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</si>
  <si>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</si>
  <si>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</si>
  <si>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</si>
  <si>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</si>
  <si>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</si>
  <si>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</si>
  <si>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</si>
  <si>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</si>
  <si>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</si>
  <si>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</si>
  <si>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</si>
  <si>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</si>
  <si>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</si>
  <si>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</si>
  <si>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</si>
  <si>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</si>
  <si>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</si>
  <si>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</si>
  <si>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</si>
  <si>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</si>
  <si>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</si>
  <si>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</si>
  <si>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</si>
  <si>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</si>
  <si>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</si>
  <si>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</si>
  <si>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</si>
  <si>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</si>
  <si>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</si>
  <si>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</si>
  <si>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</si>
  <si>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</si>
  <si>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</si>
  <si>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</si>
  <si>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</si>
  <si>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</si>
  <si>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</si>
  <si>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</si>
  <si>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</si>
  <si>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</si>
  <si>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</si>
  <si>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</si>
  <si>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</si>
  <si>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</si>
  <si>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</si>
  <si>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</si>
  <si>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</si>
  <si>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</si>
  <si>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</si>
  <si>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</si>
  <si>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</si>
  <si>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</si>
  <si>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</si>
  <si>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</si>
  <si>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</si>
  <si>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</si>
  <si>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</si>
  <si>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</si>
  <si>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</si>
  <si>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</si>
  <si>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</si>
  <si>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</si>
  <si>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</si>
  <si>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</si>
  <si>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</si>
  <si>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</si>
  <si>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</si>
  <si>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</si>
  <si>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</si>
  <si>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</si>
  <si>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</si>
  <si>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</si>
  <si>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</si>
  <si>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</si>
  <si>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</si>
  <si>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</si>
  <si>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</si>
  <si>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</si>
  <si>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</si>
  <si>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</si>
  <si>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</si>
  <si>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</si>
  <si>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</si>
  <si>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</si>
  <si>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</si>
  <si>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</si>
  <si>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</si>
  <si>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</si>
  <si>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</si>
  <si>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</si>
  <si>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</si>
  <si>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</si>
  <si>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</si>
  <si>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</si>
  <si>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</si>
  <si>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</si>
  <si>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</si>
  <si>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</si>
  <si>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</si>
  <si>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</si>
  <si>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</si>
  <si>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</si>
  <si>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</si>
  <si>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</si>
  <si>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</si>
  <si>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</si>
  <si>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</si>
  <si>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</si>
  <si>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</si>
  <si>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</si>
  <si>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</si>
  <si>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</si>
  <si>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</si>
  <si>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</si>
  <si>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</si>
  <si>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</si>
  <si>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</si>
  <si>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</si>
  <si>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</si>
  <si>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</si>
  <si>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</si>
  <si>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</si>
  <si>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</si>
  <si>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</si>
  <si>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</si>
  <si>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</si>
  <si>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</si>
  <si>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</si>
  <si>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</si>
  <si>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</si>
  <si>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</si>
  <si>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</si>
  <si>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</si>
  <si>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</si>
  <si>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</si>
  <si>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</si>
  <si>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</si>
  <si>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</si>
  <si>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</si>
  <si>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</si>
  <si>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</si>
  <si>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</si>
  <si>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</si>
  <si>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</si>
  <si>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</si>
  <si>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</si>
  <si>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</si>
  <si>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</si>
  <si>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</si>
  <si>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</si>
  <si>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</si>
  <si>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</si>
  <si>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</si>
  <si>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</si>
  <si>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</si>
  <si>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</si>
  <si>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</si>
  <si>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</si>
  <si>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</si>
  <si>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</si>
  <si>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</si>
  <si>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</si>
  <si>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</si>
  <si>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</si>
  <si>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</si>
  <si>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</si>
  <si>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</si>
  <si>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</si>
  <si>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</si>
  <si>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</si>
  <si>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</si>
  <si>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</si>
  <si>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</si>
  <si>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</si>
  <si>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</si>
  <si>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</si>
  <si>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</si>
  <si>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</si>
  <si>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</si>
  <si>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</si>
  <si>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</si>
  <si>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</si>
  <si>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</si>
  <si>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</si>
  <si>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</si>
  <si>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</si>
  <si>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</si>
  <si>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</si>
  <si>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</si>
  <si>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</si>
  <si>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</si>
  <si>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</si>
  <si>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</si>
  <si>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</si>
  <si>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</si>
  <si>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</si>
  <si>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</si>
  <si>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</si>
  <si>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</si>
  <si>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</si>
  <si>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</si>
  <si>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</si>
  <si>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</si>
  <si>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</si>
  <si>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</si>
  <si>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</si>
  <si>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</si>
  <si>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</si>
  <si>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</si>
  <si>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</si>
  <si>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</si>
  <si>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</si>
  <si>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</si>
  <si>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</si>
  <si>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</si>
  <si>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</si>
  <si>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</si>
  <si>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</si>
  <si>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</si>
  <si>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</si>
  <si>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</si>
  <si>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</si>
  <si>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</si>
  <si>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</si>
  <si>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</si>
  <si>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</si>
  <si>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</si>
  <si>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</si>
  <si>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</si>
  <si>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</si>
  <si>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</si>
  <si>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</si>
  <si>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</si>
  <si>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</si>
  <si>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</si>
  <si>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</si>
  <si>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</si>
  <si>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</si>
  <si>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</si>
  <si>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</si>
  <si>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</si>
  <si>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</si>
  <si>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</si>
  <si>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</si>
  <si>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</si>
  <si>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</si>
  <si>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</si>
  <si>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</si>
  <si>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</si>
  <si>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</si>
  <si>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</si>
  <si>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</si>
  <si>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</si>
  <si>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</si>
  <si>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</si>
  <si>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</si>
  <si>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</si>
  <si>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</si>
  <si>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</si>
  <si>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</si>
  <si>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</si>
  <si>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</si>
  <si>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</si>
  <si>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</si>
  <si>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</si>
  <si>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</si>
  <si>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</si>
  <si>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</si>
  <si>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</si>
  <si>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</si>
  <si>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</si>
  <si>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</si>
  <si>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</si>
  <si>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</si>
  <si>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</si>
  <si>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</si>
  <si>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</si>
  <si>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</si>
  <si>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</si>
  <si>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</si>
  <si>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</si>
  <si>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</si>
  <si>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</si>
  <si>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</si>
  <si>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</si>
  <si>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</si>
  <si>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</si>
  <si>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</si>
  <si>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</si>
  <si>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</si>
  <si>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</si>
  <si>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</si>
  <si>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</si>
  <si>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</si>
  <si>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</si>
  <si>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</si>
  <si>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</si>
  <si>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</si>
  <si>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</si>
  <si>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</si>
  <si>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</si>
  <si>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</si>
  <si>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</si>
  <si>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</si>
  <si>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</si>
  <si>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</si>
  <si>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</si>
  <si>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</si>
  <si>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</si>
  <si>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</si>
  <si>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</si>
  <si>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</si>
  <si>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</si>
  <si>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</si>
  <si>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</si>
  <si>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</si>
  <si>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</si>
  <si>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</si>
  <si>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</si>
  <si>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</si>
  <si>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</si>
  <si>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</si>
  <si>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</si>
  <si>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</si>
  <si>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</si>
  <si>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</si>
  <si>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</si>
  <si>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</si>
  <si>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</si>
  <si>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</si>
  <si>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</si>
  <si>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</si>
  <si>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</si>
  <si>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</si>
  <si>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</si>
  <si>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</si>
  <si>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</si>
  <si>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</si>
  <si>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</si>
  <si>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</si>
  <si>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</si>
  <si>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</si>
  <si>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</si>
  <si>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</si>
  <si>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</si>
  <si>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</si>
  <si>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</si>
  <si>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</si>
  <si>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</si>
  <si>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</si>
  <si>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</si>
  <si>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</si>
  <si>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</si>
  <si>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</si>
  <si>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</si>
  <si>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</si>
  <si>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</si>
  <si>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</si>
  <si>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</si>
  <si>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</si>
  <si>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</si>
  <si>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</si>
  <si>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</si>
  <si>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</si>
  <si>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</si>
  <si>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</si>
  <si>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</si>
  <si>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</si>
  <si>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</si>
  <si>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</si>
  <si>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</si>
  <si>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</si>
  <si>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</si>
  <si>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</si>
  <si>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</si>
  <si>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</si>
  <si>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</si>
  <si>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</si>
  <si>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</si>
  <si>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</si>
  <si>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</si>
  <si>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</si>
  <si>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</si>
  <si>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</si>
  <si>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</si>
  <si>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</si>
  <si>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</si>
  <si>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</si>
  <si>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</si>
  <si>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</si>
  <si>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</si>
  <si>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</si>
  <si>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</si>
  <si>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</si>
  <si>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</si>
  <si>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</si>
  <si>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</si>
  <si>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</si>
  <si>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</si>
  <si>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</si>
  <si>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</si>
  <si>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</si>
  <si>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</si>
  <si>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</si>
  <si>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</si>
  <si>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</si>
  <si>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</si>
  <si>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</si>
  <si>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</si>
  <si>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</si>
  <si>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</si>
  <si>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</si>
  <si>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</si>
  <si>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</si>
  <si>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</si>
  <si>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</si>
  <si>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</si>
  <si>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</si>
  <si>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</si>
  <si>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</si>
  <si>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</si>
  <si>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</si>
  <si>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</si>
  <si>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</si>
  <si>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</si>
  <si>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</si>
  <si>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</si>
  <si>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</si>
  <si>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</si>
  <si>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</si>
  <si>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</si>
  <si>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</si>
  <si>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</si>
  <si>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</si>
  <si>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</si>
  <si>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</si>
  <si>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</si>
  <si>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</si>
  <si>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</si>
  <si>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</si>
  <si>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</si>
  <si>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</si>
  <si>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</si>
  <si>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</si>
  <si>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</si>
  <si>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</si>
  <si>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</si>
  <si>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</si>
  <si>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</si>
  <si>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</si>
  <si>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</si>
  <si>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</si>
  <si>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</si>
  <si>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</si>
  <si>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</si>
  <si>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</si>
  <si>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</si>
  <si>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</si>
  <si>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</si>
  <si>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</si>
  <si>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</si>
  <si>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</si>
  <si>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</si>
  <si>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</si>
  <si>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</si>
  <si>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</si>
  <si>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</si>
  <si>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</si>
  <si>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</si>
  <si>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</si>
  <si>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</si>
  <si>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</si>
  <si>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</si>
  <si>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</si>
  <si>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</si>
  <si>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</si>
  <si>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</si>
  <si>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</si>
  <si>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</si>
  <si>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</si>
  <si>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</si>
  <si>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</si>
  <si>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</si>
  <si>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</si>
  <si>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</si>
  <si>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</si>
  <si>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</si>
  <si>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</si>
  <si>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</si>
  <si>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</si>
  <si>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</si>
  <si>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</si>
  <si>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</si>
  <si>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</si>
  <si>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</si>
  <si>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</si>
  <si>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</si>
  <si>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</si>
  <si>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</si>
  <si>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</si>
  <si>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</si>
  <si>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</si>
  <si>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</si>
  <si>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</si>
  <si>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</si>
  <si>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</si>
  <si>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</si>
  <si>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</si>
  <si>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</si>
  <si>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</si>
  <si>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</si>
  <si>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</si>
  <si>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</si>
  <si>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</si>
  <si>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</si>
  <si>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</si>
  <si>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</si>
  <si>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</si>
  <si>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</si>
  <si>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</si>
  <si>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</si>
  <si>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</si>
  <si>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</si>
  <si>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</si>
  <si>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</si>
  <si>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</si>
  <si>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</si>
  <si>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</si>
  <si>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</si>
  <si>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</si>
  <si>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</si>
  <si>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</si>
  <si>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</si>
  <si>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</si>
  <si>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</si>
  <si>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</si>
  <si>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</si>
  <si>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</si>
  <si>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</si>
  <si>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</si>
  <si>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</si>
  <si>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</si>
  <si>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</si>
  <si>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</si>
  <si>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</si>
  <si>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</si>
  <si>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</si>
  <si>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</si>
  <si>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</si>
  <si>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</si>
  <si>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</si>
  <si>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</si>
  <si>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</si>
  <si>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</si>
  <si>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</si>
  <si>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</si>
  <si>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</si>
  <si>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</si>
  <si>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</si>
  <si>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</si>
  <si>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</si>
  <si>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</si>
  <si>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</si>
  <si>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</si>
  <si>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</si>
  <si>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</si>
  <si>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</si>
  <si>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</si>
  <si>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</si>
  <si>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</si>
  <si>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</si>
  <si>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</si>
  <si>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</si>
  <si>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</si>
  <si>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</si>
  <si>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</si>
  <si>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</si>
  <si>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</si>
  <si>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</si>
  <si>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</si>
  <si>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</si>
  <si>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</si>
  <si>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</si>
  <si>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</si>
  <si>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</si>
  <si>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</si>
  <si>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</si>
  <si>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</si>
  <si>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</si>
  <si>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</si>
  <si>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</si>
  <si>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</si>
  <si>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</si>
  <si>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</si>
  <si>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</si>
  <si>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</si>
  <si>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</si>
  <si>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</si>
  <si>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</si>
  <si>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</si>
  <si>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</si>
  <si>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</si>
  <si>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</si>
  <si>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</si>
  <si>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</si>
  <si>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</si>
  <si>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</si>
  <si>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</si>
  <si>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</si>
  <si>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</si>
  <si>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</si>
  <si>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</si>
  <si>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</si>
  <si>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</si>
  <si>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</si>
  <si>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</si>
  <si>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</si>
  <si>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</si>
  <si>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</si>
  <si>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</si>
  <si>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</si>
  <si>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</si>
  <si>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</si>
  <si>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</si>
  <si>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</si>
  <si>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</si>
  <si>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</si>
  <si>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</si>
  <si>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</si>
  <si>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</si>
  <si>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</si>
  <si>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</si>
  <si>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</si>
  <si>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</si>
  <si>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</si>
  <si>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</si>
  <si>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</si>
  <si>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</si>
  <si>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</si>
  <si>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</si>
  <si>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</si>
  <si>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</si>
  <si>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</si>
  <si>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</si>
  <si>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</si>
  <si>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</si>
  <si>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</si>
  <si>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</si>
  <si>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</si>
  <si>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</si>
  <si>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</si>
  <si>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</si>
  <si>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</si>
  <si>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</si>
  <si>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</si>
  <si>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</si>
  <si>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</si>
  <si>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</si>
  <si>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</si>
  <si>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</si>
  <si>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</si>
  <si>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</si>
  <si>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</si>
  <si>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</si>
  <si>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</si>
  <si>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</si>
  <si>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</si>
  <si>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</si>
  <si>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</si>
  <si>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</si>
  <si>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</si>
  <si>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</si>
  <si>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</si>
  <si>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</si>
  <si>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</si>
  <si>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</si>
  <si>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</si>
  <si>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</si>
  <si>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</si>
  <si>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</si>
  <si>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</si>
  <si>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</si>
  <si>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</si>
  <si>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</si>
  <si>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</si>
  <si>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</si>
  <si>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</si>
  <si>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</si>
  <si>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</si>
  <si>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</si>
  <si>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</si>
  <si>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</si>
  <si>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</si>
  <si>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</si>
  <si>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</si>
  <si>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</si>
  <si>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</si>
  <si>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</si>
  <si>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</si>
  <si>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</si>
  <si>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</si>
  <si>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</si>
  <si>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</si>
  <si>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</si>
  <si>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</si>
  <si>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</si>
  <si>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</si>
  <si>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</si>
  <si>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</si>
  <si>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</si>
  <si>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</si>
  <si>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</si>
  <si>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</si>
  <si>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</si>
  <si>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</si>
  <si>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</si>
  <si>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</si>
  <si>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</si>
  <si>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</si>
  <si>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</si>
  <si>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</si>
  <si>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</si>
  <si>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</si>
  <si>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</si>
  <si>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</si>
  <si>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</si>
  <si>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</si>
  <si>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</si>
  <si>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</si>
  <si>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</si>
  <si>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</si>
  <si>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</si>
  <si>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</si>
  <si>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</si>
  <si>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</si>
  <si>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</si>
  <si>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</si>
  <si>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</si>
  <si>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</si>
  <si>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</si>
  <si>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</si>
  <si>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</si>
  <si>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</si>
  <si>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</si>
  <si>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</si>
  <si>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</si>
  <si>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</si>
  <si>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</si>
  <si>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</si>
  <si>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</si>
  <si>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</si>
  <si>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</si>
  <si>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</si>
  <si>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</si>
  <si>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</si>
  <si>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</si>
  <si>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</si>
  <si>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</si>
  <si>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</si>
  <si>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</si>
  <si>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</si>
  <si>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</si>
  <si>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</si>
  <si>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</si>
  <si>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</si>
  <si>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</si>
  <si>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</si>
  <si>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</si>
  <si>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</si>
  <si>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</si>
  <si>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</si>
  <si>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</si>
  <si>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</si>
  <si>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</si>
  <si>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</si>
  <si>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</si>
  <si>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</si>
  <si>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</si>
  <si>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</si>
  <si>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</si>
  <si>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</si>
  <si>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</si>
  <si>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</si>
  <si>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</si>
  <si>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</si>
  <si>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</si>
  <si>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</si>
  <si>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</si>
  <si>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</si>
  <si>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</si>
  <si>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</si>
  <si>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</si>
  <si>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</si>
  <si>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</si>
  <si>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</si>
  <si>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</si>
  <si>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</si>
  <si>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</si>
  <si>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</si>
  <si>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</si>
  <si>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</si>
  <si>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</si>
  <si>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</si>
  <si>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</si>
  <si>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</si>
  <si>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</si>
  <si>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</si>
  <si>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</si>
  <si>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</si>
  <si>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</si>
  <si>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</si>
  <si>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</si>
  <si>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</si>
  <si>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</si>
  <si>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</si>
  <si>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</si>
  <si>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</si>
  <si>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</si>
  <si>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</si>
  <si>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</si>
  <si>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</si>
  <si>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</si>
  <si>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</si>
  <si>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</si>
  <si>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</si>
  <si>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</si>
  <si>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</si>
  <si>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</si>
  <si>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</si>
  <si>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</si>
  <si>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</si>
  <si>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</si>
  <si>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</si>
  <si>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</si>
  <si>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</si>
  <si>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</si>
  <si>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</si>
  <si>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</si>
  <si>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</si>
  <si>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</si>
  <si>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</si>
  <si>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</si>
  <si>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</si>
  <si>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</si>
  <si>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</si>
  <si>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</si>
  <si>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</si>
  <si>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</si>
  <si>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</si>
  <si>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</si>
  <si>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</si>
  <si>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</si>
  <si>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</si>
  <si>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</si>
  <si>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</si>
  <si>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</si>
  <si>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</si>
  <si>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</si>
  <si>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</si>
  <si>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</si>
  <si>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</si>
  <si>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</si>
  <si>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</si>
  <si>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</si>
  <si>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</si>
  <si>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</si>
  <si>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</si>
  <si>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</si>
  <si>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</si>
  <si>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</si>
  <si>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</si>
  <si>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</si>
  <si>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</si>
  <si>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</si>
  <si>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</si>
  <si>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</si>
  <si>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</si>
  <si>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</si>
  <si>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</si>
  <si>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</si>
  <si>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</si>
  <si>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</si>
  <si>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</si>
  <si>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</si>
  <si>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</si>
  <si>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</si>
  <si>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</si>
  <si>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</si>
  <si>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</si>
  <si>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</si>
  <si>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</si>
  <si>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</si>
  <si>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</si>
  <si>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</si>
  <si>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</si>
  <si>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</si>
  <si>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</si>
  <si>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</si>
  <si>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</si>
  <si>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</si>
  <si>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</si>
  <si>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</si>
  <si>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</si>
  <si>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</si>
  <si>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</si>
  <si>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</si>
  <si>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</si>
  <si>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</si>
  <si>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</si>
  <si>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</si>
  <si>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</si>
  <si>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</si>
  <si>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</si>
  <si>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</si>
  <si>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</si>
  <si>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</si>
  <si>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</si>
  <si>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</si>
  <si>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</si>
  <si>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</si>
  <si>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</si>
  <si>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</si>
  <si>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</si>
  <si>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</si>
  <si>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</si>
  <si>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</si>
  <si>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</si>
  <si>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</si>
  <si>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</si>
  <si>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</si>
  <si>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</si>
  <si>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</si>
  <si>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</si>
  <si>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</si>
  <si>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</si>
  <si>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</si>
  <si>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</si>
  <si>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</si>
  <si>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</si>
  <si>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</si>
  <si>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</si>
  <si>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</si>
  <si>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</si>
  <si>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</si>
  <si>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</si>
  <si>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</si>
  <si>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</si>
  <si>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</si>
  <si>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</si>
  <si>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</si>
  <si>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</si>
  <si>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</si>
  <si>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</si>
  <si>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</si>
  <si>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</si>
  <si>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</si>
  <si>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</si>
  <si>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</si>
  <si>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</si>
  <si>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</si>
  <si>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</si>
  <si>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</si>
  <si>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</si>
  <si>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</si>
  <si>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</si>
  <si>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</si>
  <si>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</si>
  <si>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</si>
  <si>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</si>
  <si>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</si>
  <si>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</si>
  <si>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</si>
  <si>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</si>
  <si>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</si>
  <si>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</si>
  <si>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</si>
  <si>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</si>
  <si>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</si>
  <si>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</si>
  <si>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</si>
  <si>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</si>
  <si>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</si>
  <si>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</si>
  <si>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</si>
  <si>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</si>
  <si>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</si>
  <si>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</si>
  <si>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</si>
  <si>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</si>
  <si>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</si>
  <si>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</si>
  <si>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</si>
  <si>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</si>
  <si>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</si>
  <si>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</si>
  <si>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</si>
  <si>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</si>
  <si>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</si>
  <si>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</si>
  <si>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</si>
  <si>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</si>
  <si>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</si>
  <si>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</si>
  <si>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</si>
  <si>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</si>
  <si>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</si>
  <si>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</si>
  <si>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</si>
  <si>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</si>
  <si>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</si>
  <si>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</si>
  <si>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</si>
  <si>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</si>
  <si>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</si>
  <si>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</si>
  <si>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</si>
  <si>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</si>
  <si>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</si>
  <si>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</si>
  <si>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</si>
  <si>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</si>
  <si>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</si>
  <si>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</si>
  <si>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</si>
  <si>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</si>
  <si>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</si>
  <si>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</si>
  <si>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</si>
  <si>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</si>
  <si>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</si>
  <si>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</si>
  <si>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</si>
  <si>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</si>
  <si>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</si>
  <si>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</si>
  <si>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</si>
  <si>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</si>
  <si>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</si>
  <si>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</si>
  <si>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</si>
  <si>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</si>
  <si>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</si>
  <si>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</si>
  <si>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</si>
  <si>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</si>
  <si>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</si>
  <si>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</si>
  <si>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</si>
  <si>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</si>
  <si>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</si>
  <si>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</si>
  <si>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</si>
  <si>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</si>
  <si>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</si>
  <si>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</si>
  <si>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</si>
  <si>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</si>
  <si>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</si>
  <si>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</si>
  <si>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</si>
  <si>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</si>
  <si>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</si>
  <si>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</si>
  <si>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</si>
  <si>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</si>
  <si>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</si>
  <si>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</si>
  <si>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</si>
  <si>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</si>
  <si>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</si>
  <si>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</si>
  <si>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</si>
  <si>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</si>
  <si>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</si>
  <si>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</si>
  <si>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</si>
  <si>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</si>
  <si>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</si>
  <si>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</si>
  <si>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</si>
  <si>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</si>
  <si>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</si>
  <si>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</si>
  <si>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</si>
  <si>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</si>
  <si>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</si>
  <si>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</si>
  <si>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</si>
  <si>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</si>
  <si>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</si>
  <si>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</si>
  <si>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</si>
  <si>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</si>
  <si>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</si>
  <si>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</si>
  <si>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</si>
  <si>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</si>
  <si>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</si>
  <si>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</si>
  <si>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</si>
  <si>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</si>
  <si>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</si>
  <si>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</si>
  <si>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</si>
  <si>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</si>
  <si>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</si>
  <si>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</si>
  <si>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</si>
  <si>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</si>
  <si>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</si>
  <si>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</si>
  <si>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</si>
  <si>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</si>
  <si>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</si>
  <si>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</si>
  <si>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</si>
  <si>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</si>
  <si>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</si>
  <si>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</si>
  <si>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</si>
  <si>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</si>
  <si>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</si>
  <si>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</si>
  <si>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</si>
  <si>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</si>
  <si>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</si>
  <si>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</si>
  <si>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</si>
  <si>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</si>
  <si>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</si>
  <si>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</si>
  <si>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</si>
  <si>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</si>
  <si>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</si>
  <si>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</si>
  <si>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</si>
  <si>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</si>
  <si>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</si>
  <si>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</si>
  <si>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</si>
  <si>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</si>
  <si>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</si>
  <si>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</si>
  <si>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</si>
  <si>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</si>
  <si>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</si>
  <si>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</si>
  <si>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</si>
  <si>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</si>
  <si>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</si>
  <si>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</si>
  <si>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</si>
  <si>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</si>
  <si>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</si>
  <si>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</si>
  <si>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</si>
  <si>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</si>
  <si>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</si>
  <si>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</si>
  <si>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</si>
  <si>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</si>
  <si>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</si>
  <si>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</si>
  <si>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</si>
  <si>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</si>
  <si>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</si>
  <si>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</si>
  <si>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</si>
  <si>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</si>
  <si>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</si>
  <si>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</si>
  <si>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</si>
  <si>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</si>
  <si>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</si>
  <si>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</si>
  <si>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</si>
  <si>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</si>
  <si>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</si>
  <si>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</si>
  <si>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</si>
  <si>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</si>
  <si>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</si>
  <si>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</si>
  <si>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</si>
  <si>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</si>
  <si>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</si>
  <si>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</si>
  <si>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</si>
  <si>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</si>
  <si>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</si>
  <si>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</si>
  <si>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</si>
  <si>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</si>
  <si>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</si>
  <si>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</si>
  <si>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</si>
  <si>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</si>
  <si>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</si>
  <si>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</si>
  <si>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</si>
  <si>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</si>
  <si>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</si>
  <si>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</si>
  <si>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</si>
  <si>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</si>
  <si>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</si>
  <si>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</si>
  <si>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</si>
  <si>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</si>
  <si>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</si>
  <si>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</si>
  <si>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</si>
  <si>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</si>
  <si>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</si>
  <si>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</si>
  <si>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</si>
  <si>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</si>
  <si>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</si>
  <si>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</si>
  <si>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</si>
  <si>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</si>
  <si>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</si>
  <si>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</si>
  <si>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</si>
  <si>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</si>
  <si>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</si>
  <si>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</si>
  <si>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</si>
  <si>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</si>
  <si>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</si>
  <si>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</si>
  <si>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</si>
  <si>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</si>
  <si>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</si>
  <si>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</si>
  <si>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</si>
  <si>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</si>
  <si>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</si>
  <si>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</si>
  <si>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</si>
  <si>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</si>
  <si>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</si>
  <si>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</si>
  <si>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</si>
  <si>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</si>
  <si>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</si>
  <si>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</si>
  <si>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</si>
  <si>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</si>
  <si>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</si>
  <si>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</si>
  <si>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</si>
  <si>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</si>
  <si>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</si>
  <si>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</si>
  <si>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</si>
  <si>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</si>
  <si>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</si>
  <si>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</si>
  <si>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</si>
  <si>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</si>
  <si>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</si>
  <si>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</si>
  <si>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</si>
  <si>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</si>
  <si>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</si>
  <si>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</si>
  <si>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</si>
  <si>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</si>
  <si>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</si>
  <si>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</si>
  <si>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</si>
  <si>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</si>
  <si>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</si>
  <si>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</si>
  <si>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</si>
  <si>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</si>
  <si>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</si>
  <si>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</si>
  <si>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</si>
  <si>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</si>
  <si>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</si>
  <si>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</si>
  <si>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</si>
  <si>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</si>
  <si>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</si>
  <si>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</si>
  <si>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</si>
  <si>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</si>
  <si>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</si>
  <si>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</si>
  <si>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</si>
  <si>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</si>
  <si>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</si>
  <si>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</si>
  <si>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</si>
  <si>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</si>
  <si>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</si>
  <si>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</si>
  <si>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</si>
  <si>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</si>
  <si>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</si>
  <si>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</si>
  <si>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</si>
  <si>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</si>
  <si>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</si>
  <si>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</si>
  <si>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</si>
  <si>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</si>
  <si>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</si>
  <si>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</si>
  <si>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</si>
  <si>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</si>
  <si>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</si>
  <si>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</si>
  <si>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</si>
  <si>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</si>
  <si>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</si>
  <si>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</si>
  <si>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</si>
  <si>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</si>
  <si>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</si>
  <si>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</si>
  <si>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</si>
  <si>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</si>
  <si>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</si>
  <si>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</si>
  <si>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</si>
  <si>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</si>
  <si>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</si>
  <si>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</si>
  <si>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</si>
  <si>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</si>
  <si>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</si>
  <si>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</si>
  <si>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</si>
  <si>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</si>
  <si>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</si>
  <si>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</si>
  <si>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</si>
  <si>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</si>
  <si>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</si>
  <si>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</si>
  <si>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</si>
  <si>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</si>
  <si>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</si>
  <si>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</si>
  <si>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</si>
  <si>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</si>
  <si>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</si>
  <si>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</si>
  <si>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</si>
  <si>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</si>
  <si>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</si>
  <si>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</si>
  <si>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</si>
  <si>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</si>
  <si>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</si>
  <si>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</si>
  <si>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</si>
  <si>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</si>
  <si>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</si>
  <si>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</si>
  <si>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</si>
  <si>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</si>
  <si>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</si>
  <si>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</si>
  <si>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</si>
  <si>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</si>
  <si>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</si>
  <si>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</si>
  <si>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</si>
  <si>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</si>
  <si>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</si>
  <si>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</si>
  <si>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</si>
  <si>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</si>
  <si>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</si>
  <si>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</si>
  <si>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</si>
  <si>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</si>
  <si>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</si>
  <si>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</si>
  <si>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</si>
  <si>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</si>
  <si>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</si>
  <si>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</si>
  <si>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</si>
  <si>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</si>
  <si>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</si>
  <si>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</si>
  <si>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</si>
  <si>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</si>
  <si>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</si>
  <si>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</si>
  <si>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</si>
  <si>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</si>
  <si>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</si>
  <si>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</si>
  <si>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</si>
  <si>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</si>
  <si>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</si>
  <si>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</si>
  <si>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</si>
  <si>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</si>
  <si>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</si>
  <si>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</si>
  <si>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</si>
  <si>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</si>
  <si>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</si>
  <si>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</si>
  <si>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</si>
  <si>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</si>
  <si>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</si>
  <si>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</si>
  <si>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</si>
  <si>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</si>
  <si>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</si>
  <si>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</si>
  <si>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</si>
  <si>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</si>
  <si>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</si>
  <si>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</si>
  <si>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</si>
  <si>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</si>
  <si>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</si>
  <si>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</si>
  <si>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</si>
  <si>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</si>
  <si>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</si>
  <si>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</si>
  <si>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</si>
  <si>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</si>
  <si>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</si>
  <si>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</si>
  <si>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</si>
  <si>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</si>
  <si>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</si>
  <si>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</si>
  <si>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</si>
  <si>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10"/>
  </si>
  <si>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</si>
  <si>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</si>
  <si>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</si>
  <si>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</si>
  <si>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</si>
  <si>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</si>
  <si>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</si>
  <si>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</si>
  <si>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</si>
  <si>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</si>
  <si>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</si>
  <si>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</si>
  <si>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</si>
  <si>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</si>
  <si>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</si>
  <si>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</si>
  <si>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</si>
  <si>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</si>
  <si>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</si>
  <si>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</si>
  <si>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</si>
  <si>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</si>
  <si>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</si>
  <si>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</si>
  <si>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</si>
  <si>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</si>
  <si>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</si>
  <si>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</si>
  <si>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</si>
  <si>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</si>
  <si>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</si>
  <si>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</si>
  <si>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</si>
  <si>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</si>
  <si>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</si>
  <si>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</si>
  <si>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</si>
  <si>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</si>
  <si>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</si>
  <si>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</si>
  <si>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</si>
  <si>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</si>
  <si>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</si>
  <si>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</si>
  <si>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</si>
  <si>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</si>
  <si>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</si>
  <si>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</si>
  <si>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</si>
  <si>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</si>
  <si>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</si>
  <si>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</si>
  <si>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</si>
  <si>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</si>
  <si>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</si>
  <si>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</si>
  <si>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</si>
  <si>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</si>
  <si>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</si>
  <si>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</si>
  <si>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</si>
  <si>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</si>
  <si>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</si>
  <si>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</si>
  <si>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</si>
  <si>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</si>
  <si>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</si>
  <si>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</si>
  <si>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</si>
  <si>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</si>
  <si>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</si>
  <si>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</si>
  <si>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</si>
  <si>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</si>
  <si>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</si>
  <si>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</si>
  <si>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</si>
  <si>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</si>
  <si>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</si>
  <si>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</si>
  <si>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</si>
  <si>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</si>
  <si>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</si>
  <si>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</si>
  <si>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</si>
  <si>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</si>
  <si>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</si>
  <si>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</si>
  <si>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</si>
  <si>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</si>
  <si>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</si>
  <si>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</si>
  <si>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</si>
  <si>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</si>
  <si>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</si>
  <si>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</si>
  <si>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</si>
  <si>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</si>
  <si>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</si>
  <si>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</si>
  <si>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</si>
  <si>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</si>
  <si>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</si>
  <si>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</si>
  <si>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</si>
  <si>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</si>
  <si>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</si>
  <si>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</si>
  <si>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</si>
  <si>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</si>
  <si>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</si>
  <si>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</si>
  <si>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</si>
  <si>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</si>
  <si>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</si>
  <si>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</si>
  <si>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</si>
  <si>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</si>
  <si>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</si>
  <si>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</si>
  <si>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</si>
  <si>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</si>
  <si>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</si>
  <si>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</si>
  <si>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</si>
  <si>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</si>
  <si>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</si>
  <si>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</si>
  <si>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</si>
  <si>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</si>
  <si>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</si>
  <si>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</si>
  <si>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</si>
  <si>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</si>
  <si>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</si>
  <si>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</si>
  <si>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</si>
  <si>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</si>
  <si>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</si>
  <si>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</si>
  <si>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</si>
  <si>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</si>
  <si>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</si>
  <si>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</si>
  <si>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</si>
  <si>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</si>
  <si>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</si>
  <si>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</si>
  <si>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</si>
  <si>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</si>
  <si>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</si>
  <si>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</si>
  <si>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</si>
  <si>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</si>
  <si>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</si>
  <si>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</si>
  <si>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</si>
  <si>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</si>
  <si>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</si>
  <si>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</si>
  <si>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</si>
  <si>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</si>
  <si>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</si>
  <si>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</si>
  <si>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</si>
  <si>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</si>
  <si>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</si>
  <si>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</si>
  <si>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</si>
  <si>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</si>
  <si>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</si>
  <si>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</si>
  <si>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</si>
  <si>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</si>
  <si>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</si>
  <si>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</si>
  <si>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</si>
  <si>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</si>
  <si>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</si>
  <si>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</si>
  <si>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</si>
  <si>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</si>
  <si>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</si>
  <si>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</si>
  <si>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</si>
  <si>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</si>
  <si>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</si>
  <si>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</si>
  <si>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</si>
  <si>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</si>
  <si>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</si>
  <si>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</si>
  <si>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</si>
  <si>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</si>
  <si>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</si>
  <si>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</si>
  <si>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</si>
  <si>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</si>
  <si>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</si>
  <si>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</si>
  <si>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</si>
  <si>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</si>
  <si>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</si>
  <si>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</si>
  <si>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</si>
  <si>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</si>
  <si>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</si>
  <si>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</si>
  <si>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</si>
  <si>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</si>
  <si>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</si>
  <si>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</si>
  <si>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</si>
  <si>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</si>
  <si>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</si>
  <si>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</si>
  <si>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</si>
  <si>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</si>
  <si>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</si>
  <si>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</si>
  <si>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</si>
  <si>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</si>
  <si>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</si>
  <si>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</si>
  <si>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</si>
  <si>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</si>
  <si>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</si>
  <si>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</si>
  <si>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</si>
  <si>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</si>
  <si>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</si>
  <si>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</si>
  <si>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</si>
  <si>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</si>
  <si>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</si>
  <si>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</si>
  <si>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</si>
  <si>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</si>
  <si>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</si>
  <si>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</si>
  <si>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</si>
  <si>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</si>
  <si>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</si>
  <si>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</si>
  <si>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</si>
  <si>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</si>
  <si>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</si>
  <si>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</si>
  <si>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</si>
  <si>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</si>
  <si>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</si>
  <si>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</si>
  <si>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</si>
  <si>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</si>
  <si>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</si>
  <si>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</si>
  <si>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</si>
  <si>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</si>
  <si>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</si>
  <si>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</si>
  <si>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</si>
  <si>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</si>
  <si>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</si>
  <si>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</si>
  <si>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</si>
  <si>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</si>
  <si>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</si>
  <si>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</si>
  <si>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</si>
  <si>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</si>
  <si>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</si>
  <si>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</si>
  <si>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</si>
  <si>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</si>
  <si>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</si>
  <si>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</si>
  <si>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</si>
  <si>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</si>
  <si>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</si>
  <si>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</si>
  <si>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</si>
  <si>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</si>
  <si>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</si>
  <si>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</si>
  <si>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</si>
  <si>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</si>
  <si>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</si>
  <si>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</si>
  <si>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</si>
  <si>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</si>
  <si>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</si>
  <si>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</si>
  <si>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</si>
  <si>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</si>
  <si>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</si>
  <si>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</si>
  <si>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</si>
  <si>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</si>
  <si>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</si>
  <si>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</si>
  <si>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</si>
  <si>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</si>
  <si>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</si>
  <si>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</si>
  <si>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</si>
  <si>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</si>
  <si>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</si>
  <si>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</si>
  <si>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</si>
  <si>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</si>
  <si>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</si>
  <si>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</si>
  <si>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</si>
  <si>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</si>
  <si>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</si>
  <si>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</si>
  <si>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</si>
  <si>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</si>
  <si>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</si>
  <si>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</si>
  <si>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</si>
  <si>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</si>
  <si>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</si>
  <si>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</si>
  <si>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</si>
  <si>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</si>
  <si>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</si>
  <si>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</si>
  <si>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</si>
  <si>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</si>
  <si>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</si>
  <si>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</si>
  <si>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</si>
  <si>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</si>
  <si>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</si>
  <si>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</si>
  <si>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</si>
  <si>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</si>
  <si>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</si>
  <si>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</si>
  <si>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</si>
  <si>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</si>
  <si>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</si>
  <si>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</si>
  <si>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</si>
  <si>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</si>
  <si>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</si>
  <si>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</si>
  <si>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</si>
  <si>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</si>
  <si>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</si>
  <si>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</si>
  <si>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</si>
  <si>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</si>
  <si>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</si>
  <si>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</si>
  <si>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</si>
  <si>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</si>
  <si>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</si>
  <si>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</si>
  <si>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</si>
  <si>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</si>
  <si>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</si>
  <si>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</si>
  <si>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</si>
  <si>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</si>
  <si>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</si>
  <si>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</si>
  <si>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</si>
  <si>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</si>
  <si>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</si>
  <si>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</si>
  <si>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</si>
  <si>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</si>
  <si>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</si>
  <si>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</si>
  <si>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</si>
  <si>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</si>
  <si>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</si>
  <si>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</si>
  <si>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</si>
  <si>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</si>
  <si>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</si>
  <si>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</si>
  <si>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</si>
  <si>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</si>
  <si>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</si>
  <si>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</si>
  <si>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</si>
  <si>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</si>
  <si>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</si>
  <si>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</si>
  <si>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</si>
  <si>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</si>
  <si>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</si>
  <si>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</si>
  <si>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</si>
  <si>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</si>
  <si>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</si>
  <si>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</si>
  <si>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</si>
  <si>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</si>
  <si>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</si>
  <si>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</si>
  <si>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</si>
  <si>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</si>
  <si>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</si>
  <si>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</si>
  <si>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</si>
  <si>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</si>
  <si>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</si>
  <si>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</si>
  <si>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</si>
  <si>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</si>
  <si>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</si>
  <si>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</si>
  <si>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</si>
  <si>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</si>
  <si>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</si>
  <si>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</si>
  <si>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</si>
  <si>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</si>
  <si>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</si>
  <si>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</si>
  <si>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</si>
  <si>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</si>
  <si>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</si>
  <si>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</si>
  <si>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</si>
  <si>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</si>
  <si>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</si>
  <si>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</si>
  <si>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</si>
  <si>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</si>
  <si>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</si>
  <si>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</si>
  <si>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</si>
  <si>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</si>
  <si>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</si>
  <si>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</si>
  <si>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</si>
  <si>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</si>
  <si>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</si>
  <si>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</si>
  <si>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</si>
  <si>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</si>
  <si>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</si>
  <si>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</si>
  <si>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</si>
  <si>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</si>
  <si>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</si>
  <si>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</si>
  <si>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</si>
  <si>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</si>
  <si>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</si>
  <si>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</si>
  <si>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</si>
  <si>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</si>
  <si>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</si>
  <si>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</si>
  <si>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</si>
  <si>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</si>
  <si>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</si>
  <si>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</si>
  <si>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</si>
  <si>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</si>
  <si>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</si>
  <si>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</si>
  <si>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</si>
  <si>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</si>
  <si>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</si>
  <si>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</si>
  <si>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</si>
  <si>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</si>
  <si>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</si>
  <si>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</si>
  <si>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</si>
  <si>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</si>
  <si>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</si>
  <si>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</si>
  <si>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</si>
  <si>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</si>
  <si>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</si>
  <si>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</si>
  <si>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</si>
  <si>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</si>
  <si>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</si>
  <si>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</si>
  <si>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</si>
  <si>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</si>
  <si>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</si>
  <si>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</si>
  <si>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</si>
  <si>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</si>
  <si>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</si>
  <si>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</si>
  <si>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</si>
  <si>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</si>
  <si>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</si>
  <si>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</si>
  <si>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</si>
  <si>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</si>
  <si>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</si>
  <si>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</si>
  <si>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</si>
  <si>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</si>
  <si>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</si>
  <si>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</si>
  <si>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</si>
  <si>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</si>
  <si>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</si>
  <si>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</si>
  <si>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</si>
  <si>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</si>
  <si>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</si>
  <si>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</si>
  <si>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</si>
  <si>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</si>
  <si>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</si>
  <si>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</si>
  <si>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</si>
  <si>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</si>
  <si>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</si>
  <si>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</si>
  <si>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</si>
  <si>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</si>
  <si>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</si>
  <si>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</si>
  <si>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</si>
  <si>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</si>
  <si>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</si>
  <si>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</si>
  <si>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</si>
  <si>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</si>
  <si>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</si>
  <si>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</si>
  <si>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</si>
  <si>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</si>
  <si>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</si>
  <si>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</si>
  <si>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</si>
  <si>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</si>
  <si>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</si>
  <si>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</si>
  <si>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</si>
  <si>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</si>
  <si>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</si>
  <si>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</si>
  <si>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</si>
  <si>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</si>
  <si>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</si>
  <si>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</si>
  <si>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</si>
  <si>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</si>
  <si>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</si>
  <si>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</si>
  <si>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</si>
  <si>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</si>
  <si>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</si>
  <si>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</si>
  <si>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</si>
  <si>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</si>
  <si>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</si>
  <si>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</si>
  <si>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</si>
  <si>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</si>
  <si>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</si>
  <si>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</si>
  <si>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</si>
  <si>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</si>
  <si>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</si>
  <si>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</si>
  <si>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</si>
  <si>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</si>
  <si>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</si>
  <si>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</si>
  <si>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</si>
  <si>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</si>
  <si>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</si>
  <si>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</si>
  <si>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</si>
  <si>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</si>
  <si>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</si>
  <si>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</si>
  <si>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</si>
  <si>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</si>
  <si>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</si>
  <si>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</si>
  <si>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</si>
  <si>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</si>
  <si>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</si>
  <si>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</si>
  <si>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</si>
  <si>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</si>
  <si>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</si>
  <si>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</si>
  <si>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</si>
  <si>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</si>
  <si>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</si>
  <si>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</si>
  <si>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</si>
  <si>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</si>
  <si>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</si>
  <si>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</si>
  <si>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</si>
  <si>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</si>
  <si>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</si>
  <si>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</si>
  <si>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</si>
  <si>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</si>
  <si>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</si>
  <si>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</si>
  <si>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</si>
  <si>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</si>
  <si>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</si>
  <si>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</si>
  <si>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</si>
  <si>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</si>
  <si>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</si>
  <si>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</si>
  <si>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</si>
  <si>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</si>
  <si>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</si>
  <si>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</si>
  <si>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</si>
  <si>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</si>
  <si>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</si>
  <si>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</si>
  <si>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</si>
  <si>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</si>
  <si>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</si>
  <si>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</si>
  <si>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</si>
  <si>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</si>
  <si>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</si>
  <si>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</si>
  <si>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</si>
  <si>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</si>
  <si>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</si>
  <si>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</si>
  <si>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</si>
  <si>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</si>
  <si>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</si>
  <si>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</si>
  <si>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</si>
  <si>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</si>
  <si>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</si>
  <si>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</si>
  <si>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</si>
  <si>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</si>
  <si>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</si>
  <si>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</si>
  <si>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</si>
  <si>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</si>
  <si>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</si>
  <si>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</si>
  <si>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</si>
  <si>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</si>
  <si>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</si>
  <si>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</si>
  <si>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</si>
  <si>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</si>
  <si>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</si>
  <si>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</si>
  <si>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</si>
  <si>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</si>
  <si>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</si>
  <si>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</si>
  <si>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</si>
  <si>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</si>
  <si>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</si>
  <si>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</si>
  <si>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</si>
  <si>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</si>
  <si>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</si>
  <si>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</si>
  <si>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</si>
  <si>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</si>
  <si>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</si>
  <si>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</si>
  <si>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</si>
  <si>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</si>
  <si>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</si>
  <si>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</si>
  <si>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</si>
  <si>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</si>
  <si>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</si>
  <si>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</si>
  <si>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</si>
  <si>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</si>
  <si>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</si>
  <si>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</si>
  <si>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</si>
  <si>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</si>
  <si>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</si>
  <si>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</si>
  <si>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</si>
  <si>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</si>
  <si>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</si>
  <si>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</si>
  <si>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</si>
  <si>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</si>
  <si>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</si>
  <si>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</si>
  <si>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</si>
  <si>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</si>
  <si>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</si>
  <si>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</si>
  <si>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</si>
  <si>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</si>
  <si>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</si>
  <si>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</si>
  <si>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</si>
  <si>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</si>
  <si>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</si>
  <si>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</si>
  <si>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</si>
  <si>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</si>
  <si>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</si>
  <si>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</si>
  <si>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</si>
  <si>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</si>
  <si>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</si>
  <si>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</si>
  <si>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</si>
  <si>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</si>
  <si>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</si>
  <si>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</si>
  <si>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</si>
  <si>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</si>
  <si>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</si>
  <si>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</si>
  <si>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</si>
  <si>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</si>
  <si>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</si>
  <si>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</si>
  <si>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</si>
  <si>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</si>
  <si>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</si>
  <si>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</si>
  <si>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</si>
  <si>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</si>
  <si>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</si>
  <si>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</si>
  <si>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</si>
  <si>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</si>
  <si>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</si>
  <si>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</si>
  <si>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</si>
  <si>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</si>
  <si>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</si>
  <si>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</si>
  <si>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</si>
  <si>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</si>
  <si>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</si>
  <si>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</si>
  <si>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</si>
  <si>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</si>
  <si>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</si>
  <si>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</si>
  <si>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</si>
  <si>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</si>
  <si>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</si>
  <si>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</si>
  <si>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</si>
  <si>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</si>
  <si>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</si>
  <si>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</si>
  <si>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</si>
  <si>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</si>
  <si>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</si>
  <si>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</si>
  <si>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</si>
  <si>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</si>
  <si>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</si>
  <si>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</si>
  <si>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</si>
  <si>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</si>
  <si>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</si>
  <si>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</si>
  <si>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</si>
  <si>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</si>
  <si>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</si>
  <si>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</si>
  <si>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</si>
  <si>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</si>
  <si>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</si>
  <si>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</si>
  <si>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</si>
  <si>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</si>
  <si>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</si>
  <si>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</si>
  <si>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</si>
  <si>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</si>
  <si>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</si>
  <si>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</si>
  <si>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</si>
  <si>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</si>
  <si>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</si>
  <si>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</si>
  <si>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</si>
  <si>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</si>
  <si>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</si>
  <si>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</si>
  <si>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</si>
  <si>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</si>
  <si>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</si>
  <si>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</si>
  <si>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</si>
  <si>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</si>
  <si>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</si>
  <si>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</si>
  <si>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</si>
  <si>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</si>
  <si>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</si>
  <si>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</si>
  <si>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</si>
  <si>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</si>
  <si>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</si>
  <si>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</si>
  <si>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</si>
  <si>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</si>
  <si>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</si>
  <si>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</si>
  <si>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</si>
  <si>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</si>
  <si>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</si>
  <si>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</si>
  <si>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</si>
  <si>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</si>
  <si>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</si>
  <si>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</si>
  <si>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</si>
  <si>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</si>
  <si>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</si>
  <si>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</si>
  <si>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</si>
  <si>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</si>
  <si>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</si>
  <si>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</si>
  <si>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</si>
  <si>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</si>
  <si>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</si>
  <si>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</si>
  <si>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</si>
  <si>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</si>
  <si>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</si>
  <si>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</si>
  <si>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</si>
  <si>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</si>
  <si>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</si>
  <si>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</si>
  <si>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</si>
  <si>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</si>
  <si>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</si>
  <si>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</si>
  <si>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</si>
  <si>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</si>
  <si>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</si>
  <si>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</si>
  <si>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</si>
  <si>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</si>
  <si>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</si>
  <si>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</si>
  <si>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</si>
  <si>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</si>
  <si>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</si>
  <si>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</si>
  <si>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</si>
  <si>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</si>
  <si>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</si>
  <si>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</si>
  <si>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</si>
  <si>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</si>
  <si>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</si>
  <si>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</si>
  <si>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</si>
  <si>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</si>
  <si>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</si>
  <si>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</si>
  <si>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</si>
  <si>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</si>
  <si>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</si>
  <si>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</si>
  <si>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</si>
  <si>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</si>
  <si>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</si>
  <si>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</si>
  <si>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</si>
  <si>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</si>
  <si>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</si>
  <si>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</si>
  <si>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</si>
  <si>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</si>
  <si>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</si>
  <si>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</si>
  <si>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</si>
  <si>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</si>
  <si>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</si>
  <si>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</si>
  <si>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</si>
  <si>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</si>
  <si>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</si>
  <si>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</si>
  <si>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</si>
  <si>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</si>
  <si>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</si>
  <si>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</si>
  <si>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</si>
  <si>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</si>
  <si>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</si>
  <si>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</si>
  <si>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</si>
  <si>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</si>
  <si>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</si>
  <si>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</si>
  <si>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</si>
  <si>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</si>
  <si>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</si>
  <si>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</si>
  <si>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</si>
  <si>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</si>
  <si>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</si>
  <si>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</si>
  <si>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</si>
  <si>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</si>
  <si>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</si>
  <si>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</si>
  <si>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</si>
  <si>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</si>
  <si>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</si>
  <si>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</si>
  <si>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</si>
  <si>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</si>
  <si>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</si>
  <si>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</si>
  <si>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</si>
  <si>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</si>
  <si>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</si>
  <si>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</si>
  <si>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</si>
  <si>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</si>
  <si>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</si>
  <si>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</si>
  <si>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</si>
  <si>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</si>
  <si>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</si>
  <si>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</si>
  <si>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</si>
  <si>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</si>
  <si>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</si>
  <si>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</si>
  <si>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</si>
  <si>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</si>
  <si>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</si>
  <si>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</si>
  <si>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</si>
  <si>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</si>
  <si>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</si>
  <si>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</si>
  <si>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</si>
  <si>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</si>
  <si>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</si>
  <si>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</si>
  <si>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</si>
  <si>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</si>
  <si>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</si>
  <si>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</si>
  <si>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</si>
  <si>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</si>
  <si>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</si>
  <si>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</si>
  <si>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</si>
  <si>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</si>
  <si>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</si>
  <si>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</si>
  <si>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</si>
  <si>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</si>
  <si>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</si>
  <si>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</si>
  <si>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</si>
  <si>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</si>
  <si>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</si>
  <si>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</si>
  <si>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</si>
  <si>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</si>
  <si>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</si>
  <si>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</si>
  <si>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</si>
  <si>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</si>
  <si>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</si>
  <si>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</si>
  <si>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</si>
  <si>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</si>
  <si>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</si>
  <si>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</si>
  <si>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</si>
  <si>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</si>
  <si>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</si>
  <si>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</si>
  <si>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</si>
  <si>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</si>
  <si>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</si>
  <si>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</si>
  <si>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</si>
  <si>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</si>
  <si>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</si>
  <si>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</si>
  <si>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</si>
  <si>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</si>
  <si>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</si>
  <si>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</si>
  <si>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</si>
  <si>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</si>
  <si>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</si>
  <si>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</si>
  <si>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</si>
  <si>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</si>
  <si>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</si>
  <si>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</si>
  <si>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</si>
  <si>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</si>
  <si>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</si>
  <si>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</si>
  <si>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</si>
  <si>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</si>
  <si>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</si>
  <si>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</si>
  <si>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</si>
  <si>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</si>
  <si>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</si>
  <si>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</si>
  <si>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</si>
  <si>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</si>
  <si>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</si>
  <si>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</si>
  <si>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</si>
  <si>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</si>
  <si>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</si>
  <si>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</si>
  <si>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</si>
  <si>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</si>
  <si>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</si>
  <si>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</si>
  <si>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</si>
  <si>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</si>
  <si>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</si>
  <si>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</si>
  <si>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</si>
  <si>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</si>
  <si>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</si>
  <si>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</si>
  <si>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</si>
  <si>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</si>
  <si>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</si>
  <si>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</si>
  <si>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</si>
  <si>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</si>
  <si>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</si>
  <si>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</si>
  <si>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</si>
  <si>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</si>
  <si>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</si>
  <si>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</si>
  <si>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</si>
  <si>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</si>
  <si>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</si>
  <si>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</si>
  <si>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</si>
  <si>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</si>
  <si>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</si>
  <si>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</si>
  <si>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</si>
  <si>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</si>
  <si>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</si>
  <si>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</si>
  <si>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</si>
  <si>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</si>
  <si>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</si>
  <si>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</si>
  <si>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</si>
  <si>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</si>
  <si>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</si>
  <si>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</si>
  <si>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</si>
  <si>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</si>
  <si>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</si>
  <si>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</si>
  <si>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</si>
  <si>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</si>
  <si>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</si>
  <si>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</si>
  <si>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</si>
  <si>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</si>
  <si>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</si>
  <si>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</si>
  <si>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</si>
  <si>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</si>
  <si>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</si>
  <si>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</si>
  <si>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</si>
  <si>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</si>
  <si>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</si>
  <si>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</si>
  <si>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</si>
  <si>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</si>
  <si>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</si>
  <si>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</si>
  <si>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</si>
  <si>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</si>
  <si>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</si>
  <si>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</si>
  <si>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</si>
  <si>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</si>
  <si>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</si>
  <si>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</si>
  <si>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</si>
  <si>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</si>
  <si>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</si>
  <si>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</si>
  <si>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</si>
  <si>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</si>
  <si>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</si>
  <si>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</si>
  <si>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</si>
  <si>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</si>
  <si>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</si>
  <si>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</si>
  <si>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</si>
  <si>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</si>
  <si>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</si>
  <si>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</si>
  <si>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</si>
  <si>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</si>
  <si>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</si>
  <si>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</si>
  <si>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</si>
  <si>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</si>
  <si>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</si>
  <si>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</si>
  <si>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</si>
  <si>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</si>
  <si>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</si>
  <si>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</si>
  <si>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</si>
  <si>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</si>
  <si>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</si>
  <si>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</si>
  <si>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</si>
  <si>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</si>
  <si>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</si>
  <si>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</si>
  <si>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</si>
  <si>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</si>
  <si>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</si>
  <si>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</si>
  <si>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</si>
  <si>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</si>
  <si>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</si>
  <si>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</si>
  <si>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</si>
  <si>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</si>
  <si>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</si>
  <si>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</si>
  <si>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</si>
  <si>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</si>
  <si>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</si>
  <si>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</si>
  <si>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</si>
  <si>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</si>
  <si>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</si>
  <si>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</si>
  <si>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</si>
  <si>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</si>
  <si>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</si>
  <si>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</si>
  <si>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</si>
  <si>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</si>
  <si>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</si>
  <si>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</si>
  <si>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</si>
  <si>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</si>
  <si>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</si>
  <si>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</si>
  <si>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</si>
  <si>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</si>
  <si>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</si>
  <si>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</si>
  <si>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</si>
  <si>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</si>
  <si>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</si>
  <si>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</si>
  <si>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</si>
  <si>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</si>
  <si>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</si>
  <si>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</si>
  <si>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</si>
  <si>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</si>
  <si>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</si>
  <si>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</si>
  <si>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</si>
  <si>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</si>
  <si>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</si>
  <si>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</si>
  <si>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</si>
  <si>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</si>
  <si>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</si>
  <si>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</si>
  <si>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</si>
  <si>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</si>
  <si>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</si>
  <si>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</si>
  <si>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</si>
  <si>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</si>
  <si>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</si>
  <si>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</si>
  <si>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</si>
  <si>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</si>
  <si>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</si>
  <si>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</si>
  <si>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</si>
  <si>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</si>
  <si>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</si>
  <si>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</si>
  <si>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</si>
  <si>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</si>
  <si>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</si>
  <si>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</si>
  <si>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</si>
  <si>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</si>
  <si>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</si>
  <si>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</si>
  <si>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</si>
  <si>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</si>
  <si>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</si>
  <si>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</si>
  <si>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</si>
  <si>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</si>
  <si>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</si>
  <si>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</si>
  <si>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</si>
  <si>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</si>
  <si>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</si>
  <si>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</si>
  <si>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</si>
  <si>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</si>
  <si>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</si>
  <si>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</si>
  <si>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</si>
  <si>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</si>
  <si>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</si>
  <si>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</si>
  <si>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</si>
  <si>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</si>
  <si>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</si>
  <si>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</si>
  <si>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</si>
  <si>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</si>
  <si>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</si>
  <si>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</si>
  <si>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</si>
  <si>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</si>
  <si>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</si>
  <si>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</si>
  <si>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</si>
  <si>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</si>
  <si>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</si>
  <si>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</si>
  <si>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</si>
  <si>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</si>
  <si>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</si>
  <si>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</si>
  <si>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</si>
  <si>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</si>
  <si>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</si>
  <si>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</si>
  <si>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</si>
  <si>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</si>
  <si>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</si>
  <si>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</si>
  <si>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</si>
  <si>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</si>
  <si>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</si>
  <si>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</si>
  <si>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</si>
  <si>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</si>
  <si>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</si>
  <si>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</si>
  <si>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</si>
  <si>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</si>
  <si>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</si>
  <si>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</si>
  <si>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</si>
  <si>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</si>
  <si>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</si>
  <si>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</si>
  <si>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</si>
  <si>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</si>
  <si>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</si>
  <si>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</si>
  <si>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</si>
  <si>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</si>
  <si>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</si>
  <si>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</si>
  <si>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</si>
  <si>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</si>
  <si>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</si>
  <si>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</si>
  <si>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</si>
  <si>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</si>
  <si>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</si>
  <si>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</si>
  <si>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</si>
  <si>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</si>
  <si>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</si>
  <si>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</si>
  <si>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</si>
  <si>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</si>
  <si>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</si>
  <si>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</si>
  <si>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</si>
  <si>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</si>
  <si>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</si>
  <si>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</si>
  <si>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</si>
  <si>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</si>
  <si>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</si>
  <si>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</si>
  <si>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</si>
  <si>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</si>
  <si>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</si>
  <si>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</si>
  <si>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</si>
  <si>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</si>
  <si>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</si>
  <si>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</si>
  <si>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</si>
  <si>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</si>
  <si>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</si>
  <si>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</si>
  <si>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</si>
  <si>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</si>
  <si>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</si>
  <si>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</si>
  <si>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</si>
  <si>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</si>
  <si>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</si>
  <si>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</si>
  <si>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</si>
  <si>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</si>
  <si>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</si>
  <si>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</si>
  <si>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</si>
  <si>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</si>
  <si>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</si>
  <si>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</si>
  <si>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</si>
  <si>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</si>
  <si>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</si>
  <si>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</si>
  <si>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</si>
  <si>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</si>
  <si>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</si>
  <si>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</si>
  <si>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</si>
  <si>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</si>
  <si>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</si>
  <si>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</si>
  <si>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</si>
  <si>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</si>
  <si>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</si>
  <si>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</si>
  <si>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</si>
  <si>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</si>
  <si>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</si>
  <si>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</si>
  <si>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</si>
  <si>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</si>
  <si>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</si>
  <si>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</si>
  <si>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</si>
  <si>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</si>
  <si>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</si>
  <si>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</si>
  <si>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</si>
  <si>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</si>
  <si>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</si>
  <si>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</si>
  <si>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</si>
  <si>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</si>
  <si>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</si>
  <si>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</si>
  <si>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</si>
  <si>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</si>
  <si>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</si>
  <si>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</si>
  <si>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</si>
  <si>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</si>
  <si>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</si>
  <si>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</si>
  <si>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</si>
  <si>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</si>
  <si>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</si>
  <si>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</si>
  <si>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</si>
  <si>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</si>
  <si>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</si>
  <si>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</si>
  <si>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</si>
  <si>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</si>
  <si>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</si>
  <si>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</si>
  <si>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</si>
  <si>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</si>
  <si>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</si>
  <si>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</si>
  <si>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</si>
  <si>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</si>
  <si>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</si>
  <si>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</si>
  <si>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</si>
  <si>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</si>
  <si>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</si>
  <si>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</si>
  <si>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</si>
  <si>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</si>
  <si>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</si>
  <si>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</si>
  <si>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</si>
  <si>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</si>
  <si>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</si>
  <si>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</si>
  <si>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</si>
  <si>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</si>
  <si>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</si>
  <si>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</si>
  <si>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</si>
  <si>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</si>
  <si>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</si>
  <si>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</si>
  <si>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</si>
  <si>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</si>
  <si>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</si>
  <si>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</si>
  <si>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</si>
  <si>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</si>
  <si>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</si>
  <si>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</si>
  <si>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</si>
  <si>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</si>
  <si>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</si>
  <si>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</si>
  <si>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</si>
  <si>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</si>
  <si>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</si>
  <si>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</si>
  <si>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</si>
  <si>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</si>
  <si>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</si>
  <si>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</si>
  <si>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</si>
  <si>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</si>
  <si>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</si>
  <si>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</si>
  <si>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</si>
  <si>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</si>
  <si>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</si>
  <si>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</si>
  <si>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</si>
  <si>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</si>
  <si>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</si>
  <si>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</si>
  <si>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</si>
  <si>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</si>
  <si>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</si>
  <si>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</si>
  <si>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</si>
  <si>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</si>
  <si>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</si>
  <si>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</si>
  <si>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</si>
  <si>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</si>
  <si>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</si>
  <si>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</si>
  <si>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</si>
  <si>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</si>
  <si>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</si>
  <si>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</si>
  <si>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</si>
  <si>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</si>
  <si>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</si>
  <si>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</si>
  <si>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</si>
  <si>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</si>
  <si>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</si>
  <si>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</si>
  <si>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</si>
  <si>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</si>
  <si>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</si>
  <si>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</si>
  <si>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</si>
  <si>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</si>
  <si>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</si>
  <si>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</si>
  <si>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</si>
  <si>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</si>
  <si>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</si>
  <si>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</si>
  <si>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</si>
  <si>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</si>
  <si>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</si>
  <si>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</si>
  <si>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</si>
  <si>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</si>
  <si>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</si>
  <si>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</si>
  <si>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</si>
  <si>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</si>
  <si>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</si>
  <si>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</si>
  <si>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</si>
  <si>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</si>
  <si>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</si>
  <si>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</si>
  <si>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</si>
  <si>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</si>
  <si>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</si>
  <si>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</si>
  <si>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</si>
  <si>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</si>
  <si>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</si>
  <si>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</si>
  <si>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</si>
  <si>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</si>
  <si>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</si>
  <si>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</si>
  <si>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</si>
  <si>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</si>
  <si>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</si>
  <si>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</si>
  <si>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</si>
  <si>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</si>
  <si>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</si>
  <si>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</si>
  <si>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</si>
  <si>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</si>
  <si>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</si>
  <si>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</si>
  <si>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</si>
  <si>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</si>
  <si>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</si>
  <si>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</si>
  <si>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</si>
  <si>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</si>
  <si>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</si>
  <si>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</si>
  <si>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</si>
  <si>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</si>
  <si>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</si>
  <si>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</si>
  <si>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</si>
  <si>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</si>
  <si>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</si>
  <si>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</si>
  <si>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</si>
  <si>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</si>
  <si>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</si>
  <si>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</si>
  <si>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</si>
  <si>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</si>
  <si>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</si>
  <si>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</si>
  <si>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</si>
  <si>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</si>
  <si>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</si>
  <si>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</si>
  <si>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</si>
  <si>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</si>
  <si>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</si>
  <si>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</si>
  <si>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</si>
  <si>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</si>
  <si>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</si>
  <si>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</si>
  <si>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</si>
  <si>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</si>
  <si>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</si>
  <si>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</si>
  <si>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</si>
  <si>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</si>
  <si>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</si>
  <si>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</si>
  <si>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</si>
  <si>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</si>
  <si>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</si>
  <si>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</si>
  <si>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</si>
  <si>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</si>
  <si>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</si>
  <si>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</si>
  <si>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</si>
  <si>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</si>
  <si>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</si>
  <si>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</si>
  <si>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</si>
  <si>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</si>
  <si>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</si>
  <si>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</si>
  <si>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</si>
  <si>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</si>
  <si>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</si>
  <si>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</si>
  <si>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</si>
  <si>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</si>
  <si>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</si>
  <si>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</si>
  <si>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</si>
  <si>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</si>
  <si>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</si>
  <si>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</si>
  <si>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</si>
  <si>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</si>
  <si>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</si>
  <si>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</si>
  <si>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</si>
  <si>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</si>
  <si>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</si>
  <si>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</si>
  <si>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</si>
  <si>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</si>
  <si>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</si>
  <si>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</si>
  <si>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</si>
  <si>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</si>
  <si>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</si>
  <si>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</si>
  <si>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</si>
  <si>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</si>
  <si>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</si>
  <si>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</si>
  <si>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</si>
  <si>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</si>
  <si>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</si>
  <si>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</si>
  <si>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</si>
  <si>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</si>
  <si>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</si>
  <si>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</si>
  <si>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</si>
  <si>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</si>
  <si>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</si>
  <si>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</si>
  <si>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</si>
  <si>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</si>
  <si>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</si>
  <si>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</si>
  <si>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</si>
  <si>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</si>
  <si>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</si>
  <si>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</si>
  <si>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</si>
  <si>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</si>
  <si>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</si>
  <si>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</si>
  <si>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</si>
  <si>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</si>
  <si>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</si>
  <si>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</si>
  <si>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</si>
  <si>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</si>
  <si>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</si>
  <si>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</si>
  <si>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</si>
  <si>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</si>
  <si>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</si>
  <si>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</si>
  <si>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</si>
  <si>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</si>
  <si>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</si>
  <si>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</si>
  <si>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</si>
  <si>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</si>
  <si>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</si>
  <si>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</si>
  <si>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</si>
  <si>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</si>
  <si>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</si>
  <si>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</si>
  <si>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</si>
  <si>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</si>
  <si>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</si>
  <si>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</si>
  <si>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</si>
  <si>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</si>
  <si>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</si>
  <si>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</si>
  <si>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</si>
  <si>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</si>
  <si>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</si>
  <si>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</si>
  <si>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</si>
  <si>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</si>
  <si>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</si>
  <si>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</si>
  <si>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</si>
  <si>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</si>
  <si>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</si>
  <si>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</si>
  <si>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</si>
  <si>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</si>
  <si>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</si>
  <si>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</si>
  <si>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</si>
  <si>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</si>
  <si>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</si>
  <si>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</si>
  <si>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</si>
  <si>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</si>
  <si>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</si>
  <si>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</si>
  <si>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</si>
  <si>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</si>
  <si>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</si>
  <si>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</si>
  <si>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</si>
  <si>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</si>
  <si>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</si>
  <si>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</si>
  <si>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</si>
  <si>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</si>
  <si>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</si>
  <si>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</si>
  <si>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</si>
  <si>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</si>
  <si>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</si>
  <si>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</si>
  <si>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</si>
  <si>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</si>
  <si>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</si>
  <si>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</si>
  <si>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</si>
  <si>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</si>
  <si>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</si>
  <si>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</si>
  <si>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</si>
  <si>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</si>
  <si>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</si>
  <si>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</si>
  <si>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</si>
  <si>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</si>
  <si>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</si>
  <si>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</si>
  <si>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</si>
  <si>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</si>
  <si>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</si>
  <si>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</si>
  <si>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</si>
  <si>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</si>
  <si>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</si>
  <si>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</si>
  <si>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</si>
  <si>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</si>
  <si>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</si>
  <si>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</si>
  <si>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</si>
  <si>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</si>
  <si>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</si>
  <si>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</si>
  <si>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</si>
  <si>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</si>
  <si>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</si>
  <si>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</si>
  <si>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</si>
  <si>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</si>
  <si>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</si>
  <si>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</si>
  <si>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</si>
  <si>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</si>
  <si>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</si>
  <si>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</si>
  <si>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</si>
  <si>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</si>
  <si>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</si>
  <si>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</si>
  <si>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</si>
  <si>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</si>
  <si>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</si>
  <si>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</si>
  <si>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</si>
  <si>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</si>
  <si>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</si>
  <si>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</si>
  <si>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</si>
  <si>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</si>
  <si>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</si>
  <si>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</si>
  <si>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</si>
  <si>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</si>
  <si>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</si>
  <si>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</si>
  <si>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</si>
  <si>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</si>
  <si>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</si>
  <si>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</si>
  <si>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</si>
  <si>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</si>
  <si>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</si>
  <si>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</si>
  <si>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</si>
  <si>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</si>
  <si>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</si>
  <si>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</si>
  <si>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</si>
  <si>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</si>
  <si>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</si>
  <si>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</si>
  <si>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</si>
  <si>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</si>
  <si>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</si>
  <si>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</si>
  <si>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</si>
  <si>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</si>
  <si>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</si>
  <si>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</si>
  <si>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</si>
  <si>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</si>
  <si>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</si>
  <si>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</si>
  <si>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</si>
  <si>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</si>
  <si>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</si>
  <si>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</si>
  <si>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</si>
  <si>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</si>
  <si>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</si>
  <si>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</si>
  <si>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</si>
  <si>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</si>
  <si>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</si>
  <si>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</si>
  <si>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</si>
  <si>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</si>
  <si>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</si>
  <si>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</si>
  <si>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</si>
  <si>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</si>
  <si>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</si>
  <si>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</si>
  <si>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</si>
  <si>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</si>
  <si>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</si>
  <si>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</si>
  <si>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</si>
  <si>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</si>
  <si>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</si>
  <si>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</si>
  <si>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</si>
  <si>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</si>
  <si>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</si>
  <si>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</si>
  <si>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</si>
  <si>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</si>
  <si>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</si>
  <si>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</si>
  <si>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</si>
  <si>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</si>
  <si>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</si>
  <si>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</si>
  <si>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</si>
  <si>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</si>
  <si>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</si>
  <si>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</si>
  <si>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</si>
  <si>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</si>
  <si>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</si>
  <si>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</si>
  <si>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</si>
  <si>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</si>
  <si>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</si>
  <si>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</si>
  <si>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</si>
  <si>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</si>
  <si>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</si>
  <si>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</si>
  <si>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</si>
  <si>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</si>
  <si>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</si>
  <si>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</si>
  <si>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</si>
  <si>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</si>
  <si>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</si>
  <si>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</si>
  <si>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</si>
  <si>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</si>
  <si>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</si>
  <si>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</si>
  <si>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</si>
  <si>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</si>
  <si>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</si>
  <si>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</si>
  <si>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</si>
  <si>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</si>
  <si>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</si>
  <si>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</si>
  <si>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</si>
  <si>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</si>
  <si>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</si>
  <si>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</si>
  <si>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</si>
  <si>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</si>
  <si>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</si>
  <si>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</si>
  <si>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</si>
  <si>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</si>
  <si>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</si>
  <si>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</si>
  <si>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</si>
  <si>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</si>
  <si>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</si>
  <si>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</si>
  <si>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</si>
  <si>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</si>
  <si>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</si>
  <si>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</si>
  <si>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</si>
  <si>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</si>
  <si>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</si>
  <si>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</si>
  <si>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</si>
  <si>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</si>
  <si>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</si>
  <si>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</si>
  <si>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</si>
  <si>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</si>
  <si>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</si>
  <si>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</si>
  <si>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</si>
  <si>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</si>
  <si>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</si>
  <si>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</si>
  <si>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</si>
  <si>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</si>
  <si>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</si>
  <si>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</si>
  <si>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</si>
  <si>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</si>
  <si>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</si>
  <si>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</si>
  <si>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</si>
  <si>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</si>
  <si>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</si>
  <si>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</si>
  <si>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</si>
  <si>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</si>
  <si>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</si>
  <si>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</si>
  <si>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</si>
  <si>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</si>
  <si>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</si>
  <si>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</si>
  <si>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</si>
  <si>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</si>
  <si>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</si>
  <si>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</si>
  <si>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</si>
  <si>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</si>
  <si>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</si>
  <si>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</si>
  <si>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</si>
  <si>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</si>
  <si>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</si>
  <si>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</si>
  <si>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</si>
  <si>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</si>
  <si>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</si>
  <si>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</si>
  <si>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</si>
  <si>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</si>
  <si>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</si>
  <si>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</si>
  <si>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</si>
  <si>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</si>
  <si>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</si>
  <si>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</si>
  <si>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</si>
  <si>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</si>
  <si>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</si>
  <si>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</si>
  <si>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</si>
  <si>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</si>
  <si>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</si>
  <si>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</si>
  <si>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</si>
  <si>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</si>
  <si>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</si>
  <si>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</si>
  <si>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</si>
  <si>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</si>
  <si>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</si>
  <si>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</si>
  <si>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</si>
  <si>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</si>
  <si>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</si>
  <si>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</si>
  <si>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</si>
  <si>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</si>
  <si>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</si>
  <si>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</si>
  <si>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</si>
  <si>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</si>
  <si>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</si>
  <si>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</si>
  <si>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</si>
  <si>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</si>
  <si>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</si>
  <si>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</si>
  <si>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</si>
  <si>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</si>
  <si>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</si>
  <si>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</si>
  <si>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</si>
  <si>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</si>
  <si>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</si>
  <si>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</si>
  <si>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</si>
  <si>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</si>
  <si>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</si>
  <si>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</si>
  <si>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</si>
  <si>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</si>
  <si>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</si>
  <si>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</si>
  <si>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</si>
  <si>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</si>
  <si>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</si>
  <si>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</si>
  <si>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</si>
  <si>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</si>
  <si>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</si>
  <si>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</si>
  <si>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</si>
  <si>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</si>
  <si>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</si>
  <si>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</si>
  <si>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</si>
  <si>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</si>
  <si>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</si>
  <si>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</si>
  <si>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</si>
  <si>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</si>
  <si>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</si>
  <si>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</si>
  <si>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</si>
  <si>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</si>
  <si>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</si>
  <si>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</si>
  <si>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</si>
  <si>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</si>
  <si>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</si>
  <si>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</si>
  <si>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</si>
  <si>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</si>
  <si>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</si>
  <si>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</si>
  <si>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</si>
  <si>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</si>
  <si>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</si>
  <si>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</si>
  <si>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</si>
  <si>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</si>
  <si>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</si>
  <si>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</si>
  <si>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</si>
  <si>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</si>
  <si>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</si>
  <si>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</si>
  <si>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</si>
  <si>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</si>
  <si>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</si>
  <si>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</si>
  <si>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</si>
  <si>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</si>
  <si>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</si>
  <si>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</si>
  <si>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</si>
  <si>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</si>
  <si>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</si>
  <si>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</si>
  <si>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</si>
  <si>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</si>
  <si>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</si>
  <si>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</si>
  <si>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</si>
  <si>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</si>
  <si>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</si>
  <si>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</si>
  <si>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</si>
  <si>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</si>
  <si>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</si>
  <si>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</si>
  <si>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</si>
  <si>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</si>
  <si>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</si>
  <si>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</si>
  <si>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</si>
  <si>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</si>
  <si>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</si>
  <si>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</si>
  <si>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</si>
  <si>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</si>
  <si>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</si>
  <si>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</si>
  <si>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</si>
  <si>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</si>
  <si>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</si>
  <si>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</si>
  <si>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</si>
  <si>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</si>
  <si>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</si>
  <si>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</si>
  <si>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</si>
  <si>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</si>
  <si>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</si>
  <si>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</si>
  <si>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</si>
  <si>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</si>
  <si>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</si>
  <si>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</si>
  <si>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</si>
  <si>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</si>
  <si>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</si>
  <si>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</si>
  <si>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</si>
  <si>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</si>
  <si>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</si>
  <si>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</si>
  <si>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</si>
  <si>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</si>
  <si>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</si>
  <si>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</si>
  <si>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</si>
  <si>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</si>
  <si>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</si>
  <si>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</si>
  <si>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</si>
  <si>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</si>
  <si>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</si>
  <si>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</si>
  <si>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</si>
  <si>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</si>
  <si>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</si>
  <si>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</si>
  <si>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</si>
  <si>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</si>
  <si>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</si>
  <si>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</si>
  <si>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</si>
  <si>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</si>
  <si>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</si>
  <si>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</si>
  <si>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</si>
  <si>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</si>
  <si>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</si>
  <si>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</si>
  <si>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</si>
  <si>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</si>
  <si>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</si>
  <si>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</si>
  <si>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</si>
  <si>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</si>
  <si>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</si>
  <si>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</si>
  <si>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</si>
  <si>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</si>
  <si>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</si>
  <si>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</si>
  <si>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</si>
  <si>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</si>
  <si>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</si>
  <si>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</si>
  <si>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</si>
  <si>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</si>
  <si>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</si>
  <si>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</si>
  <si>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</si>
  <si>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</si>
  <si>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</si>
  <si>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</si>
  <si>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</si>
  <si>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</si>
  <si>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</si>
  <si>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</si>
  <si>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</si>
  <si>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</si>
  <si>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</si>
  <si>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</si>
  <si>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</si>
  <si>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</si>
  <si>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</si>
  <si>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</si>
  <si>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</si>
  <si>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</si>
  <si>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</si>
  <si>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</si>
  <si>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</si>
  <si>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</si>
  <si>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</si>
  <si>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</si>
  <si>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</si>
  <si>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</si>
  <si>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</si>
  <si>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</si>
  <si>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</si>
  <si>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</si>
  <si>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</si>
  <si>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</si>
  <si>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</si>
  <si>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</si>
  <si>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</si>
  <si>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</si>
  <si>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</si>
  <si>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</si>
  <si>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</si>
  <si>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</si>
  <si>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</si>
  <si>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</si>
  <si>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</si>
  <si>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</si>
  <si>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</si>
  <si>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</si>
  <si>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</si>
  <si>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</si>
  <si>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</si>
  <si>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</si>
  <si>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</si>
  <si>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</si>
  <si>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</si>
  <si>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</si>
  <si>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</si>
  <si>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</si>
  <si>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</si>
  <si>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</si>
  <si>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</si>
  <si>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</si>
  <si>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</si>
  <si>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</si>
  <si>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</si>
  <si>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</si>
  <si>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</si>
  <si>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</si>
  <si>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</si>
  <si>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</si>
  <si>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</si>
  <si>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</si>
  <si>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</si>
  <si>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</si>
  <si>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</si>
  <si>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</si>
  <si>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</si>
  <si>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</si>
  <si>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</si>
  <si>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</si>
  <si>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</si>
  <si>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</si>
  <si>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</si>
  <si>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</si>
  <si>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</si>
  <si>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</si>
  <si>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</si>
  <si>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</si>
  <si>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</si>
  <si>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</si>
  <si>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</si>
  <si>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</si>
  <si>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</si>
  <si>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</si>
  <si>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</si>
  <si>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</si>
  <si>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</si>
  <si>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</si>
  <si>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</si>
  <si>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</si>
  <si>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</si>
  <si>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</si>
  <si>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</si>
  <si>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</si>
  <si>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</si>
  <si>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</si>
  <si>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</si>
  <si>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</si>
  <si>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</si>
  <si>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</si>
  <si>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</si>
  <si>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</si>
  <si>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</si>
  <si>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</si>
  <si>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</si>
  <si>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</si>
  <si>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</si>
  <si>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</si>
  <si>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</si>
  <si>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</si>
  <si>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</si>
  <si>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</si>
  <si>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</si>
  <si>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</si>
  <si>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</si>
  <si>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</si>
  <si>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</si>
  <si>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</si>
  <si>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</si>
  <si>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</si>
  <si>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</si>
  <si>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</si>
  <si>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</si>
  <si>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</si>
  <si>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</si>
  <si>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</si>
  <si>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</si>
  <si>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</si>
  <si>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</si>
  <si>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</si>
  <si>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</si>
  <si>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</si>
  <si>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</si>
  <si>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</si>
  <si>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</si>
  <si>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</si>
  <si>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</si>
  <si>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</si>
  <si>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</si>
  <si>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</si>
  <si>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</si>
  <si>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</si>
  <si>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</si>
  <si>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</si>
  <si>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</si>
  <si>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</si>
  <si>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</si>
  <si>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</si>
  <si>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</si>
  <si>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</si>
  <si>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</si>
  <si>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</si>
  <si>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</si>
  <si>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</si>
  <si>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</si>
  <si>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</si>
  <si>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</si>
  <si>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</si>
  <si>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</si>
  <si>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</si>
  <si>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</si>
  <si>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</si>
  <si>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</si>
  <si>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</si>
  <si>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</si>
  <si>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</si>
  <si>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</si>
  <si>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</si>
  <si>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</si>
  <si>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</si>
  <si>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</si>
  <si>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</si>
  <si>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</si>
  <si>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</si>
  <si>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</si>
  <si>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</si>
  <si>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</si>
  <si>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</si>
  <si>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</si>
  <si>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</si>
  <si>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</si>
  <si>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</si>
  <si>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</si>
  <si>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</si>
  <si>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</si>
  <si>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</si>
  <si>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</si>
  <si>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</si>
  <si>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</si>
  <si>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</si>
  <si>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</si>
  <si>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</si>
  <si>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</si>
  <si>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</si>
  <si>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</si>
  <si>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</si>
  <si>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</si>
  <si>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</si>
  <si>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</si>
  <si>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</si>
  <si>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</si>
  <si>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</si>
  <si>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</si>
  <si>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</si>
  <si>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</si>
  <si>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</si>
  <si>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</si>
  <si>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</si>
  <si>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</si>
  <si>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</si>
  <si>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</si>
  <si>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</si>
  <si>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</si>
  <si>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</si>
  <si>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</si>
  <si>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</si>
  <si>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</si>
  <si>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</si>
  <si>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</si>
  <si>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</si>
  <si>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</si>
  <si>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</si>
  <si>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</si>
  <si>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</si>
  <si>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</si>
  <si>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</si>
  <si>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</si>
  <si>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</si>
  <si>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</si>
  <si>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</si>
  <si>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</si>
  <si>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</si>
  <si>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</si>
  <si>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</si>
  <si>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</si>
  <si>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</si>
  <si>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</si>
  <si>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</si>
  <si>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</si>
  <si>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</si>
  <si>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</si>
  <si>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</si>
  <si>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</si>
  <si>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</si>
  <si>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</si>
  <si>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</si>
  <si>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</si>
  <si>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</si>
  <si>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</si>
  <si>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</si>
  <si>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</si>
  <si>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</si>
  <si>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</si>
  <si>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</si>
  <si>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</si>
  <si>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</si>
  <si>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</si>
  <si>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</si>
  <si>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</si>
  <si>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</si>
  <si>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</si>
  <si>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</si>
  <si>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</si>
  <si>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</si>
  <si>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</si>
  <si>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</si>
  <si>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</si>
  <si>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</si>
  <si>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</si>
  <si>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</si>
  <si>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</si>
  <si>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</si>
  <si>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</si>
  <si>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</si>
  <si>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</si>
  <si>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</si>
  <si>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</si>
  <si>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</si>
  <si>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</si>
  <si>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</si>
  <si>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</si>
  <si>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</si>
  <si>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</si>
  <si>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</si>
  <si>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</si>
  <si>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</si>
  <si>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</si>
  <si>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</si>
  <si>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</si>
  <si>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</si>
  <si>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</si>
  <si>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</si>
  <si>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</si>
  <si>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</si>
  <si>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</si>
  <si>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</si>
  <si>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</si>
  <si>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</si>
  <si>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</si>
  <si>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</si>
  <si>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</si>
  <si>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</si>
  <si>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</si>
  <si>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</si>
  <si>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</si>
  <si>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</si>
  <si>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</si>
  <si>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</si>
  <si>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</si>
  <si>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</si>
  <si>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</si>
  <si>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</si>
  <si>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</si>
  <si>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</si>
  <si>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</si>
  <si>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</si>
  <si>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</si>
  <si>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</si>
  <si>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</si>
  <si>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</si>
  <si>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</si>
  <si>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</si>
  <si>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</si>
  <si>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</si>
  <si>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</si>
  <si>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</si>
  <si>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</si>
  <si>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</si>
  <si>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</si>
  <si>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</si>
  <si>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</si>
  <si>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</si>
  <si>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</si>
  <si>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</si>
  <si>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</si>
  <si>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</si>
  <si>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</si>
  <si>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</si>
  <si>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</si>
  <si>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</si>
  <si>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</si>
  <si>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</si>
  <si>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</si>
  <si>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</si>
  <si>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</si>
  <si>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</si>
  <si>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</si>
  <si>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</si>
  <si>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</si>
  <si>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</si>
  <si>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</si>
  <si>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</si>
  <si>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</si>
  <si>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</si>
  <si>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</si>
  <si>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</si>
  <si>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</si>
  <si>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</si>
  <si>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</si>
  <si>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</si>
  <si>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</si>
  <si>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</si>
  <si>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</si>
  <si>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</si>
  <si>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</si>
  <si>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</si>
  <si>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</si>
  <si>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</si>
  <si>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</si>
  <si>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</si>
  <si>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</si>
  <si>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</si>
  <si>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</si>
  <si>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</si>
  <si>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</si>
  <si>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</si>
  <si>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</si>
  <si>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</si>
  <si>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</si>
  <si>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</si>
  <si>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</si>
  <si>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</si>
  <si>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</si>
  <si>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</si>
  <si>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</si>
  <si>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</si>
  <si>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</si>
  <si>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</si>
  <si>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</si>
  <si>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</si>
  <si>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</si>
  <si>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</si>
  <si>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</si>
  <si>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</si>
  <si>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</si>
  <si>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</si>
  <si>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</si>
  <si>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</si>
  <si>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</si>
  <si>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</si>
  <si>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</si>
  <si>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</si>
  <si>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</si>
  <si>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</si>
  <si>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</si>
  <si>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</si>
  <si>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</si>
  <si>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</si>
  <si>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</si>
  <si>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</si>
  <si>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</si>
  <si>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</si>
  <si>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</si>
  <si>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</si>
  <si>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</si>
  <si>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</si>
  <si>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</si>
  <si>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</si>
  <si>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</si>
  <si>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</si>
  <si>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</si>
  <si>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</si>
  <si>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</si>
  <si>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</si>
  <si>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</si>
  <si>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</si>
  <si>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</si>
  <si>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</si>
  <si>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</si>
  <si>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</si>
  <si>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</si>
  <si>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</si>
  <si>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</si>
  <si>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</si>
  <si>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</si>
  <si>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</si>
  <si>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</si>
  <si>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</si>
  <si>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</si>
  <si>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</si>
  <si>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</si>
  <si>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</si>
  <si>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</si>
  <si>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</si>
  <si>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</si>
  <si>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</si>
  <si>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</si>
  <si>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</si>
  <si>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</si>
  <si>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</si>
  <si>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</si>
  <si>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</si>
  <si>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</si>
  <si>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</si>
  <si>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</si>
  <si>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</si>
  <si>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</si>
  <si>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</si>
  <si>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</si>
  <si>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</si>
  <si>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</si>
  <si>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</si>
  <si>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</si>
  <si>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</si>
  <si>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</si>
  <si>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</si>
  <si>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</si>
  <si>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</si>
  <si>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</si>
  <si>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</si>
  <si>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</si>
  <si>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</si>
  <si>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</si>
  <si>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</si>
  <si>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</si>
  <si>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</si>
  <si>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</si>
  <si>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</si>
  <si>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</si>
  <si>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</si>
  <si>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</si>
  <si>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</si>
  <si>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</si>
  <si>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</si>
  <si>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</si>
  <si>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</si>
  <si>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</si>
  <si>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</si>
  <si>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</si>
  <si>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</si>
  <si>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</si>
  <si>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</si>
  <si>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</si>
  <si>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</si>
  <si>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</si>
  <si>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</si>
  <si>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</si>
  <si>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</si>
  <si>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</si>
  <si>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</si>
  <si>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</si>
  <si>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</si>
  <si>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</si>
  <si>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</si>
  <si>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</si>
  <si>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</si>
  <si>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</si>
  <si>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</si>
  <si>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</si>
  <si>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</si>
  <si>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</si>
  <si>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</si>
  <si>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</si>
  <si>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</si>
  <si>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</si>
  <si>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</si>
  <si>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</si>
  <si>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</si>
  <si>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</si>
  <si>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</si>
  <si>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</si>
  <si>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</si>
  <si>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</si>
  <si>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</si>
  <si>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</si>
  <si>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</si>
  <si>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</si>
  <si>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</si>
  <si>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</si>
  <si>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</si>
  <si>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</si>
  <si>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</si>
  <si>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</si>
  <si>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</si>
  <si>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</si>
  <si>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</si>
  <si>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</si>
  <si>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</si>
  <si>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</si>
  <si>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</si>
  <si>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</si>
  <si>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</si>
  <si>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</si>
  <si>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</si>
  <si>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</si>
  <si>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</si>
  <si>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</si>
  <si>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</si>
  <si>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</si>
  <si>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</si>
  <si>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</si>
  <si>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</si>
  <si>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</si>
  <si>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</si>
  <si>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</si>
  <si>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</si>
  <si>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</si>
  <si>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</si>
  <si>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</si>
  <si>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</si>
  <si>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</si>
  <si>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</si>
  <si>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</si>
  <si>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</si>
  <si>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</si>
  <si>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</si>
  <si>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</si>
  <si>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</si>
  <si>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</si>
  <si>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</si>
  <si>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</si>
  <si>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</si>
  <si>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</si>
  <si>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</si>
  <si>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</si>
  <si>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</si>
  <si>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</si>
  <si>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</si>
  <si>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</si>
  <si>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</si>
  <si>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</si>
  <si>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</si>
  <si>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</si>
  <si>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</si>
  <si>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</si>
  <si>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</si>
  <si>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</si>
  <si>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</si>
  <si>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</si>
  <si>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</si>
  <si>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</si>
  <si>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</si>
  <si>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</si>
  <si>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</si>
  <si>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</si>
  <si>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</si>
  <si>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</si>
  <si>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</si>
  <si>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</si>
  <si>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</si>
  <si>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</si>
  <si>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</si>
  <si>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</si>
  <si>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</si>
  <si>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</si>
  <si>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</si>
  <si>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</si>
  <si>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</si>
  <si>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</si>
  <si>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</si>
  <si>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</si>
  <si>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</si>
  <si>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</si>
  <si>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</si>
  <si>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</si>
  <si>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</si>
  <si>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</si>
  <si>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</si>
  <si>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</si>
  <si>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</si>
  <si>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</si>
  <si>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</si>
  <si>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</si>
  <si>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</si>
  <si>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</si>
  <si>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</si>
  <si>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</si>
  <si>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</si>
  <si>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</si>
  <si>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</si>
  <si>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</si>
  <si>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</si>
  <si>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</si>
  <si>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</si>
  <si>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</si>
  <si>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</si>
  <si>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</si>
  <si>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</si>
  <si>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</si>
  <si>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</si>
  <si>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</si>
  <si>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</si>
  <si>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</si>
  <si>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</si>
  <si>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</si>
  <si>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</si>
  <si>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</si>
  <si>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</si>
  <si>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</si>
  <si>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</si>
  <si>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</si>
  <si>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</si>
  <si>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</si>
  <si>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</si>
  <si>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</si>
  <si>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</si>
  <si>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</si>
  <si>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</si>
  <si>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</si>
  <si>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</si>
  <si>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</si>
  <si>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</si>
  <si>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</si>
  <si>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</si>
  <si>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</si>
  <si>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</si>
  <si>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</si>
  <si>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</si>
  <si>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</si>
  <si>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</si>
  <si>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</si>
  <si>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</si>
  <si>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</si>
  <si>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</si>
  <si>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</si>
  <si>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</si>
  <si>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</si>
  <si>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</si>
  <si>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</si>
  <si>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</si>
  <si>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</si>
  <si>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</si>
  <si>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</si>
  <si>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</si>
  <si>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</si>
  <si>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</si>
  <si>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</si>
  <si>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</si>
  <si>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</si>
  <si>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</si>
  <si>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</si>
  <si>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</si>
  <si>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</si>
  <si>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</si>
  <si>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</si>
  <si>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</si>
  <si>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</si>
  <si>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</si>
  <si>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</si>
  <si>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</si>
  <si>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</si>
  <si>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</si>
  <si>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</si>
  <si>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</si>
  <si>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</si>
  <si>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</si>
  <si>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</si>
  <si>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</si>
  <si>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</si>
  <si>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</si>
  <si>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</si>
  <si>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</si>
  <si>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</si>
  <si>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</si>
  <si>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</si>
  <si>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</si>
  <si>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</si>
  <si>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</si>
  <si>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</si>
  <si>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</si>
  <si>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</si>
  <si>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</si>
  <si>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</si>
  <si>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</si>
  <si>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</si>
  <si>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</si>
  <si>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</si>
  <si>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</si>
  <si>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</si>
  <si>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</si>
  <si>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</si>
  <si>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</si>
  <si>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</si>
  <si>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</si>
  <si>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</si>
  <si>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</si>
  <si>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</si>
  <si>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</si>
  <si>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</si>
  <si>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</si>
  <si>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</si>
  <si>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</si>
  <si>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</si>
  <si>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</si>
  <si>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</si>
  <si>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</si>
  <si>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</si>
  <si>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</si>
  <si>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</si>
  <si>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</si>
  <si>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</si>
  <si>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</si>
  <si>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</si>
  <si>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</si>
  <si>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</si>
  <si>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</si>
  <si>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</si>
  <si>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</si>
  <si>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</si>
  <si>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</si>
  <si>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</si>
  <si>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</si>
  <si>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</si>
  <si>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</si>
  <si>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</si>
  <si>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</si>
  <si>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</si>
  <si>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</si>
  <si>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</si>
  <si>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</si>
  <si>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</si>
  <si>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</si>
  <si>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</si>
  <si>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</si>
  <si>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</si>
  <si>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</si>
  <si>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</si>
  <si>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</si>
  <si>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</si>
  <si>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</si>
  <si>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</si>
  <si>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</si>
  <si>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</si>
  <si>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</si>
  <si>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</si>
  <si>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</si>
  <si>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</si>
  <si>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</si>
  <si>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</si>
  <si>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</si>
  <si>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</si>
  <si>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</si>
  <si>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</si>
  <si>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</si>
  <si>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</si>
  <si>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</si>
  <si>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</si>
  <si>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</si>
  <si>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</si>
  <si>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</si>
  <si>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</si>
  <si>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</si>
  <si>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</si>
  <si>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</si>
  <si>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</si>
  <si>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</si>
  <si>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</si>
  <si>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</si>
  <si>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</si>
  <si>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</si>
  <si>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</si>
  <si>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</si>
  <si>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</si>
  <si>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</si>
  <si>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</si>
  <si>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</si>
  <si>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</si>
  <si>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</si>
  <si>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</si>
  <si>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</si>
  <si>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</si>
  <si>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</si>
  <si>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</si>
  <si>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</si>
  <si>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</si>
  <si>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</si>
  <si>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</si>
  <si>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</si>
  <si>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</si>
  <si>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</si>
  <si>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</si>
  <si>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</si>
  <si>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</si>
  <si>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</si>
  <si>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</si>
  <si>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</si>
  <si>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</si>
  <si>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</si>
  <si>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</si>
  <si>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</si>
  <si>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</si>
  <si>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</si>
  <si>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</si>
  <si>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</si>
  <si>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</si>
  <si>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</si>
  <si>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</si>
  <si>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</si>
  <si>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</si>
  <si>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</si>
  <si>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</si>
  <si>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</si>
  <si>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</si>
  <si>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</si>
  <si>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</si>
  <si>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</si>
  <si>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</si>
  <si>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</si>
  <si>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</si>
  <si>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</si>
  <si>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</si>
  <si>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</si>
  <si>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</si>
  <si>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</si>
  <si>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</si>
  <si>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</si>
  <si>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</si>
  <si>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</si>
  <si>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</si>
  <si>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</si>
  <si>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</si>
  <si>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</si>
  <si>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</si>
  <si>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</si>
  <si>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</si>
  <si>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</si>
  <si>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</si>
  <si>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</si>
  <si>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</si>
  <si>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</si>
  <si>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</si>
  <si>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</si>
  <si>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</si>
  <si>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</si>
  <si>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</si>
  <si>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</si>
  <si>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</si>
  <si>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</si>
  <si>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</si>
  <si>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</si>
  <si>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</si>
  <si>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</si>
  <si>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</si>
  <si>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</si>
  <si>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</si>
  <si>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</si>
  <si>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</si>
  <si>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</si>
  <si>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</si>
  <si>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</si>
  <si>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</si>
  <si>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</si>
  <si>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</si>
  <si>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</si>
  <si>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</si>
  <si>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</si>
  <si>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</si>
  <si>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</si>
  <si>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</si>
  <si>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</si>
  <si>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</si>
  <si>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</si>
  <si>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</si>
  <si>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</si>
  <si>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</si>
  <si>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</si>
  <si>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</si>
  <si>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</si>
  <si>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</si>
  <si>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</si>
  <si>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</si>
  <si>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</si>
  <si>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</si>
  <si>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</si>
  <si>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</si>
  <si>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</si>
  <si>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</si>
  <si>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</si>
  <si>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</si>
  <si>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</si>
  <si>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</si>
  <si>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</si>
  <si>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</si>
  <si>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</si>
  <si>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</si>
  <si>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</si>
  <si>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</si>
  <si>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</si>
  <si>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</si>
  <si>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</si>
  <si>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</si>
  <si>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</si>
  <si>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</si>
  <si>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</si>
  <si>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</si>
  <si>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</si>
  <si>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</si>
  <si>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</si>
  <si>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</si>
  <si>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</si>
  <si>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</si>
  <si>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</si>
  <si>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</si>
  <si>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</si>
  <si>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</si>
  <si>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</si>
  <si>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</si>
  <si>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</si>
  <si>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</si>
  <si>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</si>
  <si>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</si>
  <si>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</si>
  <si>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</si>
  <si>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</si>
  <si>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</si>
  <si>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</si>
  <si>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</si>
  <si>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</si>
  <si>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</si>
  <si>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</si>
  <si>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</si>
  <si>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</si>
  <si>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</si>
  <si>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</si>
  <si>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</si>
  <si>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</si>
  <si>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</si>
  <si>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</si>
  <si>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</si>
  <si>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</si>
  <si>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</si>
  <si>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</si>
  <si>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</si>
  <si>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</si>
  <si>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</si>
  <si>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</si>
  <si>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</si>
  <si>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</si>
  <si>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</si>
  <si>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</si>
  <si>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</si>
  <si>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</si>
  <si>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</si>
  <si>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</si>
  <si>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</si>
  <si>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</si>
  <si>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</si>
  <si>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</si>
  <si>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</si>
  <si>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</si>
  <si>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</si>
  <si>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</si>
  <si>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</si>
  <si>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</si>
  <si>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</si>
  <si>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</si>
  <si>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</si>
  <si>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</si>
  <si>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</si>
  <si>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</si>
  <si>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</si>
  <si>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</si>
  <si>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</si>
  <si>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</si>
  <si>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</si>
  <si>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</si>
  <si>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</si>
  <si>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</si>
  <si>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</si>
  <si>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</si>
  <si>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</si>
  <si>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</si>
  <si>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</si>
  <si>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</si>
  <si>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</si>
  <si>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</si>
  <si>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</si>
  <si>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</si>
  <si>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</si>
  <si>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</si>
  <si>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</si>
  <si>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</si>
  <si>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</si>
  <si>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</si>
  <si>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</si>
  <si>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</si>
  <si>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</si>
  <si>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</si>
  <si>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</si>
  <si>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</si>
  <si>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</si>
  <si>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</si>
  <si>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</si>
  <si>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</si>
  <si>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</si>
  <si>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</si>
  <si>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</si>
  <si>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</si>
  <si>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</si>
  <si>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</si>
  <si>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</si>
  <si>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</si>
  <si>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</si>
  <si>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</si>
  <si>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</si>
  <si>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</si>
  <si>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</si>
  <si>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</si>
  <si>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</si>
  <si>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</si>
  <si>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</si>
  <si>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</si>
  <si>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</si>
  <si>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</si>
  <si>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</si>
  <si>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</si>
  <si>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</si>
  <si>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</si>
  <si>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</si>
  <si>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</si>
  <si>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</si>
  <si>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</si>
  <si>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</si>
  <si>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</si>
  <si>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</si>
  <si>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</si>
  <si>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</si>
  <si>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</si>
  <si>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</si>
  <si>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</si>
  <si>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</si>
  <si>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</si>
  <si>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</si>
  <si>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</si>
  <si>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</si>
  <si>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</si>
  <si>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</si>
  <si>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</si>
  <si>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</si>
  <si>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</si>
  <si>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</si>
  <si>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</si>
  <si>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</si>
  <si>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</si>
  <si>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</si>
  <si>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</si>
  <si>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</si>
  <si>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</si>
  <si>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</si>
  <si>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</si>
  <si>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</si>
  <si>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</si>
  <si>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</si>
  <si>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</si>
  <si>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</si>
  <si>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</si>
  <si>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</si>
  <si>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</si>
  <si>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</si>
  <si>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</si>
  <si>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</si>
  <si>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</si>
  <si>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</si>
  <si>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</si>
  <si>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</si>
  <si>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</si>
  <si>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</si>
  <si>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</si>
  <si>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</si>
  <si>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</si>
  <si>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</si>
  <si>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</si>
  <si>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</si>
  <si>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</si>
  <si>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</si>
  <si>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</si>
  <si>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</si>
  <si>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</si>
  <si>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</si>
  <si>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</si>
  <si>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</si>
  <si>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</si>
  <si>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</si>
  <si>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</si>
  <si>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</si>
  <si>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</si>
  <si>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</si>
  <si>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</si>
  <si>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</si>
  <si>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</si>
  <si>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</si>
  <si>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</si>
  <si>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</si>
  <si>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</si>
  <si>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</si>
  <si>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</si>
  <si>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</si>
  <si>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</si>
  <si>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</si>
  <si>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</si>
  <si>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</si>
  <si>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</si>
  <si>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</si>
  <si>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</si>
  <si>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</si>
  <si>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</si>
  <si>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</si>
  <si>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</si>
  <si>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</si>
  <si>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</si>
  <si>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</si>
  <si>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</si>
  <si>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</si>
  <si>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</si>
  <si>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</si>
  <si>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</si>
  <si>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</si>
  <si>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</si>
  <si>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</si>
  <si>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</si>
  <si>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</si>
  <si>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</si>
  <si>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</si>
  <si>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</si>
  <si>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</si>
  <si>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</si>
  <si>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</si>
  <si>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</si>
  <si>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</si>
  <si>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</si>
  <si>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</si>
  <si>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</si>
  <si>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</si>
  <si>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</si>
  <si>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</si>
  <si>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</si>
  <si>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</si>
  <si>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</si>
  <si>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</si>
  <si>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</si>
  <si>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</si>
  <si>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</si>
  <si>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</si>
  <si>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</si>
  <si>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</si>
  <si>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</si>
  <si>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</si>
  <si>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</si>
  <si>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</si>
  <si>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</si>
  <si>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</si>
  <si>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</si>
  <si>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</si>
  <si>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</si>
  <si>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</si>
  <si>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</si>
  <si>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</si>
  <si>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</si>
  <si>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</si>
  <si>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</si>
  <si>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</si>
  <si>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</si>
  <si>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</si>
  <si>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</si>
  <si>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</si>
  <si>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</si>
  <si>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</si>
  <si>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</si>
  <si>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</si>
  <si>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</si>
  <si>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</si>
  <si>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</si>
  <si>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</si>
  <si>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</si>
  <si>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</si>
  <si>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</si>
  <si>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</si>
  <si>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</si>
  <si>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</si>
  <si>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</si>
  <si>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</si>
  <si>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</si>
  <si>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</si>
  <si>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</si>
  <si>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</si>
  <si>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</si>
  <si>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</si>
  <si>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</si>
  <si>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</si>
  <si>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</si>
  <si>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</si>
  <si>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</si>
  <si>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</si>
  <si>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</si>
  <si>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</si>
  <si>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</si>
  <si>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</si>
  <si>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</si>
  <si>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</si>
  <si>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</si>
  <si>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</si>
  <si>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</si>
  <si>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</si>
  <si>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</si>
  <si>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</si>
  <si>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</si>
  <si>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</si>
  <si>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</si>
  <si>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</si>
  <si>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</si>
  <si>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</si>
  <si>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</si>
  <si>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</si>
  <si>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</si>
  <si>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</si>
  <si>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</si>
  <si>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</si>
  <si>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</si>
  <si>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</si>
  <si>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</si>
  <si>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</si>
  <si>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</si>
  <si>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</si>
  <si>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</si>
  <si>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</si>
  <si>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</si>
  <si>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</si>
  <si>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</si>
  <si>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</si>
  <si>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</si>
  <si>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</si>
  <si>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</si>
  <si>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</si>
  <si>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</si>
  <si>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</si>
  <si>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</si>
  <si>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</si>
  <si>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</si>
  <si>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</si>
  <si>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</si>
  <si>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</si>
  <si>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</si>
  <si>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</si>
  <si>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</si>
  <si>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</si>
  <si>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</si>
  <si>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</si>
  <si>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</si>
  <si>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</si>
  <si>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</si>
  <si>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</si>
  <si>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</si>
  <si>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</si>
  <si>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</si>
  <si>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</si>
  <si>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</si>
  <si>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</si>
  <si>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</si>
  <si>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</si>
  <si>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</si>
  <si>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</si>
  <si>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</si>
  <si>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</si>
  <si>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</si>
  <si>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</si>
  <si>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</si>
  <si>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</si>
  <si>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</si>
  <si>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</si>
  <si>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</si>
  <si>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</si>
  <si>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</si>
  <si>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</si>
  <si>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</si>
  <si>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</si>
  <si>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</si>
  <si>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</si>
  <si>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</si>
  <si>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</si>
  <si>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</si>
  <si>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</si>
  <si>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</si>
  <si>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</si>
  <si>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</si>
  <si>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</si>
  <si>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</si>
  <si>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</si>
  <si>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</si>
  <si>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</si>
  <si>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</si>
  <si>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</si>
  <si>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</si>
  <si>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</si>
  <si>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</si>
  <si>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</si>
  <si>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</si>
  <si>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</si>
  <si>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</si>
  <si>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</si>
  <si>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</si>
  <si>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</si>
  <si>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</si>
  <si>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</si>
  <si>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</si>
  <si>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</si>
  <si>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</si>
  <si>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</si>
  <si>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</si>
  <si>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</si>
  <si>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</si>
  <si>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</si>
  <si>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</si>
  <si>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</si>
  <si>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</si>
  <si>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</si>
  <si>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</si>
  <si>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</si>
  <si>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</si>
  <si>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</si>
  <si>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</si>
  <si>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</si>
  <si>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</si>
  <si>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</si>
  <si>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</si>
  <si>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</si>
  <si>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</si>
  <si>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</si>
  <si>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</si>
  <si>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</si>
  <si>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</si>
  <si>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</si>
  <si>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</si>
  <si>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</si>
  <si>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</si>
  <si>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</si>
  <si>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</si>
  <si>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</si>
  <si>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</si>
  <si>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</si>
  <si>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</si>
  <si>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</si>
  <si>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</si>
  <si>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</si>
  <si>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</si>
  <si>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</si>
  <si>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</si>
  <si>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</si>
  <si>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</si>
  <si>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</si>
  <si>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</si>
  <si>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</si>
  <si>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</si>
  <si>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</si>
  <si>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</si>
  <si>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</si>
  <si>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</si>
  <si>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</si>
  <si>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</si>
  <si>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</si>
  <si>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</si>
  <si>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</si>
  <si>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</si>
  <si>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</si>
  <si>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</si>
  <si>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</si>
  <si>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</si>
  <si>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</si>
  <si>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</si>
  <si>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</si>
  <si>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</si>
  <si>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</si>
  <si>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</si>
  <si>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</si>
  <si>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</si>
  <si>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</si>
  <si>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</si>
  <si>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</si>
  <si>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</si>
  <si>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</si>
  <si>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</si>
  <si>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</si>
  <si>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</si>
  <si>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</si>
  <si>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</si>
  <si>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</si>
  <si>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</si>
  <si>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</si>
  <si>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</si>
  <si>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</si>
  <si>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</si>
  <si>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</si>
  <si>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</si>
  <si>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</si>
  <si>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</si>
  <si>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</si>
  <si>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</si>
  <si>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</si>
  <si>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</si>
  <si>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</si>
  <si>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</si>
  <si>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</si>
  <si>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</si>
  <si>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</si>
  <si>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</si>
  <si>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</si>
  <si>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</si>
  <si>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</si>
  <si>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</si>
  <si>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</si>
  <si>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</si>
  <si>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</si>
  <si>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</si>
  <si>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</si>
  <si>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</si>
  <si>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</si>
  <si>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</si>
  <si>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</si>
  <si>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</si>
  <si>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</si>
  <si>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</si>
  <si>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</si>
  <si>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</si>
  <si>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</si>
  <si>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</si>
  <si>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</si>
  <si>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</si>
  <si>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</si>
  <si>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</si>
  <si>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</si>
  <si>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</si>
  <si>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</si>
  <si>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</si>
  <si>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</si>
  <si>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</si>
  <si>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</si>
  <si>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</si>
  <si>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</si>
  <si>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</si>
  <si>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</si>
  <si>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</si>
  <si>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</si>
  <si>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</si>
  <si>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</si>
  <si>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</si>
  <si>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</si>
  <si>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</si>
  <si>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</si>
  <si>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</si>
  <si>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</si>
  <si>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</si>
  <si>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</si>
  <si>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</si>
  <si>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</si>
  <si>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</si>
  <si>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</si>
  <si>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</si>
  <si>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</si>
  <si>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</si>
  <si>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</si>
  <si>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</si>
  <si>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</si>
  <si>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</si>
  <si>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</si>
  <si>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</si>
  <si>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</si>
  <si>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</si>
  <si>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</si>
  <si>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</si>
  <si>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</si>
  <si>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</si>
  <si>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</si>
  <si>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</si>
  <si>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</si>
  <si>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</si>
  <si>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</si>
  <si>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</si>
  <si>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</si>
  <si>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</si>
  <si>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</si>
  <si>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</si>
  <si>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</si>
  <si>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</si>
  <si>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</si>
  <si>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</si>
  <si>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</si>
  <si>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</si>
  <si>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</si>
  <si>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</si>
  <si>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</si>
  <si>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</si>
  <si>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</si>
  <si>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</si>
  <si>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</si>
  <si>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</si>
  <si>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</si>
  <si>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</si>
  <si>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</si>
  <si>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</si>
  <si>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</si>
  <si>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</si>
  <si>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</si>
  <si>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</si>
  <si>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</si>
  <si>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</si>
  <si>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</si>
  <si>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</si>
  <si>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</si>
  <si>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</si>
  <si>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</si>
  <si>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</si>
  <si>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</si>
  <si>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</si>
  <si>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</si>
  <si>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</si>
  <si>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</si>
  <si>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</si>
  <si>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</si>
  <si>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</si>
  <si>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</si>
  <si>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</si>
  <si>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</si>
  <si>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</si>
  <si>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</si>
  <si>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</si>
  <si>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</si>
  <si>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</si>
  <si>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</si>
  <si>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</si>
  <si>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</si>
  <si>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</si>
  <si>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</si>
  <si>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</si>
  <si>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</si>
  <si>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</si>
  <si>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</si>
  <si>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</si>
  <si>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</si>
  <si>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</si>
  <si>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</si>
  <si>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</si>
  <si>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</si>
  <si>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</si>
  <si>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</si>
  <si>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</si>
  <si>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</si>
  <si>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</si>
  <si>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</si>
  <si>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</si>
  <si>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</si>
  <si>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</si>
  <si>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</si>
  <si>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</si>
  <si>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</si>
  <si>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</si>
  <si>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</si>
  <si>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</si>
  <si>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</si>
  <si>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</si>
  <si>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</si>
  <si>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</si>
  <si>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</si>
  <si>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</si>
  <si>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</si>
  <si>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</si>
  <si>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</si>
  <si>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</si>
  <si>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</si>
  <si>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</si>
  <si>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</si>
  <si>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</si>
  <si>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</si>
  <si>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</si>
  <si>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</si>
  <si>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</si>
  <si>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</si>
  <si>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</si>
  <si>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</si>
  <si>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</si>
  <si>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</si>
  <si>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</si>
  <si>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</si>
  <si>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</si>
  <si>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</si>
  <si>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</si>
  <si>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</si>
  <si>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</si>
  <si>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</si>
  <si>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</si>
  <si>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</si>
  <si>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</si>
  <si>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</si>
  <si>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</si>
  <si>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</si>
  <si>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</si>
  <si>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</si>
  <si>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</si>
  <si>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</si>
  <si>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</si>
  <si>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</si>
  <si>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</si>
  <si>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</si>
  <si>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</si>
  <si>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</si>
  <si>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</si>
  <si>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</si>
  <si>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</si>
  <si>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</si>
  <si>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</si>
  <si>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</si>
  <si>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</si>
  <si>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</si>
  <si>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</si>
  <si>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</si>
  <si>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</si>
  <si>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</si>
  <si>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</si>
  <si>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</si>
  <si>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</si>
  <si>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</si>
  <si>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</si>
  <si>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</si>
  <si>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</si>
  <si>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</si>
  <si>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</si>
  <si>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</si>
  <si>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</si>
  <si>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</si>
  <si>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</si>
  <si>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</si>
  <si>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</si>
  <si>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</si>
  <si>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</si>
  <si>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</si>
  <si>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</si>
  <si>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</si>
  <si>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</si>
  <si>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</si>
  <si>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</si>
  <si>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</si>
  <si>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</si>
  <si>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</si>
  <si>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</si>
  <si>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</si>
  <si>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</si>
  <si>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</si>
  <si>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</si>
  <si>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</si>
  <si>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</si>
  <si>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</si>
  <si>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</si>
  <si>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</si>
  <si>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</si>
  <si>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</si>
  <si>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</si>
  <si>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</si>
  <si>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</si>
  <si>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</si>
  <si>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</si>
  <si>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</si>
  <si>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</si>
  <si>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</si>
  <si>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</si>
  <si>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</si>
  <si>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</si>
  <si>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</si>
  <si>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</si>
  <si>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</si>
  <si>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</si>
  <si>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</si>
  <si>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</si>
  <si>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</si>
  <si>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</si>
  <si>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</si>
  <si>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</si>
  <si>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</si>
  <si>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</si>
  <si>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</si>
  <si>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</si>
  <si>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</si>
  <si>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</si>
  <si>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</si>
  <si>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</si>
  <si>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</si>
  <si>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</si>
  <si>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</si>
  <si>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</si>
  <si>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</si>
  <si>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</si>
  <si>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</si>
  <si>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</si>
  <si>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</si>
  <si>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</si>
  <si>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</si>
  <si>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</si>
  <si>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</si>
  <si>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</si>
  <si>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</si>
  <si>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</si>
  <si>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</si>
  <si>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</si>
  <si>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</si>
  <si>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</si>
  <si>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</si>
  <si>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</si>
  <si>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</si>
  <si>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</si>
  <si>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</si>
  <si>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</si>
  <si>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</si>
  <si>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</si>
  <si>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</si>
  <si>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</si>
  <si>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</si>
  <si>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</si>
  <si>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</si>
  <si>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</si>
  <si>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</si>
  <si>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</si>
  <si>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</si>
  <si>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</si>
  <si>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</si>
  <si>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</si>
  <si>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</si>
  <si>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</si>
  <si>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</si>
  <si>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</si>
  <si>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</si>
  <si>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</si>
  <si>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</si>
  <si>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</si>
  <si>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</si>
  <si>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</si>
  <si>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</si>
  <si>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</si>
  <si>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</si>
  <si>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</si>
  <si>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</si>
  <si>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</si>
  <si>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</si>
  <si>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</si>
  <si>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</si>
  <si>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</si>
  <si>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</si>
  <si>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</si>
  <si>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</si>
  <si>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</si>
  <si>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</si>
  <si>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</si>
  <si>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</si>
  <si>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</si>
  <si>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</si>
  <si>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</si>
  <si>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</si>
  <si>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</si>
  <si>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</si>
  <si>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</si>
  <si>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</si>
  <si>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</si>
  <si>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</si>
  <si>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</si>
  <si>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</si>
  <si>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</si>
  <si>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</si>
  <si>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</si>
  <si>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</si>
  <si>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</si>
  <si>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</si>
  <si>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</si>
  <si>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</si>
  <si>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</si>
  <si>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</si>
  <si>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</si>
  <si>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</si>
  <si>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</si>
  <si>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</si>
  <si>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</si>
  <si>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</si>
  <si>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</si>
  <si>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</si>
  <si>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</si>
  <si>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</si>
  <si>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</si>
  <si>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</si>
  <si>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</si>
  <si>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</si>
  <si>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</si>
  <si>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</si>
  <si>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</si>
  <si>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</si>
  <si>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</si>
  <si>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</si>
  <si>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</si>
  <si>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</si>
  <si>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</si>
  <si>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</si>
  <si>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</si>
  <si>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</si>
  <si>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</si>
  <si>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</si>
  <si>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</si>
  <si>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</si>
  <si>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</si>
  <si>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</si>
  <si>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</si>
  <si>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</si>
  <si>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</si>
  <si>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</si>
  <si>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</si>
  <si>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</si>
  <si>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</si>
  <si>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</si>
  <si>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</si>
  <si>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</si>
  <si>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</si>
  <si>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</si>
  <si>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</si>
  <si>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</si>
  <si>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</si>
  <si>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</si>
  <si>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</si>
  <si>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</si>
  <si>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</si>
  <si>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</si>
  <si>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</si>
  <si>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</si>
  <si>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</si>
  <si>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</si>
  <si>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</si>
  <si>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</si>
  <si>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</si>
  <si>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</si>
  <si>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</si>
  <si>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</si>
  <si>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</si>
  <si>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</si>
  <si>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</si>
  <si>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</si>
  <si>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</si>
  <si>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</si>
  <si>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</si>
  <si>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</si>
  <si>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</si>
  <si>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</si>
  <si>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</si>
  <si>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</si>
  <si>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</si>
  <si>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</si>
  <si>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</si>
  <si>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</si>
  <si>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</si>
  <si>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</si>
  <si>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</si>
  <si>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</si>
  <si>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</si>
  <si>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</si>
  <si>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</si>
  <si>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</si>
  <si>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</si>
  <si>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</si>
  <si>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</si>
  <si>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</si>
  <si>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</si>
  <si>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</si>
  <si>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</si>
  <si>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</si>
  <si>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</si>
  <si>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</si>
  <si>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</si>
  <si>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</si>
  <si>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</si>
  <si>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</si>
  <si>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</si>
  <si>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</si>
  <si>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</si>
  <si>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</si>
  <si>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</si>
  <si>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</si>
  <si>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</si>
  <si>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</si>
  <si>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</si>
  <si>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</si>
  <si>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</si>
  <si>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</si>
  <si>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</si>
  <si>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</si>
  <si>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</si>
  <si>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</si>
  <si>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</si>
  <si>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</si>
  <si>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</si>
  <si>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</si>
  <si>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</si>
  <si>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</si>
  <si>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</si>
  <si>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</si>
  <si>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</si>
  <si>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</si>
  <si>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</si>
  <si>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</si>
  <si>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</si>
  <si>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</si>
  <si>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</si>
  <si>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</si>
  <si>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</si>
  <si>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</si>
  <si>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</si>
  <si>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</si>
  <si>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</si>
  <si>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</si>
  <si>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</si>
  <si>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</si>
  <si>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</si>
  <si>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</si>
  <si>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</si>
  <si>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</si>
  <si>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</si>
  <si>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</si>
  <si>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</si>
  <si>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</si>
  <si>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</si>
  <si>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</si>
  <si>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</si>
  <si>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</si>
  <si>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</si>
  <si>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</si>
  <si>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</si>
  <si>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</si>
  <si>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</si>
  <si>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</si>
  <si>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</si>
  <si>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</si>
  <si>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</si>
  <si>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</si>
  <si>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</si>
  <si>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</si>
  <si>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</si>
  <si>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</si>
  <si>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</si>
  <si>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</si>
  <si>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</si>
  <si>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</si>
  <si>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</si>
  <si>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</si>
  <si>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</si>
  <si>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</si>
  <si>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</si>
  <si>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</si>
  <si>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</si>
  <si>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</si>
  <si>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</si>
  <si>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</si>
  <si>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</si>
  <si>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</si>
  <si>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</si>
  <si>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</si>
  <si>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</si>
  <si>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</si>
  <si>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</si>
  <si>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</si>
  <si>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</si>
  <si>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</si>
  <si>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</si>
  <si>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</si>
  <si>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</si>
  <si>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</si>
  <si>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</si>
  <si>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</si>
  <si>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</si>
  <si>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</si>
  <si>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</si>
  <si>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</si>
  <si>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</si>
  <si>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</si>
  <si>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</si>
  <si>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</si>
  <si>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</si>
  <si>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</si>
  <si>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</si>
  <si>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</si>
  <si>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</si>
  <si>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</si>
  <si>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</si>
  <si>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</si>
  <si>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</si>
  <si>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</si>
  <si>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</si>
  <si>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</si>
  <si>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</si>
  <si>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</si>
  <si>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</si>
  <si>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</si>
  <si>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</si>
  <si>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</si>
  <si>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</si>
  <si>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</si>
  <si>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</si>
  <si>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</si>
  <si>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</si>
  <si>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</si>
  <si>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</si>
  <si>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</si>
  <si>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</si>
  <si>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</si>
  <si>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</si>
  <si>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</si>
  <si>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</si>
  <si>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</si>
  <si>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</si>
  <si>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</si>
  <si>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</si>
  <si>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</si>
  <si>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</si>
  <si>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</si>
  <si>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</si>
  <si>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</si>
  <si>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</si>
  <si>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</si>
  <si>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</si>
  <si>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</si>
  <si>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</si>
  <si>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</si>
  <si>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</si>
  <si>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</si>
  <si>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</si>
  <si>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</si>
  <si>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</si>
  <si>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</si>
  <si>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</si>
  <si>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</si>
  <si>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</si>
  <si>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</si>
  <si>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</si>
  <si>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</si>
  <si>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</si>
  <si>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</si>
  <si>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</si>
  <si>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</si>
  <si>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</si>
  <si>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</si>
  <si>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</si>
  <si>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</si>
  <si>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</si>
  <si>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</si>
  <si>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</si>
  <si>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</si>
  <si>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</si>
  <si>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</si>
  <si>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</si>
  <si>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</si>
  <si>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</si>
  <si>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</si>
  <si>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</si>
  <si>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</si>
  <si>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</si>
  <si>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</si>
  <si>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</si>
  <si>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</si>
  <si>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</si>
  <si>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</si>
  <si>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</si>
  <si>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</si>
  <si>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</si>
  <si>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</si>
  <si>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</si>
  <si>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</si>
  <si>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</si>
  <si>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</si>
  <si>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</si>
  <si>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</si>
  <si>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</si>
  <si>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</si>
  <si>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</si>
  <si>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</si>
  <si>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</si>
  <si>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</si>
  <si>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</si>
  <si>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</si>
  <si>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</si>
  <si>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</si>
  <si>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</si>
  <si>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</si>
  <si>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</si>
  <si>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</si>
  <si>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</si>
  <si>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</si>
  <si>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</si>
  <si>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</si>
  <si>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</si>
  <si>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</si>
  <si>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</si>
  <si>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</si>
  <si>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</si>
  <si>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</si>
  <si>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</si>
  <si>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</si>
  <si>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</si>
  <si>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</si>
  <si>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</si>
  <si>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</si>
  <si>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</si>
  <si>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</si>
  <si>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</si>
  <si>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</si>
  <si>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</si>
  <si>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</si>
  <si>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</si>
  <si>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</si>
  <si>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</si>
  <si>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</si>
  <si>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</si>
  <si>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</si>
  <si>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</si>
  <si>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</si>
  <si>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</si>
  <si>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</si>
  <si>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</si>
  <si>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</si>
  <si>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</si>
  <si>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</si>
  <si>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</si>
  <si>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</si>
  <si>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</si>
  <si>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</si>
  <si>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</si>
  <si>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</si>
  <si>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</si>
  <si>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</si>
  <si>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</si>
  <si>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</si>
  <si>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</si>
  <si>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</si>
  <si>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</si>
  <si>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</si>
  <si>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</si>
  <si>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</si>
  <si>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</si>
  <si>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</si>
  <si>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</si>
  <si>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</si>
  <si>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</si>
  <si>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</si>
  <si>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</si>
  <si>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</si>
  <si>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</si>
  <si>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</si>
  <si>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</si>
  <si>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</si>
  <si>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</si>
  <si>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</si>
  <si>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</si>
  <si>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</si>
  <si>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</si>
  <si>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</si>
  <si>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</si>
  <si>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</si>
  <si>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</si>
  <si>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</si>
  <si>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</si>
  <si>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</si>
  <si>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</si>
  <si>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</si>
  <si>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</si>
  <si>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</si>
  <si>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</si>
  <si>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</si>
  <si>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</si>
  <si>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</si>
  <si>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</si>
  <si>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</si>
  <si>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</si>
  <si>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</si>
  <si>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</si>
  <si>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</si>
  <si>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</si>
  <si>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</si>
  <si>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</si>
  <si>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</si>
  <si>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</si>
  <si>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</si>
  <si>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</si>
  <si>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</si>
  <si>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</si>
  <si>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</si>
  <si>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</si>
  <si>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</si>
  <si>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</si>
  <si>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</si>
  <si>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</si>
  <si>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</si>
  <si>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</si>
  <si>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</si>
  <si>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</si>
  <si>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</si>
  <si>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</si>
  <si>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</si>
  <si>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</si>
  <si>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</si>
  <si>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</si>
  <si>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</si>
  <si>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</si>
  <si>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</si>
  <si>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</si>
  <si>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</si>
  <si>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</si>
  <si>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</si>
  <si>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</si>
  <si>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</si>
  <si>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</si>
  <si>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</si>
  <si>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</si>
  <si>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</si>
  <si>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</si>
  <si>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</si>
  <si>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</si>
  <si>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</si>
  <si>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</si>
  <si>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</si>
  <si>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</si>
  <si>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</si>
  <si>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</si>
  <si>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</si>
  <si>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</si>
  <si>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</si>
  <si>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</si>
  <si>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</si>
  <si>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</si>
  <si>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</si>
  <si>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</si>
  <si>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</si>
  <si>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</si>
  <si>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</si>
  <si>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</si>
  <si>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</si>
  <si>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</si>
  <si>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</si>
  <si>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</si>
  <si>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</si>
  <si>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</si>
  <si>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</si>
  <si>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</si>
  <si>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</si>
  <si>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</si>
  <si>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</si>
  <si>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</si>
  <si>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</si>
  <si>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</si>
  <si>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</si>
  <si>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</si>
  <si>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</si>
  <si>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</si>
  <si>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</si>
  <si>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</si>
  <si>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</si>
  <si>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</si>
  <si>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</si>
  <si>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</si>
  <si>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</si>
  <si>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</si>
  <si>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</si>
  <si>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</si>
  <si>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</si>
  <si>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</si>
  <si>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</si>
  <si>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</si>
  <si>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</si>
  <si>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</si>
  <si>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</si>
  <si>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</si>
  <si>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</si>
  <si>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</si>
  <si>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</si>
  <si>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</si>
  <si>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</si>
  <si>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</si>
  <si>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</si>
  <si>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</si>
  <si>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</si>
  <si>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</si>
  <si>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</si>
  <si>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</si>
  <si>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</si>
  <si>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</si>
  <si>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</si>
  <si>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</si>
  <si>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</si>
  <si>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</si>
  <si>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</si>
  <si>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</si>
  <si>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</si>
  <si>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</si>
  <si>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</si>
  <si>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</si>
  <si>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</si>
  <si>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</si>
  <si>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</si>
  <si>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</si>
  <si>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</si>
  <si>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</si>
  <si>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</si>
  <si>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</si>
  <si>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</si>
  <si>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</si>
  <si>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</si>
  <si>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</si>
  <si>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</si>
  <si>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</si>
  <si>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</si>
  <si>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</si>
  <si>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</si>
  <si>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</si>
  <si>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</si>
  <si>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</si>
  <si>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</si>
  <si>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</si>
  <si>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</si>
  <si>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</si>
  <si>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</si>
  <si>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</si>
  <si>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</si>
  <si>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</si>
  <si>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</si>
  <si>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</si>
  <si>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</si>
  <si>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</si>
  <si>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</si>
  <si>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</si>
  <si>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</si>
  <si>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</si>
  <si>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</si>
  <si>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</si>
  <si>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</si>
  <si>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</si>
  <si>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</si>
  <si>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</si>
  <si>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</si>
  <si>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</si>
  <si>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</si>
  <si>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</si>
  <si>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</si>
  <si>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</si>
  <si>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</si>
  <si>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</si>
  <si>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</si>
  <si>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</si>
  <si>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</si>
  <si>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</si>
  <si>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</si>
  <si>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</si>
  <si>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</si>
  <si>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</si>
  <si>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</si>
  <si>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</si>
  <si>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</si>
  <si>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</si>
  <si>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</si>
  <si>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</si>
  <si>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</si>
  <si>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</si>
  <si>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</si>
  <si>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</si>
  <si>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</si>
  <si>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</si>
  <si>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</si>
  <si>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</si>
  <si>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</si>
  <si>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</si>
  <si>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</si>
  <si>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</si>
  <si>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</si>
  <si>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</si>
  <si>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</si>
  <si>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</si>
  <si>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</si>
  <si>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</si>
  <si>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</si>
  <si>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</si>
  <si>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</si>
  <si>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</si>
  <si>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</si>
  <si>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</si>
  <si>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</si>
  <si>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</si>
  <si>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</si>
  <si>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</si>
  <si>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</si>
  <si>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</si>
  <si>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</si>
  <si>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</si>
  <si>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</si>
  <si>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</si>
  <si>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</si>
  <si>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</si>
  <si>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</si>
  <si>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</si>
  <si>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</si>
  <si>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</si>
  <si>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</si>
  <si>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</si>
  <si>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</si>
  <si>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</si>
  <si>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</si>
  <si>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</si>
  <si>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</si>
  <si>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</si>
  <si>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</si>
  <si>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</si>
  <si>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</si>
  <si>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</si>
  <si>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</si>
  <si>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</si>
  <si>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</si>
  <si>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</si>
  <si>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</si>
  <si>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</si>
  <si>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</si>
  <si>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</si>
  <si>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</si>
  <si>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</si>
  <si>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</si>
  <si>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</si>
  <si>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</si>
  <si>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</si>
  <si>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</si>
  <si>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</si>
  <si>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</si>
  <si>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</si>
  <si>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</si>
  <si>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</si>
  <si>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</si>
  <si>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</si>
  <si>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</si>
  <si>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</si>
  <si>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</si>
  <si>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</si>
  <si>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</si>
  <si>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</si>
  <si>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</si>
  <si>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</si>
  <si>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</si>
  <si>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</si>
  <si>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</si>
  <si>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</si>
  <si>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</si>
  <si>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</si>
  <si>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</si>
  <si>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</si>
  <si>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</si>
  <si>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</si>
  <si>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</si>
  <si>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</si>
  <si>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</si>
  <si>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</si>
  <si>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</si>
  <si>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</si>
  <si>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</si>
  <si>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</si>
  <si>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</si>
  <si>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</si>
  <si>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</si>
  <si>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</si>
  <si>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</si>
  <si>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</si>
  <si>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</si>
  <si>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</si>
  <si>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</si>
  <si>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</si>
  <si>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</si>
  <si>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</si>
  <si>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</si>
  <si>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</si>
  <si>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</si>
  <si>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</si>
  <si>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</si>
  <si>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</si>
  <si>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</si>
  <si>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</si>
  <si>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</si>
  <si>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</si>
  <si>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</si>
  <si>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</si>
  <si>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</si>
  <si>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</si>
  <si>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</si>
  <si>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</si>
  <si>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</si>
  <si>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</si>
  <si>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</si>
  <si>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</si>
  <si>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</si>
  <si>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</si>
  <si>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</si>
  <si>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</si>
  <si>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</si>
  <si>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</si>
  <si>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</si>
  <si>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</si>
  <si>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</si>
  <si>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</si>
  <si>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</si>
  <si>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</si>
  <si>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</si>
  <si>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</si>
  <si>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</si>
  <si>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</si>
  <si>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</si>
  <si>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</si>
  <si>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</si>
  <si>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</si>
  <si>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</si>
  <si>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</si>
  <si>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</si>
  <si>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</si>
  <si>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</si>
  <si>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</si>
  <si>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</si>
  <si>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</si>
  <si>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</si>
  <si>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</si>
  <si>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</si>
  <si>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</si>
  <si>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</si>
  <si>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</si>
  <si>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</si>
  <si>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</si>
  <si>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</si>
  <si>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</si>
  <si>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</si>
  <si>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</si>
  <si>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</si>
  <si>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</si>
  <si>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</si>
  <si>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</si>
  <si>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</si>
  <si>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</si>
  <si>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</si>
  <si>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</si>
  <si>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</si>
  <si>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</si>
  <si>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</si>
  <si>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</si>
  <si>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</si>
  <si>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</si>
  <si>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</si>
  <si>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</si>
  <si>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</si>
  <si>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</si>
  <si>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</si>
  <si>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</si>
  <si>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</si>
  <si>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</si>
  <si>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</si>
  <si>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</si>
  <si>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</si>
  <si>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</si>
  <si>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</si>
  <si>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</si>
  <si>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</si>
  <si>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</si>
  <si>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</si>
  <si>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</si>
  <si>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</si>
  <si>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</si>
  <si>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</si>
  <si>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</si>
  <si>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</si>
  <si>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</si>
  <si>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</si>
  <si>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</si>
  <si>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</si>
  <si>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</si>
  <si>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</si>
  <si>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</si>
  <si>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</si>
  <si>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</si>
  <si>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</si>
  <si>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</si>
  <si>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</si>
  <si>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</si>
  <si>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</si>
  <si>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</si>
  <si>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</si>
  <si>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</si>
  <si>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</si>
  <si>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</si>
  <si>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</si>
  <si>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</si>
  <si>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</si>
  <si>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</si>
  <si>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</si>
  <si>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</si>
  <si>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</si>
  <si>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</si>
  <si>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</si>
  <si>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</si>
  <si>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</si>
  <si>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</si>
  <si>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</si>
  <si>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</si>
  <si>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</si>
  <si>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</si>
  <si>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</si>
  <si>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</si>
  <si>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</si>
  <si>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</si>
  <si>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</si>
  <si>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</si>
  <si>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</si>
  <si>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</si>
  <si>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</si>
  <si>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</si>
  <si>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</si>
  <si>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</si>
  <si>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</si>
  <si>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</si>
  <si>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</si>
  <si>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</si>
  <si>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</si>
  <si>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</si>
  <si>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</si>
  <si>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</si>
  <si>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</si>
  <si>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</si>
  <si>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</si>
  <si>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</si>
  <si>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</si>
  <si>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</si>
  <si>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</si>
  <si>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</si>
  <si>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</si>
  <si>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</si>
  <si>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</si>
  <si>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</si>
  <si>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</si>
  <si>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</si>
  <si>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</si>
  <si>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</si>
  <si>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</si>
  <si>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</si>
  <si>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</si>
  <si>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</si>
  <si>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</si>
  <si>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</si>
  <si>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</si>
  <si>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</si>
  <si>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</si>
  <si>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</si>
  <si>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</si>
  <si>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</si>
  <si>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</si>
  <si>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</si>
  <si>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</si>
  <si>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</si>
  <si>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</si>
  <si>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</si>
  <si>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</si>
  <si>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</si>
  <si>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</si>
  <si>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</si>
  <si>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</si>
  <si>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</si>
  <si>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</si>
  <si>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</si>
  <si>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</si>
  <si>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</si>
  <si>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</si>
  <si>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</si>
  <si>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</si>
  <si>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</si>
  <si>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</si>
  <si>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</si>
  <si>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</si>
  <si>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</si>
  <si>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</si>
  <si>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</si>
  <si>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</si>
  <si>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</si>
  <si>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</si>
  <si>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</si>
  <si>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</si>
  <si>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</si>
  <si>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</si>
  <si>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</si>
  <si>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</si>
  <si>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</si>
  <si>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</si>
  <si>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</si>
  <si>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</si>
  <si>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</si>
  <si>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</si>
  <si>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</si>
  <si>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</si>
  <si>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</si>
  <si>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</si>
  <si>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</si>
  <si>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</si>
  <si>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</si>
  <si>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</si>
  <si>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</si>
  <si>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</si>
  <si>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</si>
  <si>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</si>
  <si>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</si>
  <si>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</si>
  <si>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</si>
  <si>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</si>
  <si>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</si>
  <si>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</si>
  <si>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</si>
  <si>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</si>
  <si>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</si>
  <si>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</si>
  <si>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</si>
  <si>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</si>
  <si>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</si>
  <si>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</si>
  <si>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</si>
  <si>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</si>
  <si>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</si>
  <si>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</si>
  <si>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</si>
  <si>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</si>
  <si>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</si>
  <si>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</si>
  <si>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</si>
  <si>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</si>
  <si>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</si>
  <si>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</si>
  <si>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</si>
  <si>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</si>
  <si>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</si>
  <si>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</si>
  <si>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</si>
  <si>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</si>
  <si>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</si>
  <si>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</si>
  <si>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</si>
  <si>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</si>
  <si>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</si>
  <si>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</si>
  <si>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</si>
  <si>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</si>
  <si>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</si>
  <si>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</si>
  <si>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</si>
  <si>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</si>
  <si>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</si>
  <si>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</si>
  <si>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</si>
  <si>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</si>
  <si>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</si>
  <si>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</si>
  <si>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</si>
  <si>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</si>
  <si>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</si>
  <si>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</si>
  <si>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</si>
  <si>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</si>
  <si>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</si>
  <si>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</si>
  <si>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</si>
  <si>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</si>
  <si>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</si>
  <si>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</si>
  <si>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</si>
  <si>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</si>
  <si>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</si>
  <si>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</si>
  <si>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</si>
  <si>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</si>
  <si>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</si>
  <si>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</si>
  <si>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</si>
  <si>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</si>
  <si>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</si>
  <si>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</si>
  <si>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</si>
  <si>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</si>
  <si>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</si>
  <si>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</si>
  <si>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</si>
  <si>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</si>
  <si>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</si>
  <si>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</si>
  <si>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</si>
  <si>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</si>
  <si>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</si>
  <si>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</si>
  <si>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</si>
  <si>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</si>
  <si>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</si>
  <si>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</si>
  <si>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</si>
  <si>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</si>
  <si>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</si>
  <si>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</si>
  <si>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</si>
  <si>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</si>
  <si>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</si>
  <si>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</si>
  <si>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</si>
  <si>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</si>
  <si>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</si>
  <si>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</si>
  <si>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</si>
  <si>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</si>
  <si>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</si>
  <si>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</si>
  <si>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</si>
  <si>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</si>
  <si>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</si>
  <si>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</si>
  <si>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</si>
  <si>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</si>
  <si>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</si>
  <si>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</si>
  <si>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</si>
  <si>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</si>
  <si>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</si>
  <si>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</si>
  <si>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</si>
  <si>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</si>
  <si>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</si>
  <si>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</si>
  <si>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</si>
  <si>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</si>
  <si>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</si>
  <si>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</si>
  <si>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</si>
  <si>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</si>
  <si>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</si>
  <si>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</si>
  <si>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</si>
  <si>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</si>
  <si>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</si>
  <si>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</si>
  <si>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</si>
  <si>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</si>
  <si>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</si>
  <si>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</si>
  <si>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</si>
  <si>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</si>
  <si>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</si>
  <si>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</si>
  <si>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</si>
  <si>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</si>
  <si>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</si>
  <si>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</si>
  <si>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</si>
  <si>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</si>
  <si>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</si>
  <si>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</si>
  <si>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</si>
  <si>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</si>
  <si>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</si>
  <si>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</si>
  <si>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</si>
  <si>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</si>
  <si>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</si>
  <si>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</si>
  <si>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</si>
  <si>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</si>
  <si>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</si>
  <si>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</si>
  <si>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</si>
  <si>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</si>
  <si>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</si>
  <si>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</si>
  <si>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</si>
  <si>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</si>
  <si>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</si>
  <si>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</si>
  <si>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</si>
  <si>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</si>
  <si>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</si>
  <si>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</si>
  <si>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</si>
  <si>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</si>
  <si>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</si>
  <si>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</si>
  <si>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</si>
  <si>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</si>
  <si>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</si>
  <si>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</si>
  <si>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</si>
  <si>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</si>
  <si>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</si>
  <si>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</si>
  <si>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</si>
  <si>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</si>
  <si>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</si>
  <si>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</si>
  <si>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</si>
  <si>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</si>
  <si>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</si>
  <si>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</si>
  <si>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</si>
  <si>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</si>
  <si>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</si>
  <si>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</si>
  <si>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</si>
  <si>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</si>
  <si>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</si>
  <si>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</si>
  <si>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</si>
  <si>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</si>
  <si>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</si>
  <si>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</si>
  <si>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</si>
  <si>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</si>
  <si>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</si>
  <si>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</si>
  <si>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</si>
  <si>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</si>
  <si>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</si>
  <si>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</si>
  <si>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</si>
  <si>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</si>
  <si>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</si>
  <si>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</si>
  <si>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</si>
  <si>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</si>
  <si>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</si>
  <si>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</si>
  <si>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</si>
  <si>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</si>
  <si>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</si>
  <si>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</si>
  <si>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</si>
  <si>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</si>
  <si>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</si>
  <si>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</si>
  <si>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</si>
  <si>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</si>
  <si>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</si>
  <si>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</si>
  <si>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</si>
  <si>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</si>
  <si>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</si>
  <si>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</si>
  <si>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</si>
  <si>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</si>
  <si>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</si>
  <si>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</si>
  <si>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</si>
  <si>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</si>
  <si>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</si>
  <si>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</si>
  <si>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</si>
  <si>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</si>
  <si>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</si>
  <si>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</si>
  <si>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</si>
  <si>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</si>
  <si>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</si>
  <si>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</si>
  <si>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</si>
  <si>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</si>
  <si>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</si>
  <si>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</si>
  <si>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</si>
  <si>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</si>
  <si>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</si>
  <si>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</si>
  <si>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</si>
  <si>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</si>
  <si>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</si>
  <si>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</si>
  <si>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</si>
  <si>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</si>
  <si>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</si>
  <si>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</si>
  <si>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</si>
  <si>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</si>
  <si>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</si>
  <si>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</si>
  <si>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</si>
  <si>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</si>
  <si>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</si>
  <si>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</si>
  <si>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</si>
  <si>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</si>
  <si>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</si>
  <si>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</si>
  <si>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</si>
  <si>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</si>
  <si>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</si>
  <si>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</si>
  <si>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</si>
  <si>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</si>
  <si>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</si>
  <si>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</si>
  <si>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</si>
  <si>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</si>
  <si>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</si>
  <si>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</si>
  <si>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</si>
  <si>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</si>
  <si>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</si>
  <si>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</si>
  <si>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</si>
  <si>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</si>
  <si>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</si>
  <si>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</si>
  <si>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</si>
  <si>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</si>
  <si>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</si>
  <si>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</si>
  <si>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</si>
  <si>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</si>
  <si>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</si>
  <si>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</si>
  <si>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</si>
  <si>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</si>
  <si>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</si>
  <si>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</si>
  <si>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</si>
  <si>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</si>
  <si>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</si>
  <si>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</si>
  <si>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</si>
  <si>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</si>
  <si>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</si>
  <si>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</si>
  <si>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</si>
  <si>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</si>
  <si>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</si>
  <si>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</si>
  <si>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</si>
  <si>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</si>
  <si>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</si>
  <si>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</si>
  <si>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</si>
  <si>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</si>
  <si>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</si>
  <si>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</si>
  <si>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</si>
  <si>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</si>
  <si>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</si>
  <si>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</si>
  <si>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</si>
  <si>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</si>
  <si>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</si>
  <si>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</si>
  <si>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</si>
  <si>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</si>
  <si>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</si>
  <si>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</si>
  <si>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</si>
  <si>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</si>
  <si>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</si>
  <si>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</si>
  <si>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</si>
  <si>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</si>
  <si>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</si>
  <si>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</si>
  <si>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</si>
  <si>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</si>
  <si>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</si>
  <si>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</si>
  <si>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</si>
  <si>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</si>
  <si>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</si>
  <si>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</si>
  <si>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</si>
  <si>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</si>
  <si>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</si>
  <si>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</si>
  <si>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</si>
  <si>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</si>
  <si>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</si>
  <si>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</si>
  <si>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</si>
  <si>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</si>
  <si>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</si>
  <si>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</si>
  <si>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</si>
  <si>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</si>
  <si>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</si>
  <si>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</si>
  <si>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</si>
  <si>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</si>
  <si>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</si>
  <si>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</si>
  <si>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</si>
  <si>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</si>
  <si>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</si>
  <si>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</si>
  <si>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</si>
  <si>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</si>
  <si>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</si>
  <si>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</si>
  <si>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</si>
  <si>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</si>
  <si>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</si>
  <si>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</si>
  <si>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</si>
  <si>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</si>
  <si>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</si>
  <si>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</si>
  <si>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</si>
  <si>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</si>
  <si>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</si>
  <si>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</si>
  <si>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</si>
  <si>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</si>
  <si>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</si>
  <si>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</si>
  <si>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</si>
  <si>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</si>
  <si>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</si>
  <si>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</si>
  <si>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</si>
  <si>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</si>
  <si>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</si>
  <si>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</si>
  <si>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</si>
  <si>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</si>
  <si>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</si>
  <si>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</si>
  <si>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</si>
  <si>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</si>
  <si>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</si>
  <si>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</si>
  <si>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</si>
  <si>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</si>
  <si>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</si>
  <si>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</si>
  <si>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</si>
  <si>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</si>
  <si>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</si>
  <si>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</si>
  <si>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</si>
  <si>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</si>
  <si>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</si>
  <si>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</si>
  <si>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</si>
  <si>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</si>
  <si>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</si>
  <si>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</si>
  <si>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</si>
  <si>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</si>
  <si>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</si>
  <si>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</si>
  <si>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</si>
  <si>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</si>
  <si>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</si>
  <si>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</si>
  <si>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</si>
  <si>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</si>
  <si>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</si>
  <si>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</si>
  <si>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</si>
  <si>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</si>
  <si>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</si>
  <si>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</si>
  <si>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</si>
  <si>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</si>
  <si>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</si>
  <si>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</si>
  <si>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</si>
  <si>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</si>
  <si>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</si>
  <si>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</si>
  <si>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</si>
  <si>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</si>
  <si>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</si>
  <si>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</si>
  <si>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</si>
  <si>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</si>
  <si>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</si>
  <si>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</si>
  <si>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</si>
  <si>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</si>
  <si>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</si>
  <si>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</si>
  <si>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</si>
  <si>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</si>
  <si>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</si>
  <si>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</si>
  <si>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</si>
  <si>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</si>
  <si>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</si>
  <si>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</si>
  <si>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</si>
  <si>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</si>
  <si>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</si>
  <si>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</si>
  <si>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</si>
  <si>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</si>
  <si>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</si>
  <si>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</si>
  <si>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</si>
  <si>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</si>
  <si>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</si>
  <si>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</si>
  <si>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</si>
  <si>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</si>
  <si>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</si>
  <si>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</si>
  <si>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</si>
  <si>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</si>
  <si>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</si>
  <si>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</si>
  <si>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</si>
  <si>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</si>
  <si>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</si>
  <si>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</si>
  <si>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</si>
  <si>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</si>
  <si>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</si>
  <si>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</si>
  <si>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</si>
  <si>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</si>
  <si>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</si>
  <si>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</si>
  <si>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</si>
  <si>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</si>
  <si>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</si>
  <si>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</si>
  <si>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</si>
  <si>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</si>
  <si>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</si>
  <si>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</si>
  <si>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</si>
  <si>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</si>
  <si>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</si>
  <si>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</si>
  <si>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</si>
  <si>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</si>
  <si>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</si>
  <si>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</si>
  <si>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</si>
  <si>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</si>
  <si>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</si>
  <si>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</si>
  <si>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</si>
  <si>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</si>
  <si>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</si>
  <si>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</si>
  <si>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</si>
  <si>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</si>
  <si>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</si>
  <si>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</si>
  <si>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</si>
  <si>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</si>
  <si>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</si>
  <si>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</si>
  <si>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</si>
  <si>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</si>
  <si>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</si>
  <si>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</si>
  <si>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</si>
  <si>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</si>
  <si>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</si>
  <si>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</si>
  <si>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</si>
  <si>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</si>
  <si>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</si>
  <si>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</si>
  <si>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</si>
  <si>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</si>
  <si>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</si>
  <si>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</si>
  <si>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</si>
  <si>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</si>
  <si>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</si>
  <si>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</si>
  <si>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</si>
  <si>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</si>
  <si>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</si>
  <si>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</si>
  <si>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</si>
  <si>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</si>
  <si>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</si>
  <si>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</si>
  <si>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</si>
  <si>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</si>
  <si>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</si>
  <si>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</si>
  <si>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</si>
  <si>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</si>
  <si>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</si>
  <si>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</si>
  <si>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</si>
  <si>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</si>
  <si>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</si>
  <si>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</si>
  <si>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</si>
  <si>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</si>
  <si>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</si>
  <si>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</si>
  <si>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</si>
  <si>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</si>
  <si>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</si>
  <si>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</si>
  <si>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</si>
  <si>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</si>
  <si>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</si>
  <si>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</si>
  <si>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</si>
  <si>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</si>
  <si>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</si>
  <si>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</si>
  <si>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</si>
  <si>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</si>
  <si>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</si>
  <si>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</si>
  <si>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</si>
  <si>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</si>
  <si>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</si>
  <si>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</si>
  <si>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</si>
  <si>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</si>
  <si>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</si>
  <si>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</si>
  <si>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</si>
  <si>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</si>
  <si>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</si>
  <si>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</si>
  <si>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</si>
  <si>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</si>
  <si>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</si>
  <si>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</si>
  <si>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</si>
  <si>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</si>
  <si>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</si>
  <si>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</si>
  <si>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</si>
  <si>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</si>
  <si>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</si>
  <si>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</si>
  <si>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</si>
  <si>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</si>
  <si>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</si>
  <si>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</si>
  <si>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</si>
  <si>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</si>
  <si>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</si>
  <si>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</si>
  <si>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</si>
  <si>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</si>
  <si>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</si>
  <si>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</si>
  <si>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</si>
  <si>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</si>
  <si>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</si>
  <si>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</si>
  <si>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</si>
  <si>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</si>
  <si>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</si>
  <si>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</si>
  <si>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</si>
  <si>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</si>
  <si>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</si>
  <si>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</si>
  <si>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</si>
  <si>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</si>
  <si>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</si>
  <si>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</si>
  <si>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</si>
  <si>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</si>
  <si>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</si>
  <si>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</si>
  <si>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</si>
  <si>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</si>
  <si>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</si>
  <si>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</si>
  <si>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</si>
  <si>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</si>
  <si>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</si>
  <si>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</si>
  <si>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</si>
  <si>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</si>
  <si>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</si>
  <si>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</si>
  <si>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</si>
  <si>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</si>
  <si>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</si>
  <si>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</si>
  <si>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</si>
  <si>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</si>
  <si>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</si>
  <si>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</si>
  <si>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</si>
  <si>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</si>
  <si>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</si>
  <si>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</si>
  <si>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</si>
  <si>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</si>
  <si>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</si>
  <si>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</si>
  <si>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</si>
  <si>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</si>
  <si>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</si>
  <si>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</si>
  <si>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</si>
  <si>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</si>
  <si>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</si>
  <si>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</si>
  <si>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</si>
  <si>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</si>
  <si>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</si>
  <si>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</si>
  <si>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</si>
  <si>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</si>
  <si>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</si>
  <si>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</si>
  <si>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</si>
  <si>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</si>
  <si>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</si>
  <si>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</si>
  <si>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</si>
  <si>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</si>
  <si>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</si>
  <si>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</si>
  <si>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</si>
  <si>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</si>
  <si>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</si>
  <si>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</si>
  <si>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</si>
  <si>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</si>
  <si>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</si>
  <si>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</si>
  <si>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</si>
  <si>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</si>
  <si>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</si>
  <si>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</si>
  <si>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</si>
  <si>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</si>
  <si>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</si>
  <si>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</si>
  <si>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</si>
  <si>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</si>
  <si>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</si>
  <si>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</si>
  <si>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</si>
  <si>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</si>
  <si>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</si>
  <si>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</si>
  <si>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</si>
  <si>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</si>
  <si>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</si>
  <si>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</si>
  <si>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</si>
  <si>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</si>
  <si>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</si>
  <si>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</si>
  <si>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</si>
  <si>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</si>
  <si>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</si>
  <si>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</si>
  <si>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</si>
  <si>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</si>
  <si>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</si>
  <si>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</si>
  <si>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</si>
  <si>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</si>
  <si>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</si>
  <si>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</si>
  <si>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</si>
  <si>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</si>
  <si>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</si>
  <si>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</si>
  <si>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</si>
  <si>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</si>
  <si>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</si>
  <si>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</si>
  <si>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</si>
  <si>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</si>
  <si>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</si>
  <si>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</si>
  <si>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</si>
  <si>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</si>
  <si>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</si>
  <si>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</si>
  <si>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</si>
  <si>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</si>
  <si>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</si>
  <si>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</si>
  <si>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</si>
  <si>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</si>
  <si>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</si>
  <si>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</si>
  <si>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</si>
  <si>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</si>
  <si>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</si>
  <si>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</si>
  <si>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</si>
  <si>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</si>
  <si>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</si>
  <si>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</si>
  <si>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</si>
  <si>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</si>
  <si>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</si>
  <si>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</si>
  <si>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</si>
  <si>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</si>
  <si>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</si>
  <si>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</si>
  <si>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</si>
  <si>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</si>
  <si>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</si>
  <si>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</si>
  <si>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</si>
  <si>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</si>
  <si>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</si>
  <si>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</si>
  <si>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</si>
  <si>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</si>
  <si>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</si>
  <si>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</si>
  <si>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</si>
  <si>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</si>
  <si>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</si>
  <si>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</si>
  <si>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</si>
  <si>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</si>
  <si>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</si>
  <si>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</si>
  <si>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</si>
  <si>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</si>
  <si>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</si>
  <si>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</si>
  <si>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</si>
  <si>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</si>
  <si>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</si>
  <si>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</si>
  <si>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</si>
  <si>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</si>
  <si>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</si>
  <si>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</si>
  <si>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</si>
  <si>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</si>
  <si>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</si>
  <si>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</si>
  <si>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</si>
  <si>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</si>
  <si>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</si>
  <si>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</si>
  <si>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</si>
  <si>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</si>
  <si>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</si>
  <si>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</si>
  <si>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</si>
  <si>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</si>
  <si>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</si>
  <si>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</si>
  <si>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</si>
  <si>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</si>
  <si>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</si>
  <si>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</si>
  <si>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</si>
  <si>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</si>
  <si>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</si>
  <si>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</si>
  <si>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</si>
  <si>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</si>
  <si>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</si>
  <si>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</si>
  <si>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</si>
  <si>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</si>
  <si>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</si>
  <si>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</si>
  <si>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</si>
  <si>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</si>
  <si>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</si>
  <si>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</si>
  <si>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</si>
  <si>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</si>
  <si>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</si>
  <si>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</si>
  <si>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</si>
  <si>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</si>
  <si>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</si>
  <si>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</si>
  <si>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</si>
  <si>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</si>
  <si>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</si>
  <si>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</si>
  <si>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</si>
  <si>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</si>
  <si>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</si>
  <si>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</si>
  <si>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</si>
  <si>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</si>
  <si>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</si>
  <si>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</si>
  <si>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</si>
  <si>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</si>
  <si>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</si>
  <si>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</si>
  <si>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</si>
  <si>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</si>
  <si>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</si>
  <si>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</si>
  <si>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</si>
  <si>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</si>
  <si>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</si>
  <si>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</si>
  <si>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</si>
  <si>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</si>
  <si>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</si>
  <si>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</si>
  <si>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</si>
  <si>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</si>
  <si>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</si>
  <si>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</si>
  <si>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</si>
  <si>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</si>
  <si>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</si>
  <si>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</si>
  <si>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</si>
  <si>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</si>
  <si>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</si>
  <si>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</si>
  <si>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</si>
  <si>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</si>
  <si>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</si>
  <si>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</si>
  <si>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</si>
  <si>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</si>
  <si>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</si>
  <si>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</si>
  <si>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</si>
  <si>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</si>
  <si>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</si>
  <si>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</si>
  <si>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</si>
  <si>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</si>
  <si>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</si>
  <si>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</si>
  <si>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</si>
  <si>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</si>
  <si>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</si>
  <si>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</si>
  <si>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</si>
  <si>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</si>
  <si>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</si>
  <si>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</si>
  <si>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</si>
  <si>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</si>
  <si>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</si>
  <si>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</si>
  <si>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</si>
  <si>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</si>
  <si>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</si>
  <si>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</si>
  <si>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</si>
  <si>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</si>
  <si>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</si>
  <si>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</si>
  <si>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</si>
  <si>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</si>
  <si>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</si>
  <si>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</si>
  <si>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</si>
  <si>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</si>
  <si>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</si>
  <si>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</si>
  <si>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</si>
  <si>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</si>
  <si>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</si>
  <si>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</si>
  <si>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</si>
  <si>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</si>
  <si>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</si>
  <si>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</si>
  <si>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</si>
  <si>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</si>
  <si>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</si>
  <si>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</si>
  <si>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</si>
  <si>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</si>
  <si>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</si>
  <si>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</si>
  <si>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</si>
  <si>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</si>
  <si>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</si>
  <si>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</si>
  <si>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</si>
  <si>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</si>
  <si>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</si>
  <si>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</si>
  <si>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</si>
  <si>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</si>
  <si>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</si>
  <si>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</si>
  <si>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</si>
  <si>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</si>
  <si>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</si>
  <si>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</si>
  <si>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</si>
  <si>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</si>
  <si>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</si>
  <si>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</si>
  <si>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</si>
  <si>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</si>
  <si>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</si>
  <si>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</si>
  <si>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</si>
  <si>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</si>
  <si>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</si>
  <si>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</si>
  <si>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</si>
  <si>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</si>
  <si>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</si>
  <si>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</si>
  <si>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</si>
  <si>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</si>
  <si>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</si>
  <si>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</si>
  <si>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</si>
  <si>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</si>
  <si>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</si>
  <si>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</si>
  <si>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</si>
  <si>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</si>
  <si>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</si>
  <si>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</si>
  <si>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</si>
  <si>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</si>
  <si>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</si>
  <si>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</si>
  <si>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</si>
  <si>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</si>
  <si>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</si>
  <si>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</si>
  <si>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</si>
  <si>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</si>
  <si>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</si>
  <si>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</si>
  <si>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</si>
  <si>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</si>
  <si>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</si>
  <si>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</si>
  <si>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</si>
  <si>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</si>
  <si>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</si>
  <si>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</si>
  <si>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</si>
  <si>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</si>
  <si>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</si>
  <si>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</si>
  <si>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</si>
  <si>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</si>
  <si>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</si>
  <si>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</si>
  <si>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</si>
  <si>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</si>
  <si>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</si>
  <si>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</si>
  <si>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</si>
  <si>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</si>
  <si>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</si>
  <si>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</si>
  <si>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</si>
  <si>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</si>
  <si>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</si>
  <si>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</si>
  <si>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</si>
  <si>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</si>
  <si>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</si>
  <si>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</si>
  <si>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</si>
  <si>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</si>
  <si>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</si>
  <si>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</si>
  <si>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</si>
  <si>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</si>
  <si>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</si>
  <si>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</si>
  <si>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</si>
  <si>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</si>
  <si>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</si>
  <si>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</si>
  <si>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</si>
  <si>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</si>
  <si>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</si>
  <si>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</si>
  <si>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</si>
  <si>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</si>
  <si>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</si>
  <si>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</si>
  <si>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</si>
  <si>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</si>
  <si>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</si>
  <si>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</si>
  <si>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</si>
  <si>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</si>
  <si>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</si>
  <si>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</si>
  <si>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</si>
  <si>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</si>
  <si>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</si>
  <si>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</si>
  <si>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</si>
  <si>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</si>
  <si>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</si>
  <si>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</si>
  <si>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</si>
  <si>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</si>
  <si>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</si>
  <si>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</si>
  <si>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</si>
  <si>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</si>
  <si>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</si>
  <si>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</si>
  <si>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</si>
  <si>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</si>
  <si>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</si>
  <si>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</si>
  <si>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</si>
  <si>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</si>
  <si>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</si>
  <si>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</si>
  <si>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</si>
  <si>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</si>
  <si>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</si>
  <si>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</si>
  <si>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</si>
  <si>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</si>
  <si>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</si>
  <si>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</si>
  <si>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</si>
  <si>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</si>
  <si>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</si>
  <si>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</si>
  <si>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</si>
  <si>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</si>
  <si>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</si>
  <si>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</si>
  <si>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</si>
  <si>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</si>
  <si>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</si>
  <si>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</si>
  <si>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</si>
  <si>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</si>
  <si>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</si>
  <si>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</si>
  <si>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</si>
  <si>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</si>
  <si>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</si>
  <si>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</si>
  <si>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</si>
  <si>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</si>
  <si>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</si>
  <si>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</si>
  <si>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</si>
  <si>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</si>
  <si>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</si>
  <si>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</si>
  <si>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</si>
  <si>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</si>
  <si>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</si>
  <si>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</si>
  <si>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</si>
  <si>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</si>
  <si>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</si>
  <si>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</si>
  <si>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</si>
  <si>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</si>
  <si>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</si>
  <si>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</si>
  <si>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</si>
  <si>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</si>
  <si>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</si>
  <si>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</si>
  <si>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</si>
  <si>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</si>
  <si>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</si>
  <si>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</si>
  <si>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</si>
  <si>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</si>
  <si>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</si>
  <si>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</si>
  <si>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</si>
  <si>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</si>
  <si>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</si>
  <si>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</si>
  <si>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</si>
  <si>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</si>
  <si>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</si>
  <si>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</si>
  <si>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</si>
  <si>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</si>
  <si>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</si>
  <si>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</si>
  <si>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</si>
  <si>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</si>
  <si>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</si>
  <si>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</si>
  <si>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</si>
  <si>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</si>
  <si>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</si>
  <si>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</si>
  <si>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</si>
  <si>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</si>
  <si>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</si>
  <si>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</si>
  <si>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</si>
  <si>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</si>
  <si>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</si>
  <si>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</si>
  <si>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</si>
  <si>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</si>
  <si>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</si>
  <si>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</si>
  <si>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</si>
  <si>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</si>
  <si>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</si>
  <si>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</si>
  <si>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</si>
  <si>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</si>
  <si>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</si>
  <si>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</si>
  <si>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</si>
  <si>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</si>
  <si>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</si>
  <si>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</si>
  <si>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</si>
  <si>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</si>
  <si>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</si>
  <si>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</si>
  <si>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</si>
  <si>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</si>
  <si>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</si>
  <si>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</si>
  <si>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</si>
  <si>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</si>
  <si>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</si>
  <si>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</si>
  <si>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</si>
  <si>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</si>
  <si>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</si>
  <si>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</si>
  <si>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</si>
  <si>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</si>
  <si>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</si>
  <si>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</si>
  <si>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</si>
  <si>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</si>
  <si>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</si>
  <si>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</si>
  <si>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</si>
  <si>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</si>
  <si>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</si>
  <si>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</si>
  <si>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</si>
  <si>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</si>
  <si>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</si>
  <si>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</si>
  <si>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</si>
  <si>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</si>
  <si>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</si>
  <si>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</si>
  <si>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</si>
  <si>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</si>
  <si>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</si>
  <si>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</si>
  <si>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</si>
  <si>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</si>
  <si>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</si>
  <si>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</si>
  <si>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</si>
  <si>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</si>
  <si>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</si>
  <si>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</si>
  <si>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</si>
  <si>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</si>
  <si>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</si>
  <si>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</si>
  <si>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</si>
  <si>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</si>
  <si>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</si>
  <si>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</si>
  <si>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</si>
  <si>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</si>
  <si>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</si>
  <si>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</si>
  <si>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</si>
  <si>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</si>
  <si>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</si>
  <si>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</si>
  <si>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</si>
  <si>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</si>
  <si>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</si>
  <si>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</si>
  <si>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</si>
  <si>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</si>
  <si>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</si>
  <si>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</si>
  <si>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</si>
  <si>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</si>
  <si>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</si>
  <si>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</si>
  <si>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</si>
  <si>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</si>
  <si>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</si>
  <si>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</si>
  <si>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</si>
  <si>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</si>
  <si>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</si>
  <si>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</si>
  <si>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</si>
  <si>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</si>
  <si>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</si>
  <si>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</si>
  <si>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</si>
  <si>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</si>
  <si>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</si>
  <si>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</si>
  <si>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</si>
  <si>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</si>
  <si>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</si>
  <si>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</si>
  <si>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</si>
  <si>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</si>
  <si>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</si>
  <si>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</si>
  <si>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</si>
  <si>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</si>
  <si>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</si>
  <si>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</si>
  <si>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</si>
  <si>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</si>
  <si>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</si>
  <si>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</si>
  <si>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</si>
  <si>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</si>
  <si>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</si>
  <si>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</si>
  <si>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</si>
  <si>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</si>
  <si>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</si>
  <si>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</si>
  <si>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</si>
  <si>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</si>
  <si>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</si>
  <si>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</si>
  <si>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</si>
  <si>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</si>
  <si>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</si>
  <si>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</si>
  <si>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</si>
  <si>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</si>
  <si>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</si>
  <si>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</si>
  <si>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</si>
  <si>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</si>
  <si>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</si>
  <si>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</si>
  <si>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</si>
  <si>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</si>
  <si>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</si>
  <si>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</si>
  <si>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</si>
  <si>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</si>
  <si>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</si>
  <si>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</si>
  <si>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</si>
  <si>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</si>
  <si>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</si>
  <si>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</si>
  <si>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</si>
  <si>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</si>
  <si>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</si>
  <si>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</si>
  <si>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</si>
  <si>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</si>
  <si>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</si>
  <si>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</si>
  <si>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</si>
  <si>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</si>
  <si>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</si>
  <si>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</si>
  <si>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</si>
  <si>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</si>
  <si>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</si>
  <si>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</si>
  <si>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</si>
  <si>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</si>
  <si>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</si>
  <si>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</si>
  <si>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</si>
  <si>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</si>
  <si>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</si>
  <si>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</si>
  <si>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</si>
  <si>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</si>
  <si>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</si>
  <si>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</si>
  <si>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</si>
  <si>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</si>
  <si>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</si>
  <si>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</si>
  <si>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</si>
  <si>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</si>
  <si>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</si>
  <si>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</si>
  <si>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</si>
  <si>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</si>
  <si>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</si>
  <si>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</si>
  <si>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</si>
  <si>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</si>
  <si>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</si>
  <si>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</si>
  <si>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</si>
  <si>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</si>
  <si>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</si>
  <si>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</si>
  <si>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</si>
  <si>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</si>
  <si>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</si>
  <si>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</si>
  <si>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</si>
  <si>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</si>
  <si>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</si>
  <si>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</si>
  <si>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</si>
  <si>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</si>
  <si>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</si>
  <si>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</si>
  <si>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</si>
  <si>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</si>
  <si>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</si>
  <si>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</si>
  <si>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</si>
  <si>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</si>
  <si>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</si>
  <si>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</si>
  <si>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</si>
  <si>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</si>
  <si>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</si>
  <si>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</si>
  <si>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</si>
  <si>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</si>
  <si>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</si>
  <si>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</si>
  <si>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</si>
  <si>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</si>
  <si>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</si>
  <si>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</si>
  <si>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</si>
  <si>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</si>
  <si>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</si>
  <si>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</si>
  <si>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</si>
  <si>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</si>
  <si>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</si>
  <si>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</si>
  <si>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</si>
  <si>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</si>
  <si>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</si>
  <si>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</si>
  <si>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</si>
  <si>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</si>
  <si>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</si>
  <si>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</si>
  <si>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</si>
  <si>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</si>
  <si>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</si>
  <si>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</si>
  <si>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</si>
  <si>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</si>
  <si>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</si>
  <si>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</si>
  <si>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</si>
  <si>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</si>
  <si>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</si>
  <si>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</si>
  <si>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</si>
  <si>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</si>
  <si>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</si>
  <si>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</si>
  <si>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</si>
  <si>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</si>
  <si>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</si>
  <si>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</si>
  <si>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</si>
  <si>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</si>
  <si>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</si>
  <si>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</si>
  <si>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</si>
  <si>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</si>
  <si>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</si>
  <si>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</si>
  <si>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</si>
  <si>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</si>
  <si>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</si>
  <si>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</si>
  <si>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</si>
  <si>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</si>
  <si>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</si>
  <si>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</si>
  <si>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</si>
  <si>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</si>
  <si>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</si>
  <si>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</si>
  <si>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</si>
  <si>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</si>
  <si>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</si>
  <si>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</si>
  <si>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</si>
  <si>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</si>
  <si>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</si>
  <si>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</si>
  <si>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</si>
  <si>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</si>
  <si>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</si>
  <si>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</si>
  <si>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</si>
  <si>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</si>
  <si>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</si>
  <si>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</si>
  <si>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</si>
  <si>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</si>
  <si>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</si>
  <si>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</si>
  <si>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</si>
  <si>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</si>
  <si>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</si>
  <si>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</si>
  <si>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</si>
  <si>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</si>
  <si>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</si>
  <si>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</si>
  <si>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</si>
  <si>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</si>
  <si>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</si>
  <si>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</si>
  <si>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</si>
  <si>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</si>
  <si>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</si>
  <si>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</si>
  <si>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</si>
  <si>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</si>
  <si>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</si>
  <si>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</si>
  <si>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</si>
  <si>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</si>
  <si>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</si>
  <si>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</si>
  <si>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</si>
  <si>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</si>
  <si>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</si>
  <si>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</si>
  <si>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</si>
  <si>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</si>
  <si>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</si>
  <si>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</si>
  <si>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</si>
  <si>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</si>
  <si>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</si>
  <si>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</si>
  <si>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</si>
  <si>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</si>
  <si>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</si>
  <si>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</si>
  <si>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</si>
  <si>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</si>
  <si>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</si>
  <si>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</si>
  <si>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</si>
  <si>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</si>
  <si>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</si>
  <si>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</si>
  <si>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</si>
  <si>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</si>
  <si>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</si>
  <si>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</si>
  <si>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</si>
  <si>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</si>
  <si>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</si>
  <si>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</si>
  <si>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</si>
  <si>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</si>
  <si>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</si>
  <si>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</si>
  <si>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</si>
  <si>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</si>
  <si>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</si>
  <si>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</si>
  <si>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</si>
  <si>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</si>
  <si>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</si>
  <si>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</si>
  <si>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</si>
  <si>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</si>
  <si>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</si>
  <si>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</si>
  <si>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</si>
  <si>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</si>
  <si>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</si>
  <si>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</si>
  <si>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</si>
  <si>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</si>
  <si>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</si>
  <si>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</si>
  <si>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</si>
  <si>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</si>
  <si>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</si>
  <si>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</si>
  <si>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</si>
  <si>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</si>
  <si>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</si>
  <si>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</si>
  <si>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</si>
  <si>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</si>
  <si>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</si>
  <si>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</si>
  <si>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</si>
  <si>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</si>
  <si>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</si>
  <si>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</si>
  <si>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</si>
  <si>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</si>
  <si>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</si>
  <si>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</si>
  <si>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</si>
  <si>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</si>
  <si>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</si>
  <si>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</si>
  <si>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</si>
  <si>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</si>
  <si>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</si>
  <si>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</si>
  <si>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</si>
  <si>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</si>
  <si>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</si>
  <si>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</si>
  <si>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</si>
  <si>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</si>
  <si>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</si>
  <si>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</si>
  <si>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</si>
  <si>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</si>
  <si>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</si>
  <si>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</si>
  <si>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</si>
  <si>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</si>
  <si>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</si>
  <si>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</si>
  <si>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</si>
  <si>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</si>
  <si>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</si>
  <si>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</si>
  <si>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</si>
  <si>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</si>
  <si>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</si>
  <si>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</si>
  <si>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</si>
  <si>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</si>
  <si>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</si>
  <si>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</si>
  <si>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</si>
  <si>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</si>
  <si>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</si>
  <si>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</si>
  <si>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</si>
  <si>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</si>
  <si>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</si>
  <si>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</si>
  <si>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</si>
  <si>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</si>
  <si>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</si>
  <si>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</si>
  <si>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</si>
  <si>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</si>
  <si>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</si>
  <si>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</si>
  <si>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</si>
  <si>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</si>
  <si>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</si>
  <si>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</si>
  <si>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</si>
  <si>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</si>
  <si>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</si>
  <si>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</si>
  <si>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</si>
  <si>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</si>
  <si>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</si>
  <si>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</si>
  <si>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</si>
  <si>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</si>
  <si>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</si>
  <si>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</si>
  <si>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</si>
  <si>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</si>
  <si>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</si>
  <si>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</si>
  <si>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</si>
  <si>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</si>
  <si>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</si>
  <si>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</si>
  <si>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</si>
  <si>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</si>
  <si>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</si>
  <si>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</si>
  <si>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</si>
  <si>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</si>
  <si>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</si>
  <si>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</si>
  <si>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</si>
  <si>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</si>
  <si>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</si>
  <si>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</si>
  <si>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</si>
  <si>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</si>
  <si>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</si>
  <si>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</si>
  <si>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</si>
  <si>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</si>
  <si>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</si>
  <si>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</si>
  <si>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</si>
  <si>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</si>
  <si>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</si>
  <si>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</si>
  <si>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</si>
  <si>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</si>
  <si>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</si>
  <si>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</si>
  <si>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</si>
  <si>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</si>
  <si>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</si>
  <si>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</si>
  <si>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</si>
  <si>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</si>
  <si>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</si>
  <si>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</si>
  <si>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</si>
  <si>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</si>
  <si>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</si>
  <si>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</si>
  <si>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</si>
  <si>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</si>
  <si>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</si>
  <si>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</si>
  <si>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</si>
  <si>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</si>
  <si>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</si>
  <si>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</si>
  <si>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</si>
  <si>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</si>
  <si>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</si>
  <si>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</si>
  <si>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</si>
  <si>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</si>
  <si>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</si>
  <si>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</si>
  <si>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</si>
  <si>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</si>
  <si>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</si>
  <si>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</si>
  <si>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</si>
  <si>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</si>
  <si>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</si>
  <si>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</si>
  <si>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</si>
  <si>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</si>
  <si>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</si>
  <si>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</si>
  <si>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</si>
  <si>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</si>
  <si>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</si>
  <si>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</si>
  <si>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</si>
  <si>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</si>
  <si>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</si>
  <si>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</si>
  <si>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</si>
  <si>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</si>
  <si>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</si>
  <si>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</si>
  <si>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</si>
  <si>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</si>
  <si>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</si>
  <si>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</si>
  <si>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</si>
  <si>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</si>
  <si>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</si>
  <si>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</si>
  <si>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</si>
  <si>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</si>
  <si>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</si>
  <si>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</si>
  <si>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</si>
  <si>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</si>
  <si>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</si>
  <si>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</si>
  <si>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</si>
  <si>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</si>
  <si>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</si>
  <si>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</si>
  <si>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</si>
  <si>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</si>
  <si>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</si>
  <si>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</si>
  <si>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</si>
  <si>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</si>
  <si>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</si>
  <si>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</si>
  <si>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</si>
  <si>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</si>
  <si>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</si>
  <si>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</si>
  <si>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</si>
  <si>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</si>
  <si>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</si>
  <si>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</si>
  <si>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</si>
  <si>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</si>
  <si>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</si>
  <si>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</si>
  <si>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</si>
  <si>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</si>
  <si>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</si>
  <si>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</si>
  <si>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</si>
  <si>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</si>
  <si>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</si>
  <si>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</si>
  <si>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</si>
  <si>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</si>
  <si>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</si>
  <si>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</si>
  <si>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</si>
  <si>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</si>
  <si>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</si>
  <si>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</si>
  <si>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</si>
  <si>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</si>
  <si>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</si>
  <si>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</si>
  <si>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</si>
  <si>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</si>
  <si>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</si>
  <si>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</si>
  <si>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</si>
  <si>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</si>
  <si>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</si>
  <si>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</si>
  <si>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</si>
  <si>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</si>
  <si>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</si>
  <si>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</si>
  <si>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</si>
  <si>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</si>
  <si>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</si>
  <si>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</si>
  <si>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</si>
  <si>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</si>
  <si>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</si>
  <si>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</si>
  <si>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</si>
  <si>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</si>
  <si>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</si>
  <si>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</si>
  <si>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</si>
  <si>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</si>
  <si>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</si>
  <si>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</si>
  <si>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</si>
  <si>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</si>
  <si>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</si>
  <si>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</si>
  <si>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</si>
  <si>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</si>
  <si>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</si>
  <si>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</si>
  <si>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</si>
  <si>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</si>
  <si>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</si>
  <si>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</si>
  <si>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</si>
  <si>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</si>
  <si>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</si>
  <si>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</si>
  <si>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</si>
  <si>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</si>
  <si>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</si>
  <si>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</si>
  <si>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</si>
  <si>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</si>
  <si>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</si>
  <si>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</si>
  <si>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</si>
  <si>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</si>
  <si>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</si>
  <si>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</si>
  <si>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</si>
  <si>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</si>
  <si>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</si>
  <si>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</si>
  <si>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</si>
  <si>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</si>
  <si>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</si>
  <si>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</si>
  <si>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</si>
  <si>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</si>
  <si>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</si>
  <si>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</si>
  <si>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</si>
  <si>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</si>
  <si>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</si>
  <si>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</si>
  <si>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</si>
  <si>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</si>
  <si>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</si>
  <si>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</si>
  <si>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</si>
  <si>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</si>
  <si>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</si>
  <si>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</si>
  <si>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</si>
  <si>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</si>
  <si>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</si>
  <si>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</si>
  <si>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</si>
  <si>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</si>
  <si>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</si>
  <si>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</si>
  <si>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</si>
  <si>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</si>
  <si>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</si>
  <si>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</si>
  <si>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</si>
  <si>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</si>
  <si>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</si>
  <si>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</si>
  <si>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</si>
  <si>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</si>
  <si>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</si>
  <si>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</si>
  <si>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</si>
  <si>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</si>
  <si>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</si>
  <si>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</si>
  <si>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</si>
  <si>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</si>
  <si>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</si>
  <si>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</si>
  <si>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</si>
  <si>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</si>
  <si>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</si>
  <si>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</si>
  <si>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</si>
  <si>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</si>
  <si>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</si>
  <si>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</si>
  <si>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</si>
  <si>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</si>
  <si>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</si>
  <si>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</si>
  <si>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</si>
  <si>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</si>
  <si>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</si>
  <si>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</si>
  <si>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</si>
  <si>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</si>
  <si>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</si>
  <si>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</si>
  <si>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</si>
  <si>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</si>
  <si>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</si>
  <si>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</si>
  <si>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</si>
  <si>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</si>
  <si>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</si>
  <si>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</si>
  <si>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</si>
  <si>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</si>
  <si>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</si>
  <si>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</si>
  <si>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</si>
  <si>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</si>
  <si>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</si>
  <si>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</si>
  <si>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</si>
  <si>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</si>
  <si>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</si>
  <si>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</si>
  <si>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</si>
  <si>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</si>
  <si>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</si>
  <si>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</si>
  <si>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</si>
  <si>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</si>
  <si>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</si>
  <si>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</si>
  <si>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</si>
  <si>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</si>
  <si>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</si>
  <si>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</si>
  <si>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</si>
  <si>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</si>
  <si>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</si>
  <si>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</si>
  <si>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</si>
  <si>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</si>
  <si>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</si>
  <si>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</si>
  <si>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</si>
  <si>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</si>
  <si>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</si>
  <si>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</si>
  <si>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</si>
  <si>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</si>
  <si>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</si>
  <si>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</si>
  <si>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</si>
  <si>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</si>
  <si>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</si>
  <si>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</si>
  <si>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</si>
  <si>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</si>
  <si>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</si>
  <si>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</si>
  <si>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</si>
  <si>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</si>
  <si>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</si>
  <si>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</si>
  <si>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</si>
  <si>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</si>
  <si>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</si>
  <si>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</si>
  <si>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</si>
  <si>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</si>
  <si>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</si>
  <si>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</si>
  <si>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</si>
  <si>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</si>
  <si>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</si>
  <si>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</si>
  <si>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</si>
  <si>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</si>
  <si>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</si>
  <si>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</si>
  <si>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</si>
  <si>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</si>
  <si>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</si>
  <si>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</si>
  <si>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</si>
  <si>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</si>
  <si>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</si>
  <si>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</si>
  <si>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</si>
  <si>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</si>
  <si>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</si>
  <si>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</si>
  <si>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</si>
  <si>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</si>
  <si>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</si>
  <si>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</si>
  <si>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</si>
  <si>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</si>
  <si>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</si>
  <si>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</si>
  <si>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</si>
  <si>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</si>
  <si>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</si>
  <si>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</si>
  <si>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</si>
  <si>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</si>
  <si>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</si>
  <si>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</si>
  <si>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</si>
  <si>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</si>
  <si>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</si>
  <si>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</si>
  <si>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</si>
  <si>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</si>
  <si>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</si>
  <si>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</si>
  <si>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</si>
  <si>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</si>
  <si>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</si>
  <si>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</si>
  <si>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</si>
  <si>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</si>
  <si>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</si>
  <si>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</si>
  <si>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</si>
  <si>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</si>
  <si>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</si>
  <si>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</si>
  <si>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</si>
  <si>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</si>
  <si>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</si>
  <si>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</si>
  <si>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</si>
  <si>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</si>
  <si>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</si>
  <si>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</si>
  <si>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</si>
  <si>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</si>
  <si>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</si>
  <si>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</si>
  <si>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</si>
  <si>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</si>
  <si>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</si>
  <si>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</si>
  <si>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</si>
  <si>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</si>
  <si>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</si>
  <si>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</si>
  <si>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</si>
  <si>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</si>
  <si>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</si>
  <si>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</si>
  <si>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</si>
  <si>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</si>
  <si>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</si>
  <si>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</si>
  <si>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</si>
  <si>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</si>
  <si>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</si>
  <si>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</si>
  <si>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</si>
  <si>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</si>
  <si>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</si>
  <si>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</si>
  <si>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</si>
  <si>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</si>
  <si>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</si>
  <si>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</si>
  <si>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</si>
  <si>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</si>
  <si>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</si>
  <si>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</si>
  <si>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</si>
  <si>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</si>
  <si>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</si>
  <si>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</si>
  <si>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</si>
  <si>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</si>
  <si>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</si>
  <si>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</si>
  <si>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</si>
  <si>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</si>
  <si>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</si>
  <si>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</si>
  <si>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</si>
  <si>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</si>
  <si>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</si>
  <si>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</si>
  <si>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</si>
  <si>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</si>
  <si>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</si>
  <si>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</si>
  <si>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</si>
  <si>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</si>
  <si>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</si>
  <si>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</si>
  <si>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</si>
  <si>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</si>
  <si>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</si>
  <si>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</si>
  <si>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</si>
  <si>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</si>
  <si>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</si>
  <si>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</si>
  <si>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</si>
  <si>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</si>
  <si>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</si>
  <si>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</si>
  <si>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</si>
  <si>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</si>
  <si>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</si>
  <si>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</si>
  <si>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</si>
  <si>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</si>
  <si>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</si>
  <si>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</si>
  <si>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</si>
  <si>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</si>
  <si>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</si>
  <si>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</si>
  <si>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</si>
  <si>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</si>
  <si>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</si>
  <si>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</si>
  <si>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</si>
  <si>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</si>
  <si>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</si>
  <si>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</si>
  <si>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</si>
  <si>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</si>
  <si>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</si>
  <si>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</si>
  <si>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</si>
  <si>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</si>
  <si>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</si>
  <si>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</si>
  <si>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</si>
  <si>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</si>
  <si>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</si>
  <si>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</si>
  <si>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</si>
  <si>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</si>
  <si>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</si>
  <si>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</si>
  <si>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</si>
  <si>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</si>
  <si>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</si>
  <si>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</si>
  <si>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</si>
  <si>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</si>
  <si>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</si>
  <si>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</si>
  <si>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</si>
  <si>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</si>
  <si>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</si>
  <si>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</si>
  <si>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</si>
  <si>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</si>
  <si>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</si>
  <si>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</si>
  <si>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</si>
  <si>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</si>
  <si>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</si>
  <si>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</si>
  <si>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</si>
  <si>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</si>
  <si>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</si>
  <si>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</si>
  <si>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</si>
  <si>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</si>
  <si>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</si>
  <si>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</si>
  <si>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</si>
  <si>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</si>
  <si>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</si>
  <si>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</si>
  <si>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</si>
  <si>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</si>
  <si>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</si>
  <si>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</si>
  <si>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</si>
  <si>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</si>
  <si>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</si>
  <si>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</si>
  <si>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</si>
  <si>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</si>
  <si>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</si>
  <si>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</si>
  <si>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</si>
  <si>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</si>
  <si>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</si>
  <si>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</si>
  <si>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</si>
  <si>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</si>
  <si>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</si>
  <si>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</si>
  <si>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</si>
  <si>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</si>
  <si>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</si>
  <si>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</si>
  <si>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</si>
  <si>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</si>
  <si>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</si>
  <si>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</si>
  <si>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</si>
  <si>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</si>
  <si>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</si>
  <si>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</si>
  <si>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</si>
  <si>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</si>
  <si>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</si>
  <si>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</si>
  <si>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</si>
  <si>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</si>
  <si>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</si>
  <si>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</si>
  <si>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</si>
  <si>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</si>
  <si>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</si>
  <si>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</si>
  <si>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</si>
  <si>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</si>
  <si>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</si>
  <si>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</si>
  <si>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</si>
  <si>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</si>
  <si>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</si>
  <si>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</si>
  <si>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</si>
  <si>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</si>
  <si>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</si>
  <si>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</si>
  <si>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</si>
  <si>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</si>
  <si>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</si>
  <si>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</si>
  <si>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</si>
  <si>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</si>
  <si>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</si>
  <si>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</si>
  <si>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</si>
  <si>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</si>
  <si>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6"/>
  </si>
  <si>
    <t>Original</t>
    <phoneticPr fontId="6"/>
  </si>
  <si>
    <t>Phonetic</t>
    <phoneticPr fontId="6"/>
  </si>
  <si>
    <t>Hans</t>
    <phoneticPr fontId="6"/>
  </si>
  <si>
    <t>猫</t>
    <rPh sb="0" eb="1">
      <t>ネコ</t>
    </rPh>
    <phoneticPr fontId="6"/>
  </si>
  <si>
    <t>Reference from Master sheet</t>
    <phoneticPr fontId="6"/>
  </si>
  <si>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7"/>
  </si>
  <si>
    <t>Cat</t>
  </si>
  <si>
    <t>Book Series</t>
    <phoneticPr fontId="6"/>
  </si>
  <si>
    <t>Book Tittle</t>
    <phoneticPr fontId="6"/>
  </si>
  <si>
    <t>Book Chapter</t>
    <phoneticPr fontId="6"/>
  </si>
  <si>
    <t>Chapter Section</t>
    <phoneticPr fontId="6"/>
  </si>
  <si>
    <t>言葉練習</t>
    <rPh sb="0" eb="2">
      <t>コトバ</t>
    </rPh>
    <rPh sb="2" eb="4">
      <t>レンシュウ</t>
    </rPh>
    <phoneticPr fontId="6"/>
  </si>
  <si>
    <t>Date</t>
    <phoneticPr fontId="6"/>
  </si>
  <si>
    <t>Version</t>
    <phoneticPr fontId="6"/>
  </si>
  <si>
    <t>Change point</t>
    <phoneticPr fontId="6"/>
  </si>
  <si>
    <t xml:space="preserve">First draft version:
- Phonetic
- HanViet
- Translate (Google API, any language)
- Export to SSML (Tittle + Multiple files for body for Multiple voices)
</t>
    <phoneticPr fontId="6"/>
  </si>
  <si>
    <t>Working ON</t>
    <phoneticPr fontId="6"/>
  </si>
  <si>
    <t xml:space="preserve">-Printout pdf
- Move config to sheet
- Run PowerShell command line
</t>
    <phoneticPr fontId="6"/>
  </si>
  <si>
    <t>same as above</t>
    <phoneticPr fontId="6"/>
  </si>
  <si>
    <t xml:space="preserve">1. Update Master Sheet with macro
2. Update some macro and button
3. Bugfix for SSML exporter (timing break tag is not correct)
4. Bugfix for SSML exporter (body file naming - number is not correct)
</t>
    <phoneticPr fontId="6"/>
  </si>
  <si>
    <t>-Printout pdf
- Move config to sheet
- Handle bell chime mp3 (C#)</t>
    <phoneticPr fontId="6"/>
  </si>
  <si>
    <t>1. Enable File Handling
2. Enable PowerCell call
3. Temporary disable Book Series since it is duplicated with tittle
4. Add 0.5s delay before switching speaker</t>
    <phoneticPr fontId="6"/>
  </si>
  <si>
    <t>Add Sub for Minna ChuuKyu Tittle (ichihonsatu was mistaken to ippon)</t>
    <phoneticPr fontId="6"/>
  </si>
  <si>
    <t>1. Add option to select voice (supported in C# as well)
2. Auto copy and rename final mp3 file (include back up if file exists)</t>
    <phoneticPr fontId="6"/>
  </si>
  <si>
    <t>Kanji 5</t>
  </si>
  <si>
    <t>Kanji 6</t>
  </si>
  <si>
    <t>Kanji 7</t>
  </si>
  <si>
    <t>Kanji 8</t>
  </si>
  <si>
    <t>Kanji 9</t>
  </si>
  <si>
    <t>Bugfixes</t>
    <phoneticPr fontId="6"/>
  </si>
  <si>
    <t>Add 醤 to dict</t>
    <phoneticPr fontId="6"/>
  </si>
  <si>
    <t>醤</t>
  </si>
  <si>
    <t>ショウ</t>
    <phoneticPr fontId="6"/>
  </si>
  <si>
    <t xml:space="preserve">酉 </t>
    <phoneticPr fontId="6"/>
  </si>
  <si>
    <t>VU</t>
    <phoneticPr fontId="6"/>
  </si>
  <si>
    <t>Add 込 to dict</t>
    <phoneticPr fontId="6"/>
  </si>
  <si>
    <r>
      <t>Ngày ti</t>
    </r>
    <r>
      <rPr>
        <sz val="22"/>
        <color theme="1"/>
        <rFont val="Calibri"/>
        <family val="2"/>
        <charset val="163"/>
      </rPr>
      <t>ế</t>
    </r>
    <r>
      <rPr>
        <sz val="22"/>
        <color theme="1"/>
        <rFont val="游ゴシック"/>
        <family val="2"/>
        <charset val="128"/>
        <scheme val="minor"/>
      </rPr>
      <t>t phân</t>
    </r>
    <phoneticPr fontId="6"/>
  </si>
  <si>
    <t>So_chu_danh_toi_da_cho_1do</t>
    <phoneticPr fontId="6"/>
  </si>
  <si>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6"/>
  </si>
  <si>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6"/>
  </si>
  <si>
    <r>
      <t>Vùng in ch</t>
    </r>
    <r>
      <rPr>
        <sz val="11"/>
        <color theme="1"/>
        <rFont val="Calibri"/>
        <family val="2"/>
        <charset val="163"/>
      </rPr>
      <t>ỉ</t>
    </r>
    <r>
      <rPr>
        <sz val="11"/>
        <color theme="1"/>
        <rFont val="游ゴシック"/>
        <family val="2"/>
        <charset val="128"/>
        <scheme val="minor"/>
      </rPr>
      <t xml:space="preserve"> là trong vùng tô màu</t>
    </r>
    <phoneticPr fontId="6"/>
  </si>
  <si>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6"/>
  </si>
  <si>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6"/>
  </si>
  <si>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6"/>
  </si>
  <si>
    <t>Translated</t>
    <phoneticPr fontId="6"/>
  </si>
  <si>
    <t>Others</t>
    <phoneticPr fontId="6"/>
  </si>
  <si>
    <t>SSML</t>
    <phoneticPr fontId="6"/>
  </si>
  <si>
    <t>Backup</t>
    <phoneticPr fontId="6"/>
  </si>
  <si>
    <t>Out</t>
    <phoneticPr fontId="6"/>
  </si>
  <si>
    <t>Audio</t>
    <phoneticPr fontId="6"/>
  </si>
  <si>
    <t>Image</t>
    <phoneticPr fontId="6"/>
  </si>
  <si>
    <t>Video</t>
    <phoneticPr fontId="6"/>
  </si>
  <si>
    <t>Paths Configuration</t>
    <phoneticPr fontId="6"/>
  </si>
  <si>
    <t>1. Rework ExecelGUI: button and check boxes
2. Rework Translate function (only Update Mode now)
3. Rework GUI with options
4. Add configs sheet</t>
    <phoneticPr fontId="6"/>
  </si>
  <si>
    <t>SSML Generate (Cover done, words on-going)</t>
    <phoneticPr fontId="6"/>
  </si>
  <si>
    <t>漢字</t>
    <rPh sb="0" eb="2">
      <t>カンジ</t>
    </rPh>
    <phoneticPr fontId="6"/>
  </si>
  <si>
    <t>かんじ</t>
    <phoneticPr fontId="6"/>
  </si>
  <si>
    <t>từ hán việt</t>
    <phoneticPr fontId="6"/>
  </si>
  <si>
    <t>HÁN TỰ</t>
    <phoneticPr fontId="6"/>
  </si>
  <si>
    <t>T2S</t>
    <phoneticPr fontId="6"/>
  </si>
  <si>
    <t>Child folder - Auto generated</t>
    <phoneticPr fontId="6"/>
  </si>
  <si>
    <t>Python stuffs</t>
    <phoneticPr fontId="6"/>
  </si>
  <si>
    <t>Source</t>
    <phoneticPr fontId="6"/>
  </si>
  <si>
    <t>Execution</t>
    <phoneticPr fontId="6"/>
  </si>
  <si>
    <t>言葉練習</t>
    <phoneticPr fontId="6"/>
  </si>
  <si>
    <t>みんなの日本語</t>
    <rPh sb="4" eb="7">
      <t>ニホンゴ</t>
    </rPh>
    <phoneticPr fontId="5"/>
  </si>
  <si>
    <t>第1番</t>
    <phoneticPr fontId="6"/>
  </si>
  <si>
    <t>みんなの日本語中級一本冊</t>
    <rPh sb="7" eb="8">
      <t>ジ_x0000__x0007_</t>
    </rPh>
    <rPh sb="9" eb="11">
      <t/>
    </rPh>
    <phoneticPr fontId="5"/>
  </si>
  <si>
    <t>みんなの日本語</t>
    <phoneticPr fontId="6"/>
  </si>
  <si>
    <t>みんなの日本語中級一本冊</t>
    <phoneticPr fontId="6"/>
  </si>
  <si>
    <t>1. Audio generation (trigger python scripts - Google T2S) works fine
2. Video generation (trigger python scripts) works fine
3. New API keys
4. New Shell Controller (PowerShell scripts does not work now)
5. Image Exporter works fine</t>
    <phoneticPr fontId="6"/>
  </si>
  <si>
    <t>Image Reporter template
Image Reporter fonts and text handling
Master Sheet font
Move button, checkbox to new pop-up form
Show status while generating video, audio</t>
    <phoneticPr fontId="6"/>
  </si>
  <si>
    <t>VBA stuffs</t>
    <phoneticPr fontId="6"/>
  </si>
  <si>
    <t>Template folder</t>
    <phoneticPr fontId="6"/>
  </si>
  <si>
    <t>ggApiKey</t>
    <phoneticPr fontId="6"/>
  </si>
  <si>
    <t>1. Load ggApiKey from file instead of harded code (detected in GIT)</t>
    <phoneticPr fontId="6"/>
  </si>
  <si>
    <t>1. Remove set virtual environment before calling shell scripts
2. Fix blur button
3. Add path selection for Meo/Vit PC</t>
    <phoneticPr fontId="6"/>
  </si>
  <si>
    <t>Workspaces</t>
    <phoneticPr fontId="6"/>
  </si>
  <si>
    <t>Used workspace</t>
    <phoneticPr fontId="6"/>
  </si>
  <si>
    <t>MeoPC</t>
    <phoneticPr fontId="6"/>
  </si>
  <si>
    <t>VitPC</t>
    <phoneticPr fontId="6"/>
  </si>
  <si>
    <t>C:\Users\miph272640\PycharmProjects\VocalSoft</t>
    <phoneticPr fontId="6"/>
  </si>
  <si>
    <t>Reference data</t>
    <phoneticPr fontId="6"/>
  </si>
  <si>
    <t>Selection data</t>
    <phoneticPr fontId="6"/>
  </si>
  <si>
    <t>Move button, checkbox to new pop-up form</t>
    <phoneticPr fontId="6"/>
  </si>
  <si>
    <t>C:\Users\Neko\PycharmProjects\VocalSoft</t>
    <phoneticPr fontId="6"/>
  </si>
  <si>
    <t>1. Now image is generated based on template (coded config)
2. Fix blank generated image (add timer 300ms)
3. Show application status while generating video, audio
4. Fix Master Sheet fonts
5. Auto detect and load workspace to config sheet
6. Add watermark</t>
    <phoneticPr fontId="6"/>
  </si>
  <si>
    <t>扉のページ</t>
  </si>
  <si>
    <t>制服</t>
  </si>
  <si>
    <t>点（いい～）</t>
  </si>
  <si>
    <t>経済的</t>
  </si>
  <si>
    <t>発揮する</t>
  </si>
  <si>
    <t>キーワード</t>
  </si>
  <si>
    <t>賛否</t>
  </si>
  <si>
    <t>両論</t>
  </si>
  <si>
    <t>平等</t>
  </si>
  <si>
    <t>貧富</t>
  </si>
  <si>
    <t>利便</t>
  </si>
  <si>
    <t>冠婚葬祭</t>
  </si>
  <si>
    <t>精神</t>
  </si>
  <si>
    <t>短絡的</t>
  </si>
  <si>
    <t>柔軟</t>
  </si>
  <si>
    <t>摘む</t>
  </si>
  <si>
    <t>束縛</t>
  </si>
  <si>
    <t>本文</t>
  </si>
  <si>
    <t>公立</t>
  </si>
  <si>
    <t>私立</t>
  </si>
  <si>
    <t>着用</t>
  </si>
  <si>
    <t>義務付ける</t>
  </si>
  <si>
    <t>高等学校</t>
  </si>
  <si>
    <t>賛成</t>
  </si>
  <si>
    <t>反対</t>
  </si>
  <si>
    <t>経済性</t>
  </si>
  <si>
    <t>いったん</t>
  </si>
  <si>
    <t>在学</t>
  </si>
  <si>
    <t>安上がり</t>
  </si>
  <si>
    <t>値段</t>
  </si>
  <si>
    <t>無駄</t>
  </si>
  <si>
    <t>平等性</t>
  </si>
  <si>
    <t>送る（生活を～）</t>
  </si>
  <si>
    <t>発想</t>
  </si>
  <si>
    <t>似合う</t>
  </si>
  <si>
    <t>不平等</t>
  </si>
  <si>
    <t>強いる</t>
  </si>
  <si>
    <t>利便性</t>
  </si>
  <si>
    <t>保護する</t>
  </si>
  <si>
    <t>精神性</t>
  </si>
  <si>
    <t>自覚</t>
  </si>
  <si>
    <t>高まる</t>
  </si>
  <si>
    <t>勉学</t>
  </si>
  <si>
    <t>集中する</t>
  </si>
  <si>
    <t>集団（～活動）</t>
  </si>
  <si>
    <t>すべて</t>
  </si>
  <si>
    <t>効果的</t>
  </si>
  <si>
    <t>自主性</t>
  </si>
  <si>
    <t>管理する</t>
  </si>
  <si>
    <t>縛る</t>
  </si>
  <si>
    <t>束縛感</t>
  </si>
  <si>
    <t>精神衛生</t>
  </si>
  <si>
    <t>ことばを確かめよう</t>
  </si>
  <si>
    <t>ペットボトル</t>
  </si>
  <si>
    <t>持ち運ぶ</t>
  </si>
  <si>
    <t>消費量</t>
  </si>
  <si>
    <t>拡大する</t>
  </si>
  <si>
    <t>重んじる</t>
  </si>
  <si>
    <t>熱効率</t>
  </si>
  <si>
    <t>乗用車</t>
  </si>
  <si>
    <t>男女雇用機会均等法</t>
  </si>
  <si>
    <t>配慮</t>
  </si>
  <si>
    <t>内容を確かめよう</t>
  </si>
  <si>
    <t>学習項目</t>
  </si>
  <si>
    <t>季節</t>
  </si>
  <si>
    <t>いやす</t>
  </si>
  <si>
    <t>経験</t>
  </si>
  <si>
    <t>募集する</t>
  </si>
  <si>
    <t>寄せる</t>
  </si>
  <si>
    <t>新幹線</t>
  </si>
  <si>
    <t>誘致</t>
  </si>
  <si>
    <t>議論</t>
  </si>
  <si>
    <t>交わす</t>
  </si>
  <si>
    <t>相談する</t>
  </si>
  <si>
    <t>留学</t>
  </si>
  <si>
    <t>忘年会</t>
  </si>
  <si>
    <t>中華料理</t>
  </si>
  <si>
    <t>希望</t>
  </si>
  <si>
    <t>絶える</t>
  </si>
  <si>
    <t>わき出る</t>
  </si>
  <si>
    <t>適す</t>
  </si>
  <si>
    <t>マンション</t>
  </si>
  <si>
    <t>ワンルーム</t>
  </si>
  <si>
    <t>単身赴任者</t>
  </si>
  <si>
    <t>わが社</t>
  </si>
  <si>
    <t>ゲーム好き</t>
  </si>
  <si>
    <t>若者</t>
  </si>
  <si>
    <t>出版する</t>
  </si>
  <si>
    <t>受賞式</t>
  </si>
  <si>
    <t>人生</t>
  </si>
  <si>
    <t>輝かしい</t>
  </si>
  <si>
    <t>瞬間</t>
  </si>
  <si>
    <t>ゲームセンター</t>
  </si>
  <si>
    <t>教育</t>
  </si>
  <si>
    <t>辞める（会社を～）</t>
  </si>
  <si>
    <t>せいふく</t>
  </si>
  <si>
    <t>CHẾ PHỤC</t>
  </si>
  <si>
    <t>てん（いい～）</t>
  </si>
  <si>
    <t>けいざいてき</t>
  </si>
  <si>
    <t>KINH TẾ ĐÍCH</t>
  </si>
  <si>
    <t>はっきする</t>
  </si>
  <si>
    <t>PHÁT HUY</t>
  </si>
  <si>
    <t>さんぴ</t>
  </si>
  <si>
    <t>TÁN PHỦ</t>
  </si>
  <si>
    <t>りょうろん</t>
  </si>
  <si>
    <t>LƯỠNG/LƯỢNG LUẬN</t>
  </si>
  <si>
    <t>びょうどう</t>
  </si>
  <si>
    <t>BÌNH ĐẲNG</t>
  </si>
  <si>
    <t>ひんぷ</t>
  </si>
  <si>
    <t>BẦN PHÚ</t>
  </si>
  <si>
    <t>りべん</t>
  </si>
  <si>
    <t>LỢI TIỆN</t>
  </si>
  <si>
    <t>かんこんそうさい</t>
  </si>
  <si>
    <t>QUAN/QUÁN HÔN TÁNG TẾ</t>
  </si>
  <si>
    <t>せいしん</t>
  </si>
  <si>
    <t>TINH THẦN</t>
  </si>
  <si>
    <t>たんらくてき</t>
  </si>
  <si>
    <t>ĐOẢN LẠC ĐÍCH</t>
  </si>
  <si>
    <t>じゅうなん</t>
  </si>
  <si>
    <t>NHU NHUYỄN</t>
  </si>
  <si>
    <t>つむ</t>
  </si>
  <si>
    <t>そくばく</t>
  </si>
  <si>
    <t>THÚC PHƯỢC/PHỌC</t>
  </si>
  <si>
    <t>ほんぶん</t>
  </si>
  <si>
    <t>BẢN/BỔN VĂN</t>
  </si>
  <si>
    <t>こうりつ</t>
  </si>
  <si>
    <t>CÔNG LẬP</t>
  </si>
  <si>
    <t>しりつ</t>
  </si>
  <si>
    <t>TƯ LẬP</t>
  </si>
  <si>
    <t>ちゃくよう</t>
  </si>
  <si>
    <t>TRƯỚC DỤNG</t>
  </si>
  <si>
    <t>ぎむづける</t>
  </si>
  <si>
    <t>CAO ĐẲNG HỌC HIỆU/GIÁO</t>
  </si>
  <si>
    <t>こうとうがっこう</t>
  </si>
  <si>
    <t>TÁN THÀNH</t>
  </si>
  <si>
    <t>さんせい</t>
  </si>
  <si>
    <t>PHẢN ĐỐI</t>
  </si>
  <si>
    <t>はんたい</t>
  </si>
  <si>
    <t>KINH TẾ TÍNH/TÁNH</t>
  </si>
  <si>
    <t>けいざいせい</t>
  </si>
  <si>
    <t>TẠI HỌC</t>
  </si>
  <si>
    <t>ざいがく</t>
  </si>
  <si>
    <t>AN THƯỢNG</t>
  </si>
  <si>
    <t>やすあがり</t>
  </si>
  <si>
    <t>TRỊ ĐOẠN</t>
  </si>
  <si>
    <t>ねだん</t>
  </si>
  <si>
    <t>VÔ/MÔ ĐÀ</t>
  </si>
  <si>
    <t>むだ</t>
  </si>
  <si>
    <t>BÌNH ĐẲNG TÍNH/TÁNH</t>
  </si>
  <si>
    <t>びょうどうせい</t>
  </si>
  <si>
    <t>さ</t>
  </si>
  <si>
    <t>TỐNG SINH HOẠT</t>
  </si>
  <si>
    <t>おくる（せいかつを～）</t>
  </si>
  <si>
    <t>PHÁT TƯỞNG</t>
  </si>
  <si>
    <t>はっそう</t>
  </si>
  <si>
    <t>TỰ HỢP/CÁP</t>
  </si>
  <si>
    <t>にあう</t>
  </si>
  <si>
    <t>BẤT BÌNH ĐẲNG</t>
  </si>
  <si>
    <t>ふびょうどう</t>
  </si>
  <si>
    <t>しいる</t>
  </si>
  <si>
    <t>LỢI TIỆN TÍNH/TÁNH</t>
  </si>
  <si>
    <t>りべんせい</t>
  </si>
  <si>
    <t>BẢO HỘ</t>
  </si>
  <si>
    <t>ほごする</t>
  </si>
  <si>
    <t>TINH THẦN TÍNH/TÁNH</t>
  </si>
  <si>
    <t>せいしんせい</t>
  </si>
  <si>
    <t>TỰ GIÁC</t>
  </si>
  <si>
    <t>じかく</t>
  </si>
  <si>
    <t>たかまる</t>
  </si>
  <si>
    <t>MIỄN HỌC</t>
  </si>
  <si>
    <t>べんがく</t>
  </si>
  <si>
    <t>TẬP TRUNG</t>
  </si>
  <si>
    <t>しゅうちゅうする</t>
  </si>
  <si>
    <t>TẬP ĐOÀN HOẠT ĐỘNG</t>
  </si>
  <si>
    <t>しゅうだん（～かつどう）</t>
  </si>
  <si>
    <t>HIỆU QUẢ ĐÍCH</t>
  </si>
  <si>
    <t>こうかてき</t>
  </si>
  <si>
    <t>TỰ CHỦ TÍNH/TÁNH</t>
  </si>
  <si>
    <t>じしゅせい</t>
  </si>
  <si>
    <t>QUẢN LÝ</t>
  </si>
  <si>
    <t>かんりする</t>
  </si>
  <si>
    <t>しばる</t>
  </si>
  <si>
    <t>THÚC PHƯỢC/PHỌC CẢM</t>
  </si>
  <si>
    <t>そくばくかん</t>
  </si>
  <si>
    <t>TINH THẦN VỆ SINH</t>
  </si>
  <si>
    <t>せいしんえいせい</t>
  </si>
  <si>
    <t>ことばをたしかめよう</t>
  </si>
  <si>
    <t>TRÌ VẬN</t>
  </si>
  <si>
    <t>もちはこぶ</t>
  </si>
  <si>
    <t>TIÊU PHÍ LƯỢNG</t>
  </si>
  <si>
    <t>しょうひりょう</t>
  </si>
  <si>
    <t>KHUẾCH ĐẠI</t>
  </si>
  <si>
    <t>かくだいする</t>
  </si>
  <si>
    <t>おもんじる</t>
  </si>
  <si>
    <t>NHIỆT HIỆU XUẤT</t>
  </si>
  <si>
    <t>ねつこうりつ</t>
  </si>
  <si>
    <t>THỪA DỤNG XA</t>
  </si>
  <si>
    <t>じょうようしゃ</t>
  </si>
  <si>
    <t>NAM NỮ CỐ DỤNG CƠ/KY HỘI QUÂN ĐẲNG PHÁP</t>
  </si>
  <si>
    <t>だんじょこようきかいきんとうほう</t>
  </si>
  <si>
    <t>PHỐI LỰ</t>
  </si>
  <si>
    <t>はいりょ</t>
  </si>
  <si>
    <t>NỘI DUNG/DONG XÁC</t>
  </si>
  <si>
    <t>ないようをたしかめよう</t>
  </si>
  <si>
    <t>HỌC TẬP HẠNG MỤC</t>
  </si>
  <si>
    <t>がくしゅうこうもく</t>
  </si>
  <si>
    <t>TIẾT TIẾT</t>
  </si>
  <si>
    <t>きせつ</t>
  </si>
  <si>
    <t>KINH NGHIỆM</t>
  </si>
  <si>
    <t>けいけん</t>
  </si>
  <si>
    <t>MỘ TẬP</t>
  </si>
  <si>
    <t>ぼしゅうする</t>
  </si>
  <si>
    <t>KỲ</t>
  </si>
  <si>
    <t>よせる</t>
  </si>
  <si>
    <t>TÂN CÁN TUYẾN</t>
  </si>
  <si>
    <t>しんかんせん</t>
  </si>
  <si>
    <t>DỤ TRÍ</t>
  </si>
  <si>
    <t>ゆうち</t>
  </si>
  <si>
    <t>NGHỊ LUẬN</t>
  </si>
  <si>
    <t>ぎろん</t>
  </si>
  <si>
    <t>かわす</t>
  </si>
  <si>
    <t>TƯƠNG/TƯỚNG ĐÀM</t>
  </si>
  <si>
    <t>そうだんする</t>
  </si>
  <si>
    <t>LƯU HỌC</t>
  </si>
  <si>
    <t>りゅうがく</t>
  </si>
  <si>
    <t>VONG NIÊN HỘI</t>
  </si>
  <si>
    <t>ぼうねんかい</t>
  </si>
  <si>
    <t>TRUNG HOA LIỆU LÝ</t>
  </si>
  <si>
    <t>ちゅうかりょうり</t>
  </si>
  <si>
    <t>HY VỌNG</t>
  </si>
  <si>
    <t>きぼう</t>
  </si>
  <si>
    <t>たえる</t>
  </si>
  <si>
    <t>わきでる</t>
  </si>
  <si>
    <t>てきす</t>
  </si>
  <si>
    <t>ĐƠN THÂN PHÓ NHIỆM GIẢ</t>
  </si>
  <si>
    <t>たんしんふにんしゃ</t>
  </si>
  <si>
    <t>わがしゃ</t>
  </si>
  <si>
    <t>NHƯỢC GIẢ</t>
  </si>
  <si>
    <t>わかもの</t>
  </si>
  <si>
    <t>XUẤT PHẢN</t>
  </si>
  <si>
    <t>しゅっぱんする</t>
  </si>
  <si>
    <t>THỤ/THỌ THƯỞNG THỨC</t>
  </si>
  <si>
    <t>じゅしょうしき</t>
  </si>
  <si>
    <t>NHÂN SINH</t>
  </si>
  <si>
    <t>じんせい</t>
  </si>
  <si>
    <t>かがやかしい</t>
  </si>
  <si>
    <t>THUẤN GIAN</t>
  </si>
  <si>
    <t>しゅんかん</t>
  </si>
  <si>
    <t>GIÁO DỤC</t>
  </si>
  <si>
    <t>きょういく</t>
  </si>
  <si>
    <t>TỪ HỘI XÃ</t>
  </si>
  <si>
    <t>やめる（かいしゃを～）</t>
  </si>
  <si>
    <t>NGHĨA VỤ PHÓ</t>
  </si>
  <si>
    <t>とびらのページ</t>
  </si>
  <si>
    <t>アルコール入り</t>
    <phoneticPr fontId="6"/>
  </si>
  <si>
    <t>ゲームずき</t>
    <phoneticPr fontId="6"/>
  </si>
  <si>
    <t>アルコールいり</t>
    <phoneticPr fontId="6"/>
  </si>
  <si>
    <t>々</t>
    <phoneticPr fontId="6"/>
  </si>
  <si>
    <t>1. Fix error skipping Hans translate at #22 (missing reference in 2_Hans sheet)
2. Change Request: keep katakana without convert to Hiragana as phonetic
3. Temporary remove Kanji "々" out of look up table</t>
    <phoneticPr fontId="6"/>
  </si>
  <si>
    <t>1) Move button, checkbox to new pop-up form
2) Phonetic seems does not work correctly:
- アルコール入り
Now show warning to let user review but it seems not good. Idea is to automatically do it:
- compare 2 string hiragana and show different
- Get position and replace the different part in mixed string
3. Rework Kanji handling (especially 々)</t>
    <phoneticPr fontId="6"/>
  </si>
  <si>
    <t>1. Fix error unexpected wraptext in exported image</t>
    <phoneticPr fontId="6"/>
  </si>
  <si>
    <t>1. Allow blank transition with user approval (popup warning)</t>
    <phoneticPr fontId="6"/>
  </si>
  <si>
    <t>1. Support font size adjustment from text length</t>
    <phoneticPr fontId="6"/>
  </si>
  <si>
    <t>door page</t>
  </si>
  <si>
    <t>uniform</t>
  </si>
  <si>
    <t>point (good)</t>
  </si>
  <si>
    <t>economic</t>
  </si>
  <si>
    <t>demonstrate</t>
  </si>
  <si>
    <t>keyword</t>
  </si>
  <si>
    <t>pros and cons</t>
  </si>
  <si>
    <t>both sides</t>
  </si>
  <si>
    <t>equality</t>
  </si>
  <si>
    <t>rich and poor</t>
  </si>
  <si>
    <t>convenience</t>
  </si>
  <si>
    <t>ceremonial occasion</t>
  </si>
  <si>
    <t>spirit</t>
  </si>
  <si>
    <t>short-sighted</t>
  </si>
  <si>
    <t>flexible</t>
  </si>
  <si>
    <t>pick</t>
  </si>
  <si>
    <t>bondage</t>
  </si>
  <si>
    <t>text</t>
  </si>
  <si>
    <t>public</t>
  </si>
  <si>
    <t>private</t>
  </si>
  <si>
    <t>wear</t>
  </si>
  <si>
    <t>oblige</t>
  </si>
  <si>
    <t>high school</t>
  </si>
  <si>
    <t>agreement</t>
  </si>
  <si>
    <t>oppose</t>
  </si>
  <si>
    <t>economy</t>
  </si>
  <si>
    <t>once</t>
  </si>
  <si>
    <t>attending school</t>
  </si>
  <si>
    <t>inexpensive</t>
  </si>
  <si>
    <t>price</t>
  </si>
  <si>
    <t>waste</t>
  </si>
  <si>
    <t>difference</t>
  </si>
  <si>
    <t>send (life)</t>
  </si>
  <si>
    <t>idea</t>
  </si>
  <si>
    <t>look good</t>
  </si>
  <si>
    <t>inequality</t>
  </si>
  <si>
    <t>force</t>
  </si>
  <si>
    <t>protect</t>
  </si>
  <si>
    <t>spirituality</t>
  </si>
  <si>
    <t>awareness</t>
  </si>
  <si>
    <t>increase</t>
  </si>
  <si>
    <t>study</t>
  </si>
  <si>
    <t>concentrate</t>
  </si>
  <si>
    <t>group (~ activity)</t>
  </si>
  <si>
    <t>all</t>
  </si>
  <si>
    <t>effective</t>
  </si>
  <si>
    <t>autonomy</t>
  </si>
  <si>
    <t>bud</t>
  </si>
  <si>
    <t>to manage</t>
  </si>
  <si>
    <t>bind</t>
  </si>
  <si>
    <t>sense of restraint</t>
  </si>
  <si>
    <t>mental health</t>
  </si>
  <si>
    <t>check the words</t>
  </si>
  <si>
    <t>pET bottles</t>
  </si>
  <si>
    <t>carry</t>
  </si>
  <si>
    <t>consumption</t>
  </si>
  <si>
    <t>expanding</t>
  </si>
  <si>
    <t>respect</t>
  </si>
  <si>
    <t>thermal efficiency</t>
  </si>
  <si>
    <t>passenger car</t>
  </si>
  <si>
    <t>equal Employment Act</t>
  </si>
  <si>
    <t>consideration</t>
  </si>
  <si>
    <t>let&amp;#39;s check the contents</t>
  </si>
  <si>
    <t>none</t>
  </si>
  <si>
    <t>learning items</t>
  </si>
  <si>
    <t>season</t>
  </si>
  <si>
    <t>heal</t>
  </si>
  <si>
    <t>experience</t>
  </si>
  <si>
    <t>recruit</t>
  </si>
  <si>
    <t>send</t>
  </si>
  <si>
    <t>bullet train</t>
  </si>
  <si>
    <t>attract</t>
  </si>
  <si>
    <t>discussion</t>
  </si>
  <si>
    <t>dodge</t>
  </si>
  <si>
    <t>consult</t>
  </si>
  <si>
    <t>study abroad</t>
  </si>
  <si>
    <t>year-end party</t>
  </si>
  <si>
    <t>chinese cuisine</t>
  </si>
  <si>
    <t>hope</t>
  </si>
  <si>
    <t>fountain</t>
  </si>
  <si>
    <t>die out</t>
  </si>
  <si>
    <t>spring up</t>
  </si>
  <si>
    <t>suitable</t>
  </si>
  <si>
    <t>with alcohol</t>
  </si>
  <si>
    <t>apartment</t>
  </si>
  <si>
    <t>one room</t>
  </si>
  <si>
    <t>unaccompanied worker</t>
  </si>
  <si>
    <t>our company</t>
  </si>
  <si>
    <t>game lover</t>
  </si>
  <si>
    <t>youth</t>
  </si>
  <si>
    <t>publish</t>
  </si>
  <si>
    <t>within</t>
  </si>
  <si>
    <t>award ceremony</t>
  </si>
  <si>
    <t>life</t>
  </si>
  <si>
    <t>glorious</t>
  </si>
  <si>
    <t>moment</t>
  </si>
  <si>
    <t>arcade</t>
  </si>
  <si>
    <t>education</t>
  </si>
  <si>
    <t>quit (company)</t>
  </si>
  <si>
    <t>1. Support English video generation (temporary)</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</si>
</sst>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amily val="1"/>
      <charset val="128"/>
    </font>
    <font>
      <i/>
      <sz val="20"/>
      <color indexed="8"/>
      <name val="Times New Roman"/>
      <family val="1"/>
    </font>
    <font>
      <sz val="22"/>
      <color indexed="8"/>
      <name val="BIZ UDPMincho Medium"/>
      <family val="1"/>
      <charset val="128"/>
    </font>
    <font>
      <sz val="28"/>
      <color indexed="10"/>
      <name val="Times New Roman"/>
      <family val="1"/>
    </font>
    <font>
      <sz val="11"/>
      <color theme="1"/>
      <name val="BIZ UDPMincho Medium"/>
      <family val="1"/>
      <charset val="128"/>
    </font>
    <font>
      <b/>
      <sz val="11"/>
      <color theme="1"/>
      <name val="游ゴシック"/>
      <family val="2"/>
      <charset val="128"/>
      <scheme val="minor"/>
    </font>
    <font>
      <b/>
      <sz val="11"/>
      <color rgb="FFFF0000"/>
      <name val="BIZ UDPMincho Medium"/>
      <family val="1"/>
      <charset val="128"/>
    </font>
    <font>
      <sz val="11"/>
      <color rgb="FFFF0000"/>
      <name val="游ゴシック"/>
      <family val="2"/>
      <scheme val="minor"/>
    </font>
    <font>
      <sz val="11"/>
      <color rgb="FFFF0000"/>
      <name val="Arial"/>
      <family val="2"/>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s>
  <cellStyleXfs count="4">
    <xf numFmtId="0" fontId="0" fillId="0" borderId="0">
      <alignment vertical="center"/>
    </xf>
    <xf numFmtId="0" fontId="5" fillId="0" borderId="0"/>
    <xf numFmtId="0" fontId="8" fillId="0" borderId="0"/>
    <xf numFmtId="0" fontId="2" fillId="0" borderId="0"/>
  </cellStyleXfs>
  <cellXfs count="79">
    <xf numFmtId="0" fontId="0" fillId="0" borderId="0" xfId="0">
      <alignment vertical="center"/>
    </xf>
    <xf numFmtId="0" fontId="5" fillId="0" borderId="0" xfId="1"/>
    <xf numFmtId="0" fontId="5" fillId="2" borderId="1" xfId="1" applyFill="1" applyBorder="1" applyAlignment="1">
      <alignment vertical="center"/>
    </xf>
    <xf numFmtId="0" fontId="9" fillId="2" borderId="1" xfId="1" applyFont="1" applyFill="1" applyBorder="1" applyAlignment="1">
      <alignment vertical="center"/>
    </xf>
    <xf numFmtId="0" fontId="5" fillId="0" borderId="0" xfId="1" applyAlignment="1">
      <alignment vertical="center"/>
    </xf>
    <xf numFmtId="0" fontId="11" fillId="0" borderId="0" xfId="1" applyFont="1" applyAlignment="1">
      <alignment vertical="center"/>
    </xf>
    <xf numFmtId="0" fontId="9" fillId="0" borderId="0" xfId="1" applyFont="1" applyAlignment="1">
      <alignment vertical="center"/>
    </xf>
    <xf numFmtId="0" fontId="5" fillId="3" borderId="0" xfId="1" applyFill="1" applyAlignment="1">
      <alignment vertical="center"/>
    </xf>
    <xf numFmtId="0" fontId="13" fillId="0" borderId="0" xfId="0" applyFont="1">
      <alignment vertical="center"/>
    </xf>
    <xf numFmtId="0" fontId="0" fillId="0" borderId="1" xfId="0" applyBorder="1">
      <alignment vertical="center"/>
    </xf>
    <xf numFmtId="0" fontId="13" fillId="4" borderId="1" xfId="0" applyFont="1" applyFill="1" applyBorder="1">
      <alignment vertical="center"/>
    </xf>
    <xf numFmtId="0" fontId="15" fillId="0" borderId="1" xfId="0" applyFont="1" applyBorder="1">
      <alignment vertical="center"/>
    </xf>
    <xf numFmtId="0" fontId="16" fillId="0" borderId="0" xfId="0" applyFont="1">
      <alignment vertical="center"/>
    </xf>
    <xf numFmtId="0" fontId="5" fillId="5" borderId="0" xfId="1" applyFill="1"/>
    <xf numFmtId="0" fontId="4" fillId="5" borderId="0" xfId="1" applyFont="1" applyFill="1"/>
    <xf numFmtId="0" fontId="8" fillId="5" borderId="0" xfId="2" applyFill="1"/>
    <xf numFmtId="0" fontId="5" fillId="6" borderId="0" xfId="1" applyFill="1"/>
    <xf numFmtId="0" fontId="4"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9" fillId="4" borderId="1" xfId="0" applyFont="1" applyFill="1" applyBorder="1">
      <alignment vertical="center"/>
    </xf>
    <xf numFmtId="0" fontId="20" fillId="7" borderId="1" xfId="0" applyFont="1" applyFill="1" applyBorder="1">
      <alignment vertical="center"/>
    </xf>
    <xf numFmtId="0" fontId="0" fillId="0" borderId="1" xfId="0" quotePrefix="1" applyBorder="1" applyAlignment="1">
      <alignment vertical="center" wrapText="1"/>
    </xf>
    <xf numFmtId="0" fontId="3" fillId="0" borderId="0" xfId="1" applyFont="1" applyAlignment="1">
      <alignment vertical="center"/>
    </xf>
    <xf numFmtId="0" fontId="14" fillId="8" borderId="0" xfId="0" applyFont="1" applyFill="1">
      <alignment vertical="center"/>
    </xf>
    <xf numFmtId="0" fontId="0" fillId="8" borderId="0" xfId="0" applyFill="1">
      <alignment vertical="center"/>
    </xf>
    <xf numFmtId="0" fontId="21" fillId="0" borderId="0" xfId="0" applyFont="1">
      <alignment vertical="center"/>
    </xf>
    <xf numFmtId="0" fontId="24" fillId="0" borderId="0" xfId="0" applyFont="1">
      <alignment vertical="center"/>
    </xf>
    <xf numFmtId="0" fontId="35" fillId="0" borderId="1" xfId="0" applyFont="1" applyBorder="1">
      <alignment vertical="center"/>
    </xf>
    <xf numFmtId="0" fontId="21" fillId="9" borderId="0" xfId="0" applyFont="1" applyFill="1">
      <alignment vertical="center"/>
    </xf>
    <xf numFmtId="0" fontId="0" fillId="9" borderId="0" xfId="0" applyFill="1">
      <alignment vertical="center"/>
    </xf>
    <xf numFmtId="0" fontId="24" fillId="9" borderId="0" xfId="0" applyFont="1" applyFill="1" applyAlignment="1">
      <alignment horizontal="center" vertical="center"/>
    </xf>
    <xf numFmtId="0" fontId="24" fillId="9" borderId="0" xfId="0" applyFont="1" applyFill="1">
      <alignment vertical="center"/>
    </xf>
    <xf numFmtId="0" fontId="0" fillId="9" borderId="6" xfId="0" applyFill="1" applyBorder="1">
      <alignment vertical="center"/>
    </xf>
    <xf numFmtId="0" fontId="21"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1"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1" fillId="10" borderId="0" xfId="0" applyFont="1" applyFill="1">
      <alignment vertical="center"/>
    </xf>
    <xf numFmtId="0" fontId="0" fillId="10" borderId="5" xfId="0" applyFill="1" applyBorder="1">
      <alignment vertical="center"/>
    </xf>
    <xf numFmtId="0" fontId="24" fillId="10" borderId="5" xfId="0" applyFont="1" applyFill="1" applyBorder="1">
      <alignment vertical="center"/>
    </xf>
    <xf numFmtId="0" fontId="0" fillId="10" borderId="7" xfId="0" applyFill="1" applyBorder="1">
      <alignment vertical="center"/>
    </xf>
    <xf numFmtId="0" fontId="26" fillId="9" borderId="0" xfId="0" applyFont="1" applyFill="1">
      <alignment vertical="center"/>
    </xf>
    <xf numFmtId="0" fontId="27" fillId="9" borderId="0" xfId="0" applyFont="1" applyFill="1" applyAlignment="1">
      <alignment horizontal="center" vertical="center"/>
    </xf>
    <xf numFmtId="0" fontId="27" fillId="9" borderId="0" xfId="0" applyFont="1" applyFill="1">
      <alignment vertical="center"/>
    </xf>
    <xf numFmtId="0" fontId="36" fillId="9" borderId="0" xfId="0" applyFont="1" applyFill="1" applyAlignment="1">
      <alignment horizontal="center" vertical="center"/>
    </xf>
    <xf numFmtId="0" fontId="28" fillId="9" borderId="0" xfId="0" applyFont="1" applyFill="1">
      <alignment vertical="center"/>
    </xf>
    <xf numFmtId="0" fontId="37" fillId="9" borderId="0" xfId="0" applyFont="1" applyFill="1" applyAlignment="1">
      <alignment horizontal="center" vertical="center"/>
    </xf>
    <xf numFmtId="0" fontId="38" fillId="9" borderId="0" xfId="0" applyFont="1" applyFill="1" applyAlignment="1">
      <alignment horizontal="center" vertical="center"/>
    </xf>
    <xf numFmtId="0" fontId="39" fillId="9" borderId="6" xfId="0" applyFont="1" applyFill="1" applyBorder="1">
      <alignment vertical="center"/>
    </xf>
    <xf numFmtId="0" fontId="39" fillId="10" borderId="0" xfId="0" applyFont="1" applyFill="1">
      <alignment vertical="center"/>
    </xf>
    <xf numFmtId="0" fontId="40" fillId="9" borderId="0" xfId="0" applyFont="1" applyFill="1" applyAlignment="1">
      <alignment horizontal="center" vertical="center"/>
    </xf>
    <xf numFmtId="0" fontId="41" fillId="9" borderId="0" xfId="0" applyFont="1" applyFill="1" applyAlignment="1">
      <alignment horizontal="center" vertical="center"/>
    </xf>
    <xf numFmtId="0" fontId="0" fillId="11" borderId="0" xfId="0" applyFill="1">
      <alignment vertical="center"/>
    </xf>
    <xf numFmtId="14" fontId="0" fillId="0" borderId="10" xfId="0" applyNumberFormat="1" applyBorder="1">
      <alignment vertical="center"/>
    </xf>
    <xf numFmtId="0" fontId="42" fillId="9" borderId="0" xfId="0" applyFont="1" applyFill="1" applyAlignment="1">
      <alignment horizontal="center" vertical="center"/>
    </xf>
    <xf numFmtId="0" fontId="43" fillId="9" borderId="0" xfId="0" applyFont="1" applyFill="1" applyAlignment="1">
      <alignment horizontal="center" vertical="center"/>
    </xf>
    <xf numFmtId="0" fontId="44" fillId="9" borderId="0" xfId="0" applyFont="1" applyFill="1" applyAlignment="1">
      <alignment horizontal="center" vertical="center"/>
    </xf>
    <xf numFmtId="0" fontId="45" fillId="9" borderId="0" xfId="0" applyFont="1" applyFill="1" applyAlignment="1">
      <alignment horizontal="center" vertical="center"/>
    </xf>
    <xf numFmtId="0" fontId="0" fillId="12" borderId="0" xfId="0" applyFill="1">
      <alignment vertical="center"/>
    </xf>
    <xf numFmtId="0" fontId="46" fillId="0" borderId="1" xfId="0" applyFont="1" applyBorder="1">
      <alignment vertical="center"/>
    </xf>
    <xf numFmtId="0" fontId="47" fillId="0" borderId="1" xfId="0" applyFont="1" applyBorder="1">
      <alignment vertical="center"/>
    </xf>
    <xf numFmtId="0" fontId="48" fillId="0" borderId="1" xfId="0" applyFont="1" applyBorder="1">
      <alignment vertical="center"/>
    </xf>
    <xf numFmtId="0" fontId="17" fillId="0" borderId="1" xfId="0" applyFont="1" applyBorder="1">
      <alignment vertical="center"/>
    </xf>
    <xf numFmtId="0" fontId="49" fillId="7" borderId="0" xfId="1" applyFont="1" applyFill="1" applyAlignment="1">
      <alignment vertical="center"/>
    </xf>
    <xf numFmtId="0" fontId="50" fillId="7" borderId="0" xfId="1" applyFont="1" applyFill="1" applyAlignment="1">
      <alignment vertical="center"/>
    </xf>
    <xf numFmtId="0" fontId="28" fillId="9" borderId="0" xfId="0" applyFont="1" applyFill="1" applyAlignment="1">
      <alignment horizontal="center" vertical="center"/>
    </xf>
    <xf numFmtId="0" fontId="26" fillId="9" borderId="0" xfId="0" applyFont="1" applyFill="1" applyAlignment="1">
      <alignment horizontal="center" vertical="center"/>
    </xf>
    <xf numFmtId="0" fontId="27" fillId="9" borderId="0" xfId="0" applyFont="1" applyFill="1" applyAlignment="1">
      <alignment horizontal="center" vertical="center"/>
    </xf>
    <xf numFmtId="0" fontId="24" fillId="0" borderId="0" xfId="0" applyFont="1" applyAlignment="1">
      <alignment horizontal="center" vertical="center"/>
    </xf>
    <xf numFmtId="0" fontId="24" fillId="9" borderId="0" xfId="0" applyFont="1" applyFill="1" applyAlignment="1">
      <alignment horizontal="center" vertical="center"/>
    </xf>
    <xf numFmtId="0" fontId="46" fillId="0" borderId="1" xfId="0" applyFont="1" applyFill="1" applyBorder="1">
      <alignment vertical="center"/>
    </xf>
    <xf numFmtId="0" fontId="46" fillId="0" borderId="1" xfId="0" applyFont="1" applyFill="1" applyBorder="1" applyAlignment="1">
      <alignment vertical="center" wrapText="1"/>
    </xf>
    <xf numFmtId="0" fontId="0" fillId="0" borderId="1" xfId="0" applyFill="1" applyBorder="1">
      <alignment vertical="center"/>
    </xf>
    <xf numFmtId="0" fontId="0" fillId="0" borderId="1" xfId="0" applyFill="1" applyBorder="1" applyAlignment="1">
      <alignment vertical="center" wrapText="1"/>
    </xf>
  </cellXfs>
  <cellStyles count="4">
    <cellStyle name="Normal" xfId="0" builtinId="0"/>
    <cellStyle name="Normal 2" xfId="1" xr:uid="{67A559E2-98E6-4922-ADC1-73B83254140A}"/>
    <cellStyle name="Normal 2 2" xfId="2" xr:uid="{B42E35BE-029F-462E-9284-3E4CB575B65B}"/>
    <cellStyle name="Normal 2 3" xfId="3" xr:uid="{B96625EA-3FE9-464F-909E-0F272096FB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10</xdr:col>
      <xdr:colOff>419100</xdr:colOff>
      <xdr:row>8</xdr:row>
      <xdr:rowOff>47625</xdr:rowOff>
    </xdr:from>
    <xdr:to>
      <xdr:col>11</xdr:col>
      <xdr:colOff>342899</xdr:colOff>
      <xdr:row>8</xdr:row>
      <xdr:rowOff>657224</xdr:rowOff>
    </xdr:to>
    <xdr:pic>
      <xdr:nvPicPr>
        <xdr:cNvPr id="4" name="Picture 3" descr="Youtube Logo PNG, Youtube Logo Transparent Background - FreeIconsPN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57975" y="4762500"/>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257175</xdr:colOff>
      <xdr:row>8</xdr:row>
      <xdr:rowOff>0</xdr:rowOff>
    </xdr:from>
    <xdr:to>
      <xdr:col>14</xdr:col>
      <xdr:colOff>666750</xdr:colOff>
      <xdr:row>8</xdr:row>
      <xdr:rowOff>666750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7181850" y="4714875"/>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414130</xdr:colOff>
      <xdr:row>8</xdr:row>
      <xdr:rowOff>113886</xdr:rowOff>
    </xdr:from>
    <xdr:to>
      <xdr:col>11</xdr:col>
      <xdr:colOff>336273</xdr:colOff>
      <xdr:row>8</xdr:row>
      <xdr:rowOff>723485</xdr:rowOff>
    </xdr:to>
    <xdr:pic>
      <xdr:nvPicPr>
        <xdr:cNvPr id="2" name="Picture 1" descr="Youtube Logo PNG, Youtube Logo Transparent Background - FreeIcons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0" y="4843256"/>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250549</xdr:colOff>
      <xdr:row>8</xdr:row>
      <xdr:rowOff>66261</xdr:rowOff>
    </xdr:from>
    <xdr:to>
      <xdr:col>14</xdr:col>
      <xdr:colOff>655154</xdr:colOff>
      <xdr:row>8</xdr:row>
      <xdr:rowOff>733011</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7191375" y="4795631"/>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opLeftCell="A4" zoomScale="115" zoomScaleNormal="115" workbookViewId="0">
      <selection activeCell="F25" sqref="F25"/>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8882</v>
      </c>
      <c r="C1" s="24" t="s">
        <v>8940</v>
      </c>
    </row>
    <row r="2" spans="1:5">
      <c r="B2" t="s">
        <v>8883</v>
      </c>
      <c r="C2" s="24" t="s">
        <v>8942</v>
      </c>
    </row>
    <row r="3" spans="1:5">
      <c r="B3" t="s">
        <v>8884</v>
      </c>
      <c r="C3" s="25" t="s">
        <v>8941</v>
      </c>
    </row>
    <row r="4" spans="1:5">
      <c r="B4" t="s">
        <v>8885</v>
      </c>
      <c r="C4" s="25"/>
    </row>
    <row r="5" spans="1:5">
      <c r="B5" t="s">
        <v>8920</v>
      </c>
      <c r="C5" s="25" t="s">
        <v>8886</v>
      </c>
    </row>
    <row r="7" spans="1:5">
      <c r="A7" s="10" t="s">
        <v>8874</v>
      </c>
      <c r="B7" s="10" t="s">
        <v>8875</v>
      </c>
      <c r="C7" s="10" t="s">
        <v>8876</v>
      </c>
      <c r="D7" s="10" t="s">
        <v>8877</v>
      </c>
      <c r="E7" s="10" t="s">
        <v>8919</v>
      </c>
    </row>
    <row r="8" spans="1:5">
      <c r="A8" s="65">
        <v>1</v>
      </c>
      <c r="B8" s="66" t="s">
        <v>8962</v>
      </c>
      <c r="C8" s="75" t="s">
        <v>9215</v>
      </c>
      <c r="D8" s="28" t="s">
        <v>5748</v>
      </c>
      <c r="E8" s="28" t="s">
        <v>9225</v>
      </c>
    </row>
    <row r="9" spans="1:5">
      <c r="A9" s="9">
        <v>2</v>
      </c>
      <c r="B9" s="64" t="s">
        <v>8963</v>
      </c>
      <c r="C9" s="75" t="s">
        <v>9057</v>
      </c>
      <c r="D9" s="28" t="s">
        <v>9058</v>
      </c>
      <c r="E9" s="28" t="s">
        <v>9226</v>
      </c>
    </row>
    <row r="10" spans="1:5">
      <c r="A10" s="9">
        <v>3</v>
      </c>
      <c r="B10" s="64" t="s">
        <v>8964</v>
      </c>
      <c r="C10" s="75" t="s">
        <v>9059</v>
      </c>
      <c r="D10" s="28" t="s">
        <v>2203</v>
      </c>
      <c r="E10" s="28" t="s">
        <v>9227</v>
      </c>
    </row>
    <row r="11" spans="1:5">
      <c r="A11" s="9">
        <v>4</v>
      </c>
      <c r="B11" s="64" t="s">
        <v>8965</v>
      </c>
      <c r="C11" s="75" t="s">
        <v>9060</v>
      </c>
      <c r="D11" s="28" t="s">
        <v>9061</v>
      </c>
      <c r="E11" s="28" t="s">
        <v>9228</v>
      </c>
    </row>
    <row r="12" spans="1:5">
      <c r="A12" s="9">
        <v>5</v>
      </c>
      <c r="B12" s="64" t="s">
        <v>8966</v>
      </c>
      <c r="C12" s="75" t="s">
        <v>9062</v>
      </c>
      <c r="D12" s="28" t="s">
        <v>9063</v>
      </c>
      <c r="E12" s="28" t="s">
        <v>9229</v>
      </c>
    </row>
    <row r="13" spans="1:5">
      <c r="A13" s="65">
        <v>6</v>
      </c>
      <c r="B13" s="66" t="s">
        <v>8967</v>
      </c>
      <c r="C13" s="76"/>
      <c r="D13" s="28"/>
      <c r="E13" s="28" t="s">
        <v>9230</v>
      </c>
    </row>
    <row r="14" spans="1:5">
      <c r="A14" s="9">
        <v>7</v>
      </c>
      <c r="B14" s="64" t="s">
        <v>8968</v>
      </c>
      <c r="C14" s="75" t="s">
        <v>9064</v>
      </c>
      <c r="D14" s="28" t="s">
        <v>9065</v>
      </c>
      <c r="E14" s="28" t="s">
        <v>9231</v>
      </c>
    </row>
    <row r="15" spans="1:5">
      <c r="A15" s="9">
        <v>8</v>
      </c>
      <c r="B15" s="64" t="s">
        <v>8969</v>
      </c>
      <c r="C15" s="75" t="s">
        <v>9066</v>
      </c>
      <c r="D15" s="28" t="s">
        <v>9067</v>
      </c>
      <c r="E15" s="28" t="s">
        <v>9232</v>
      </c>
    </row>
    <row r="16" spans="1:5">
      <c r="A16" s="9">
        <v>9</v>
      </c>
      <c r="B16" s="64" t="s">
        <v>8970</v>
      </c>
      <c r="C16" s="75" t="s">
        <v>9068</v>
      </c>
      <c r="D16" s="28" t="s">
        <v>9069</v>
      </c>
      <c r="E16" s="28" t="s">
        <v>9233</v>
      </c>
    </row>
    <row r="17" spans="1:5">
      <c r="A17" s="9">
        <v>10</v>
      </c>
      <c r="B17" s="64" t="s">
        <v>8971</v>
      </c>
      <c r="C17" s="75" t="s">
        <v>9070</v>
      </c>
      <c r="D17" s="28" t="s">
        <v>9071</v>
      </c>
      <c r="E17" s="28" t="s">
        <v>9234</v>
      </c>
    </row>
    <row r="18" spans="1:5">
      <c r="A18" s="9">
        <v>11</v>
      </c>
      <c r="B18" s="64" t="s">
        <v>8972</v>
      </c>
      <c r="C18" s="75" t="s">
        <v>9072</v>
      </c>
      <c r="D18" s="28" t="s">
        <v>9073</v>
      </c>
      <c r="E18" s="28" t="s">
        <v>9235</v>
      </c>
    </row>
    <row r="19" spans="1:5">
      <c r="A19" s="9">
        <v>12</v>
      </c>
      <c r="B19" s="64" t="s">
        <v>8973</v>
      </c>
      <c r="C19" s="75" t="s">
        <v>9074</v>
      </c>
      <c r="D19" s="28" t="s">
        <v>9075</v>
      </c>
      <c r="E19" s="28" t="s">
        <v>9236</v>
      </c>
    </row>
    <row r="20" spans="1:5">
      <c r="A20" s="9">
        <v>13</v>
      </c>
      <c r="B20" s="64" t="s">
        <v>8974</v>
      </c>
      <c r="C20" s="75" t="s">
        <v>9076</v>
      </c>
      <c r="D20" s="28" t="s">
        <v>9077</v>
      </c>
      <c r="E20" s="28" t="s">
        <v>9237</v>
      </c>
    </row>
    <row r="21" spans="1:5">
      <c r="A21" s="9">
        <v>14</v>
      </c>
      <c r="B21" s="64" t="s">
        <v>8975</v>
      </c>
      <c r="C21" s="75" t="s">
        <v>9078</v>
      </c>
      <c r="D21" s="28" t="s">
        <v>9079</v>
      </c>
      <c r="E21" s="28" t="s">
        <v>9238</v>
      </c>
    </row>
    <row r="22" spans="1:5">
      <c r="A22" s="9">
        <v>15</v>
      </c>
      <c r="B22" s="64" t="s">
        <v>8976</v>
      </c>
      <c r="C22" s="75" t="s">
        <v>9080</v>
      </c>
      <c r="D22" s="28" t="s">
        <v>9081</v>
      </c>
      <c r="E22" s="28" t="s">
        <v>9239</v>
      </c>
    </row>
    <row r="23" spans="1:5">
      <c r="A23" s="9">
        <v>16</v>
      </c>
      <c r="B23" s="64" t="s">
        <v>8977</v>
      </c>
      <c r="C23" s="75" t="s">
        <v>9082</v>
      </c>
      <c r="D23" s="28" t="s">
        <v>7934</v>
      </c>
      <c r="E23" s="28" t="s">
        <v>9240</v>
      </c>
    </row>
    <row r="24" spans="1:5">
      <c r="A24" s="9">
        <v>17</v>
      </c>
      <c r="B24" s="64" t="s">
        <v>8978</v>
      </c>
      <c r="C24" s="75" t="s">
        <v>9083</v>
      </c>
      <c r="D24" s="28" t="s">
        <v>9084</v>
      </c>
      <c r="E24" s="28" t="s">
        <v>9241</v>
      </c>
    </row>
    <row r="25" spans="1:5">
      <c r="A25" s="65">
        <v>18</v>
      </c>
      <c r="B25" s="66" t="s">
        <v>8979</v>
      </c>
      <c r="C25" s="75" t="s">
        <v>9085</v>
      </c>
      <c r="D25" s="28" t="s">
        <v>9086</v>
      </c>
      <c r="E25" s="28" t="s">
        <v>9242</v>
      </c>
    </row>
    <row r="26" spans="1:5">
      <c r="A26" s="9">
        <v>19</v>
      </c>
      <c r="B26" s="64" t="s">
        <v>8980</v>
      </c>
      <c r="C26" s="75" t="s">
        <v>9087</v>
      </c>
      <c r="D26" s="28" t="s">
        <v>9088</v>
      </c>
      <c r="E26" s="28" t="s">
        <v>9243</v>
      </c>
    </row>
    <row r="27" spans="1:5">
      <c r="A27" s="9">
        <v>20</v>
      </c>
      <c r="B27" s="64" t="s">
        <v>8981</v>
      </c>
      <c r="C27" s="75" t="s">
        <v>9089</v>
      </c>
      <c r="D27" s="28" t="s">
        <v>9090</v>
      </c>
      <c r="E27" s="28" t="s">
        <v>9244</v>
      </c>
    </row>
    <row r="28" spans="1:5">
      <c r="A28" s="9">
        <v>21</v>
      </c>
      <c r="B28" s="64" t="s">
        <v>8982</v>
      </c>
      <c r="C28" s="75" t="s">
        <v>9091</v>
      </c>
      <c r="D28" s="28" t="s">
        <v>9092</v>
      </c>
      <c r="E28" s="28" t="s">
        <v>9245</v>
      </c>
    </row>
    <row r="29" spans="1:5">
      <c r="A29" s="9">
        <v>22</v>
      </c>
      <c r="B29" s="64" t="s">
        <v>8983</v>
      </c>
      <c r="C29" s="75" t="s">
        <v>9093</v>
      </c>
      <c r="D29" s="28" t="s">
        <v>9214</v>
      </c>
      <c r="E29" s="28" t="s">
        <v>9246</v>
      </c>
    </row>
    <row r="30" spans="1:5">
      <c r="A30" s="9">
        <v>23</v>
      </c>
      <c r="B30" s="64" t="s">
        <v>8984</v>
      </c>
      <c r="C30" s="75" t="s">
        <v>9095</v>
      </c>
      <c r="D30" s="28" t="s">
        <v>9094</v>
      </c>
      <c r="E30" s="28" t="s">
        <v>9247</v>
      </c>
    </row>
    <row r="31" spans="1:5">
      <c r="A31" s="9">
        <v>24</v>
      </c>
      <c r="B31" s="64" t="s">
        <v>8985</v>
      </c>
      <c r="C31" s="75" t="s">
        <v>9097</v>
      </c>
      <c r="D31" s="28" t="s">
        <v>9096</v>
      </c>
      <c r="E31" s="28" t="s">
        <v>9248</v>
      </c>
    </row>
    <row r="32" spans="1:5">
      <c r="A32" s="9">
        <v>25</v>
      </c>
      <c r="B32" s="64" t="s">
        <v>8986</v>
      </c>
      <c r="C32" s="75" t="s">
        <v>9099</v>
      </c>
      <c r="D32" s="28" t="s">
        <v>9098</v>
      </c>
      <c r="E32" s="28" t="s">
        <v>9249</v>
      </c>
    </row>
    <row r="33" spans="1:5">
      <c r="A33" s="9">
        <v>26</v>
      </c>
      <c r="B33" s="64" t="s">
        <v>8987</v>
      </c>
      <c r="C33" s="75" t="s">
        <v>9101</v>
      </c>
      <c r="D33" s="28" t="s">
        <v>9100</v>
      </c>
      <c r="E33" s="28" t="s">
        <v>9250</v>
      </c>
    </row>
    <row r="34" spans="1:5">
      <c r="A34" s="9">
        <v>27</v>
      </c>
      <c r="B34" s="64" t="s">
        <v>8988</v>
      </c>
      <c r="C34" s="76"/>
      <c r="D34" s="28"/>
      <c r="E34" s="28" t="s">
        <v>9251</v>
      </c>
    </row>
    <row r="35" spans="1:5">
      <c r="A35" s="9">
        <v>28</v>
      </c>
      <c r="B35" s="64" t="s">
        <v>8989</v>
      </c>
      <c r="C35" s="75" t="s">
        <v>9103</v>
      </c>
      <c r="D35" s="28" t="s">
        <v>9102</v>
      </c>
      <c r="E35" s="28" t="s">
        <v>9252</v>
      </c>
    </row>
    <row r="36" spans="1:5">
      <c r="A36" s="9">
        <v>29</v>
      </c>
      <c r="B36" s="64" t="s">
        <v>8990</v>
      </c>
      <c r="C36" s="75" t="s">
        <v>9105</v>
      </c>
      <c r="D36" s="28" t="s">
        <v>9104</v>
      </c>
      <c r="E36" s="28" t="s">
        <v>9253</v>
      </c>
    </row>
    <row r="37" spans="1:5">
      <c r="A37" s="9">
        <v>30</v>
      </c>
      <c r="B37" s="64" t="s">
        <v>8991</v>
      </c>
      <c r="C37" s="75" t="s">
        <v>9107</v>
      </c>
      <c r="D37" s="28" t="s">
        <v>9106</v>
      </c>
      <c r="E37" s="28" t="s">
        <v>9254</v>
      </c>
    </row>
    <row r="38" spans="1:5">
      <c r="A38" s="9">
        <v>31</v>
      </c>
      <c r="B38" s="64" t="s">
        <v>8992</v>
      </c>
      <c r="C38" s="75" t="s">
        <v>9109</v>
      </c>
      <c r="D38" s="28" t="s">
        <v>9108</v>
      </c>
      <c r="E38" s="28" t="s">
        <v>9255</v>
      </c>
    </row>
    <row r="39" spans="1:5">
      <c r="A39" s="9">
        <v>32</v>
      </c>
      <c r="B39" s="64" t="s">
        <v>8993</v>
      </c>
      <c r="C39" s="75" t="s">
        <v>9111</v>
      </c>
      <c r="D39" s="28" t="s">
        <v>9110</v>
      </c>
      <c r="E39" s="28" t="s">
        <v>9233</v>
      </c>
    </row>
    <row r="40" spans="1:5">
      <c r="A40" s="9">
        <v>33</v>
      </c>
      <c r="B40" s="64" t="s">
        <v>6173</v>
      </c>
      <c r="C40" s="75" t="s">
        <v>9112</v>
      </c>
      <c r="D40" s="28" t="s">
        <v>6174</v>
      </c>
      <c r="E40" s="28" t="s">
        <v>9256</v>
      </c>
    </row>
    <row r="41" spans="1:5">
      <c r="A41" s="9">
        <v>34</v>
      </c>
      <c r="B41" s="64" t="s">
        <v>8994</v>
      </c>
      <c r="C41" s="75" t="s">
        <v>9114</v>
      </c>
      <c r="D41" s="28" t="s">
        <v>9113</v>
      </c>
      <c r="E41" s="28" t="s">
        <v>9257</v>
      </c>
    </row>
    <row r="42" spans="1:5">
      <c r="A42" s="9">
        <v>35</v>
      </c>
      <c r="B42" s="64" t="s">
        <v>8995</v>
      </c>
      <c r="C42" s="75" t="s">
        <v>9116</v>
      </c>
      <c r="D42" s="28" t="s">
        <v>9115</v>
      </c>
      <c r="E42" s="28" t="s">
        <v>9258</v>
      </c>
    </row>
    <row r="43" spans="1:5">
      <c r="A43" s="9">
        <v>36</v>
      </c>
      <c r="B43" s="64" t="s">
        <v>8996</v>
      </c>
      <c r="C43" s="75" t="s">
        <v>9118</v>
      </c>
      <c r="D43" s="28" t="s">
        <v>9117</v>
      </c>
      <c r="E43" s="28" t="s">
        <v>9259</v>
      </c>
    </row>
    <row r="44" spans="1:5">
      <c r="A44" s="9">
        <v>37</v>
      </c>
      <c r="B44" s="64" t="s">
        <v>8997</v>
      </c>
      <c r="C44" s="75" t="s">
        <v>9120</v>
      </c>
      <c r="D44" s="28" t="s">
        <v>9119</v>
      </c>
      <c r="E44" s="28" t="s">
        <v>9260</v>
      </c>
    </row>
    <row r="45" spans="1:5">
      <c r="A45" s="9">
        <v>38</v>
      </c>
      <c r="B45" s="64" t="s">
        <v>8998</v>
      </c>
      <c r="C45" s="75" t="s">
        <v>9121</v>
      </c>
      <c r="D45" s="28" t="s">
        <v>1482</v>
      </c>
      <c r="E45" s="28" t="s">
        <v>9261</v>
      </c>
    </row>
    <row r="46" spans="1:5">
      <c r="A46" s="9">
        <v>39</v>
      </c>
      <c r="B46" s="64" t="s">
        <v>8999</v>
      </c>
      <c r="C46" s="75" t="s">
        <v>9123</v>
      </c>
      <c r="D46" s="28" t="s">
        <v>9122</v>
      </c>
      <c r="E46" s="28" t="s">
        <v>9235</v>
      </c>
    </row>
    <row r="47" spans="1:5">
      <c r="A47" s="9">
        <v>40</v>
      </c>
      <c r="B47" s="64" t="s">
        <v>9000</v>
      </c>
      <c r="C47" s="75" t="s">
        <v>9125</v>
      </c>
      <c r="D47" s="28" t="s">
        <v>9124</v>
      </c>
      <c r="E47" s="28" t="s">
        <v>9262</v>
      </c>
    </row>
    <row r="48" spans="1:5">
      <c r="A48" s="9">
        <v>41</v>
      </c>
      <c r="B48" s="64" t="s">
        <v>9001</v>
      </c>
      <c r="C48" s="75" t="s">
        <v>9127</v>
      </c>
      <c r="D48" s="28" t="s">
        <v>9126</v>
      </c>
      <c r="E48" s="28" t="s">
        <v>9263</v>
      </c>
    </row>
    <row r="49" spans="1:5">
      <c r="A49" s="9">
        <v>42</v>
      </c>
      <c r="B49" s="64" t="s">
        <v>9002</v>
      </c>
      <c r="C49" s="75" t="s">
        <v>9129</v>
      </c>
      <c r="D49" s="28" t="s">
        <v>9128</v>
      </c>
      <c r="E49" s="28" t="s">
        <v>9264</v>
      </c>
    </row>
    <row r="50" spans="1:5">
      <c r="A50" s="9">
        <v>43</v>
      </c>
      <c r="B50" s="64" t="s">
        <v>9003</v>
      </c>
      <c r="C50" s="75" t="s">
        <v>9130</v>
      </c>
      <c r="D50" s="28" t="s">
        <v>770</v>
      </c>
      <c r="E50" s="28" t="s">
        <v>9265</v>
      </c>
    </row>
    <row r="51" spans="1:5">
      <c r="A51" s="9">
        <v>44</v>
      </c>
      <c r="B51" s="64" t="s">
        <v>9004</v>
      </c>
      <c r="C51" s="75" t="s">
        <v>9132</v>
      </c>
      <c r="D51" s="28" t="s">
        <v>9131</v>
      </c>
      <c r="E51" s="28" t="s">
        <v>9266</v>
      </c>
    </row>
    <row r="52" spans="1:5">
      <c r="A52" s="9">
        <v>45</v>
      </c>
      <c r="B52" s="64" t="s">
        <v>9005</v>
      </c>
      <c r="C52" s="75" t="s">
        <v>9134</v>
      </c>
      <c r="D52" s="28" t="s">
        <v>9133</v>
      </c>
      <c r="E52" s="28" t="s">
        <v>9267</v>
      </c>
    </row>
    <row r="53" spans="1:5">
      <c r="A53" s="9">
        <v>46</v>
      </c>
      <c r="B53" s="64" t="s">
        <v>9006</v>
      </c>
      <c r="C53" s="75" t="s">
        <v>9136</v>
      </c>
      <c r="D53" s="28" t="s">
        <v>9135</v>
      </c>
      <c r="E53" s="28" t="s">
        <v>9268</v>
      </c>
    </row>
    <row r="54" spans="1:5">
      <c r="A54" s="9">
        <v>47</v>
      </c>
      <c r="B54" s="64" t="s">
        <v>9007</v>
      </c>
      <c r="C54" s="76"/>
      <c r="D54" s="28"/>
      <c r="E54" s="28" t="s">
        <v>9269</v>
      </c>
    </row>
    <row r="55" spans="1:5">
      <c r="A55" s="9">
        <v>48</v>
      </c>
      <c r="B55" s="64" t="s">
        <v>9008</v>
      </c>
      <c r="C55" s="75" t="s">
        <v>9138</v>
      </c>
      <c r="D55" s="28" t="s">
        <v>9137</v>
      </c>
      <c r="E55" s="28" t="s">
        <v>9270</v>
      </c>
    </row>
    <row r="56" spans="1:5">
      <c r="A56" s="9">
        <v>49</v>
      </c>
      <c r="B56" s="64" t="s">
        <v>9009</v>
      </c>
      <c r="C56" s="75" t="s">
        <v>9140</v>
      </c>
      <c r="D56" s="28" t="s">
        <v>9139</v>
      </c>
      <c r="E56" s="28" t="s">
        <v>9271</v>
      </c>
    </row>
    <row r="57" spans="1:5">
      <c r="A57" s="9">
        <v>50</v>
      </c>
      <c r="B57" s="64" t="s">
        <v>5169</v>
      </c>
      <c r="C57" s="75" t="s">
        <v>4787</v>
      </c>
      <c r="D57" s="28" t="s">
        <v>5170</v>
      </c>
      <c r="E57" s="28" t="s">
        <v>9272</v>
      </c>
    </row>
    <row r="58" spans="1:5">
      <c r="A58" s="9">
        <v>51</v>
      </c>
      <c r="B58" s="64" t="s">
        <v>9010</v>
      </c>
      <c r="C58" s="75" t="s">
        <v>9142</v>
      </c>
      <c r="D58" s="28" t="s">
        <v>9141</v>
      </c>
      <c r="E58" s="28" t="s">
        <v>9273</v>
      </c>
    </row>
    <row r="59" spans="1:5">
      <c r="A59" s="9">
        <v>52</v>
      </c>
      <c r="B59" s="64" t="s">
        <v>9011</v>
      </c>
      <c r="C59" s="75" t="s">
        <v>9143</v>
      </c>
      <c r="D59" s="28" t="s">
        <v>5967</v>
      </c>
      <c r="E59" s="28" t="s">
        <v>9274</v>
      </c>
    </row>
    <row r="60" spans="1:5">
      <c r="A60" s="9">
        <v>53</v>
      </c>
      <c r="B60" s="64" t="s">
        <v>9012</v>
      </c>
      <c r="C60" s="75" t="s">
        <v>9145</v>
      </c>
      <c r="D60" s="28" t="s">
        <v>9144</v>
      </c>
      <c r="E60" s="28" t="s">
        <v>9275</v>
      </c>
    </row>
    <row r="61" spans="1:5">
      <c r="A61" s="9">
        <v>54</v>
      </c>
      <c r="B61" s="64" t="s">
        <v>9013</v>
      </c>
      <c r="C61" s="75" t="s">
        <v>9147</v>
      </c>
      <c r="D61" s="28" t="s">
        <v>9146</v>
      </c>
      <c r="E61" s="28" t="s">
        <v>9276</v>
      </c>
    </row>
    <row r="62" spans="1:5">
      <c r="A62" s="65">
        <v>55</v>
      </c>
      <c r="B62" s="66" t="s">
        <v>9014</v>
      </c>
      <c r="C62" s="75" t="s">
        <v>9148</v>
      </c>
      <c r="D62" s="28" t="s">
        <v>8685</v>
      </c>
      <c r="E62" s="28" t="s">
        <v>9277</v>
      </c>
    </row>
    <row r="63" spans="1:5">
      <c r="A63" s="67">
        <v>56</v>
      </c>
      <c r="B63" s="64" t="s">
        <v>9015</v>
      </c>
      <c r="C63" s="76"/>
      <c r="D63" s="28"/>
      <c r="E63" s="28" t="s">
        <v>9278</v>
      </c>
    </row>
    <row r="64" spans="1:5">
      <c r="A64" s="67">
        <v>57</v>
      </c>
      <c r="B64" s="64" t="s">
        <v>9016</v>
      </c>
      <c r="C64" s="75" t="s">
        <v>9150</v>
      </c>
      <c r="D64" s="28" t="s">
        <v>9149</v>
      </c>
      <c r="E64" s="28" t="s">
        <v>9279</v>
      </c>
    </row>
    <row r="65" spans="1:5">
      <c r="A65" s="67">
        <v>58</v>
      </c>
      <c r="B65" s="64" t="s">
        <v>9017</v>
      </c>
      <c r="C65" s="75" t="s">
        <v>9152</v>
      </c>
      <c r="D65" s="28" t="s">
        <v>9151</v>
      </c>
      <c r="E65" s="28" t="s">
        <v>9280</v>
      </c>
    </row>
    <row r="66" spans="1:5">
      <c r="A66" s="67">
        <v>59</v>
      </c>
      <c r="B66" s="64" t="s">
        <v>9018</v>
      </c>
      <c r="C66" s="75" t="s">
        <v>9154</v>
      </c>
      <c r="D66" s="28" t="s">
        <v>9153</v>
      </c>
      <c r="E66" s="28" t="s">
        <v>9281</v>
      </c>
    </row>
    <row r="67" spans="1:5">
      <c r="A67" s="67">
        <v>60</v>
      </c>
      <c r="B67" s="64" t="s">
        <v>9019</v>
      </c>
      <c r="C67" s="75" t="s">
        <v>9155</v>
      </c>
      <c r="D67" s="28" t="s">
        <v>7970</v>
      </c>
      <c r="E67" s="28" t="s">
        <v>9282</v>
      </c>
    </row>
    <row r="68" spans="1:5">
      <c r="A68" s="67">
        <v>61</v>
      </c>
      <c r="B68" s="64" t="s">
        <v>9020</v>
      </c>
      <c r="C68" s="75" t="s">
        <v>9157</v>
      </c>
      <c r="D68" s="28" t="s">
        <v>9156</v>
      </c>
      <c r="E68" s="28" t="s">
        <v>9283</v>
      </c>
    </row>
    <row r="69" spans="1:5">
      <c r="A69" s="67">
        <v>62</v>
      </c>
      <c r="B69" s="64" t="s">
        <v>9021</v>
      </c>
      <c r="C69" s="75" t="s">
        <v>9159</v>
      </c>
      <c r="D69" s="28" t="s">
        <v>9158</v>
      </c>
      <c r="E69" s="28" t="s">
        <v>9284</v>
      </c>
    </row>
    <row r="70" spans="1:5">
      <c r="A70" s="67">
        <v>63</v>
      </c>
      <c r="B70" s="64" t="s">
        <v>9022</v>
      </c>
      <c r="C70" s="75" t="s">
        <v>9161</v>
      </c>
      <c r="D70" s="28" t="s">
        <v>9160</v>
      </c>
      <c r="E70" s="28" t="s">
        <v>9285</v>
      </c>
    </row>
    <row r="71" spans="1:5">
      <c r="A71" s="67">
        <v>64</v>
      </c>
      <c r="B71" s="64" t="s">
        <v>9023</v>
      </c>
      <c r="C71" s="75" t="s">
        <v>9163</v>
      </c>
      <c r="D71" s="28" t="s">
        <v>9162</v>
      </c>
      <c r="E71" s="28" t="s">
        <v>9286</v>
      </c>
    </row>
    <row r="72" spans="1:5">
      <c r="A72" s="65">
        <v>65</v>
      </c>
      <c r="B72" s="66" t="s">
        <v>9024</v>
      </c>
      <c r="C72" s="75" t="s">
        <v>9165</v>
      </c>
      <c r="D72" s="28" t="s">
        <v>9164</v>
      </c>
      <c r="E72" s="28" t="s">
        <v>9287</v>
      </c>
    </row>
    <row r="73" spans="1:5">
      <c r="A73" s="67">
        <v>66</v>
      </c>
      <c r="B73" s="64" t="s">
        <v>4085</v>
      </c>
      <c r="C73" s="76"/>
      <c r="D73" s="28"/>
      <c r="E73" s="28" t="s">
        <v>9288</v>
      </c>
    </row>
    <row r="74" spans="1:5">
      <c r="A74" s="65">
        <v>67</v>
      </c>
      <c r="B74" s="66" t="s">
        <v>9025</v>
      </c>
      <c r="C74" s="75" t="s">
        <v>9167</v>
      </c>
      <c r="D74" s="28" t="s">
        <v>9166</v>
      </c>
      <c r="E74" s="28" t="s">
        <v>9289</v>
      </c>
    </row>
    <row r="75" spans="1:5">
      <c r="A75" s="67">
        <v>68</v>
      </c>
      <c r="B75" s="64" t="s">
        <v>9026</v>
      </c>
      <c r="C75" s="75" t="s">
        <v>9169</v>
      </c>
      <c r="D75" s="28" t="s">
        <v>9168</v>
      </c>
      <c r="E75" s="28" t="s">
        <v>9290</v>
      </c>
    </row>
    <row r="76" spans="1:5">
      <c r="A76" s="67">
        <v>69</v>
      </c>
      <c r="B76" s="64" t="s">
        <v>9027</v>
      </c>
      <c r="C76" s="76"/>
      <c r="D76" s="28"/>
      <c r="E76" s="28" t="s">
        <v>9291</v>
      </c>
    </row>
    <row r="77" spans="1:5">
      <c r="A77" s="67">
        <v>70</v>
      </c>
      <c r="B77" s="64" t="s">
        <v>9028</v>
      </c>
      <c r="C77" s="75" t="s">
        <v>9171</v>
      </c>
      <c r="D77" s="28" t="s">
        <v>9170</v>
      </c>
      <c r="E77" s="28" t="s">
        <v>9292</v>
      </c>
    </row>
    <row r="78" spans="1:5">
      <c r="A78" s="67">
        <v>71</v>
      </c>
      <c r="B78" s="64" t="s">
        <v>9029</v>
      </c>
      <c r="C78" s="75" t="s">
        <v>9173</v>
      </c>
      <c r="D78" s="28" t="s">
        <v>9172</v>
      </c>
      <c r="E78" s="28" t="s">
        <v>9293</v>
      </c>
    </row>
    <row r="79" spans="1:5">
      <c r="A79" s="67">
        <v>72</v>
      </c>
      <c r="B79" s="64" t="s">
        <v>9030</v>
      </c>
      <c r="C79" s="75" t="s">
        <v>9175</v>
      </c>
      <c r="D79" s="28" t="s">
        <v>9174</v>
      </c>
      <c r="E79" s="28" t="s">
        <v>9294</v>
      </c>
    </row>
    <row r="80" spans="1:5">
      <c r="A80" s="67">
        <v>73</v>
      </c>
      <c r="B80" s="64" t="s">
        <v>9031</v>
      </c>
      <c r="C80" s="75" t="s">
        <v>9177</v>
      </c>
      <c r="D80" s="28" t="s">
        <v>9176</v>
      </c>
      <c r="E80" s="28" t="s">
        <v>9295</v>
      </c>
    </row>
    <row r="81" spans="1:5">
      <c r="A81" s="67">
        <v>74</v>
      </c>
      <c r="B81" s="64" t="s">
        <v>9032</v>
      </c>
      <c r="C81" s="75" t="s">
        <v>9179</v>
      </c>
      <c r="D81" s="28" t="s">
        <v>9178</v>
      </c>
      <c r="E81" s="28" t="s">
        <v>9296</v>
      </c>
    </row>
    <row r="82" spans="1:5">
      <c r="A82" s="67">
        <v>75</v>
      </c>
      <c r="B82" s="64" t="s">
        <v>9033</v>
      </c>
      <c r="C82" s="75" t="s">
        <v>9181</v>
      </c>
      <c r="D82" s="28" t="s">
        <v>9180</v>
      </c>
      <c r="E82" s="28" t="s">
        <v>9297</v>
      </c>
    </row>
    <row r="83" spans="1:5">
      <c r="A83" s="67">
        <v>76</v>
      </c>
      <c r="B83" s="64" t="s">
        <v>9034</v>
      </c>
      <c r="C83" s="75" t="s">
        <v>9182</v>
      </c>
      <c r="D83" s="28" t="s">
        <v>2538</v>
      </c>
      <c r="E83" s="28" t="s">
        <v>9298</v>
      </c>
    </row>
    <row r="84" spans="1:5">
      <c r="A84" s="67">
        <v>77</v>
      </c>
      <c r="B84" s="64" t="s">
        <v>9035</v>
      </c>
      <c r="C84" s="75" t="s">
        <v>9184</v>
      </c>
      <c r="D84" s="28" t="s">
        <v>9183</v>
      </c>
      <c r="E84" s="28" t="s">
        <v>9299</v>
      </c>
    </row>
    <row r="85" spans="1:5">
      <c r="A85" s="67">
        <v>78</v>
      </c>
      <c r="B85" s="64" t="s">
        <v>9036</v>
      </c>
      <c r="C85" s="75" t="s">
        <v>9186</v>
      </c>
      <c r="D85" s="28" t="s">
        <v>9185</v>
      </c>
      <c r="E85" s="28" t="s">
        <v>9300</v>
      </c>
    </row>
    <row r="86" spans="1:5">
      <c r="A86" s="67">
        <v>79</v>
      </c>
      <c r="B86" s="64" t="s">
        <v>9037</v>
      </c>
      <c r="C86" s="75" t="s">
        <v>9188</v>
      </c>
      <c r="D86" s="28" t="s">
        <v>9187</v>
      </c>
      <c r="E86" s="28" t="s">
        <v>9301</v>
      </c>
    </row>
    <row r="87" spans="1:5">
      <c r="A87" s="67">
        <v>80</v>
      </c>
      <c r="B87" s="64" t="s">
        <v>9038</v>
      </c>
      <c r="C87" s="75" t="s">
        <v>9190</v>
      </c>
      <c r="D87" s="28" t="s">
        <v>9189</v>
      </c>
      <c r="E87" s="28" t="s">
        <v>9302</v>
      </c>
    </row>
    <row r="88" spans="1:5">
      <c r="A88" s="67">
        <v>81</v>
      </c>
      <c r="B88" s="64" t="s">
        <v>9039</v>
      </c>
      <c r="C88" s="75" t="s">
        <v>9192</v>
      </c>
      <c r="D88" s="28" t="s">
        <v>9191</v>
      </c>
      <c r="E88" s="28" t="s">
        <v>9303</v>
      </c>
    </row>
    <row r="89" spans="1:5">
      <c r="A89" s="67">
        <v>82</v>
      </c>
      <c r="B89" s="64" t="s">
        <v>8153</v>
      </c>
      <c r="C89" s="75" t="s">
        <v>8155</v>
      </c>
      <c r="D89" s="28" t="s">
        <v>8154</v>
      </c>
      <c r="E89" s="28" t="s">
        <v>9304</v>
      </c>
    </row>
    <row r="90" spans="1:5">
      <c r="A90" s="67">
        <v>83</v>
      </c>
      <c r="B90" s="64" t="s">
        <v>9040</v>
      </c>
      <c r="C90" s="75" t="s">
        <v>9193</v>
      </c>
      <c r="D90" s="28" t="s">
        <v>8160</v>
      </c>
      <c r="E90" s="28" t="s">
        <v>9305</v>
      </c>
    </row>
    <row r="91" spans="1:5">
      <c r="A91" s="67">
        <v>84</v>
      </c>
      <c r="B91" s="64" t="s">
        <v>9041</v>
      </c>
      <c r="C91" s="75" t="s">
        <v>9194</v>
      </c>
      <c r="D91" s="28" t="s">
        <v>8742</v>
      </c>
      <c r="E91" s="28" t="s">
        <v>9306</v>
      </c>
    </row>
    <row r="92" spans="1:5">
      <c r="A92" s="67">
        <v>85</v>
      </c>
      <c r="B92" s="64" t="s">
        <v>9042</v>
      </c>
      <c r="C92" s="75" t="s">
        <v>9195</v>
      </c>
      <c r="D92" s="28" t="s">
        <v>7097</v>
      </c>
      <c r="E92" s="28" t="s">
        <v>9307</v>
      </c>
    </row>
    <row r="93" spans="1:5">
      <c r="A93" s="67">
        <v>86</v>
      </c>
      <c r="B93" s="64" t="s">
        <v>9216</v>
      </c>
      <c r="C93" s="76" t="s">
        <v>9218</v>
      </c>
      <c r="D93" s="28" t="s">
        <v>5260</v>
      </c>
      <c r="E93" s="28" t="s">
        <v>9308</v>
      </c>
    </row>
    <row r="94" spans="1:5">
      <c r="A94" s="67">
        <v>87</v>
      </c>
      <c r="B94" s="64" t="s">
        <v>9043</v>
      </c>
      <c r="C94" s="76"/>
      <c r="D94" s="28"/>
      <c r="E94" s="28" t="s">
        <v>9309</v>
      </c>
    </row>
    <row r="95" spans="1:5">
      <c r="A95" s="67">
        <v>88</v>
      </c>
      <c r="B95" s="64" t="s">
        <v>9044</v>
      </c>
      <c r="C95" s="76"/>
      <c r="D95" s="28"/>
      <c r="E95" s="28" t="s">
        <v>9310</v>
      </c>
    </row>
    <row r="96" spans="1:5">
      <c r="A96" s="67">
        <v>89</v>
      </c>
      <c r="B96" s="64" t="s">
        <v>9045</v>
      </c>
      <c r="C96" s="75" t="s">
        <v>9197</v>
      </c>
      <c r="D96" s="28" t="s">
        <v>9196</v>
      </c>
      <c r="E96" s="28" t="s">
        <v>9311</v>
      </c>
    </row>
    <row r="97" spans="1:5">
      <c r="A97" s="67">
        <v>90</v>
      </c>
      <c r="B97" s="64" t="s">
        <v>9046</v>
      </c>
      <c r="C97" s="75" t="s">
        <v>9198</v>
      </c>
      <c r="D97" s="28" t="s">
        <v>8698</v>
      </c>
      <c r="E97" s="28" t="s">
        <v>9312</v>
      </c>
    </row>
    <row r="98" spans="1:5">
      <c r="A98" s="67">
        <v>91</v>
      </c>
      <c r="B98" s="64" t="s">
        <v>9047</v>
      </c>
      <c r="C98" s="76" t="s">
        <v>9217</v>
      </c>
      <c r="D98" s="28" t="s">
        <v>2742</v>
      </c>
      <c r="E98" s="28" t="s">
        <v>9313</v>
      </c>
    </row>
    <row r="99" spans="1:5">
      <c r="A99" s="67">
        <v>92</v>
      </c>
      <c r="B99" s="64" t="s">
        <v>9048</v>
      </c>
      <c r="C99" s="75" t="s">
        <v>9200</v>
      </c>
      <c r="D99" s="28" t="s">
        <v>9199</v>
      </c>
      <c r="E99" s="28" t="s">
        <v>9314</v>
      </c>
    </row>
    <row r="100" spans="1:5">
      <c r="A100" s="67">
        <v>93</v>
      </c>
      <c r="B100" s="64" t="s">
        <v>9049</v>
      </c>
      <c r="C100" s="75" t="s">
        <v>9202</v>
      </c>
      <c r="D100" s="28" t="s">
        <v>9201</v>
      </c>
      <c r="E100" s="28" t="s">
        <v>9315</v>
      </c>
    </row>
    <row r="101" spans="1:5">
      <c r="A101" s="67">
        <v>94</v>
      </c>
      <c r="B101" s="64" t="s">
        <v>5484</v>
      </c>
      <c r="C101" s="75" t="s">
        <v>5487</v>
      </c>
      <c r="D101" s="28" t="s">
        <v>5485</v>
      </c>
      <c r="E101" s="28" t="s">
        <v>9316</v>
      </c>
    </row>
    <row r="102" spans="1:5">
      <c r="A102" s="67">
        <v>95</v>
      </c>
      <c r="B102" s="64" t="s">
        <v>9050</v>
      </c>
      <c r="C102" s="75" t="s">
        <v>9204</v>
      </c>
      <c r="D102" s="28" t="s">
        <v>9203</v>
      </c>
      <c r="E102" s="28" t="s">
        <v>9317</v>
      </c>
    </row>
    <row r="103" spans="1:5">
      <c r="A103" s="67">
        <v>96</v>
      </c>
      <c r="B103" s="64" t="s">
        <v>9051</v>
      </c>
      <c r="C103" s="75" t="s">
        <v>9206</v>
      </c>
      <c r="D103" s="28" t="s">
        <v>9205</v>
      </c>
      <c r="E103" s="28" t="s">
        <v>9318</v>
      </c>
    </row>
    <row r="104" spans="1:5">
      <c r="A104" s="67">
        <v>97</v>
      </c>
      <c r="B104" s="64" t="s">
        <v>9052</v>
      </c>
      <c r="C104" s="75" t="s">
        <v>9207</v>
      </c>
      <c r="D104" s="28" t="s">
        <v>3245</v>
      </c>
      <c r="E104" s="28" t="s">
        <v>9319</v>
      </c>
    </row>
    <row r="105" spans="1:5">
      <c r="A105" s="67">
        <v>98</v>
      </c>
      <c r="B105" s="64" t="s">
        <v>9053</v>
      </c>
      <c r="C105" s="75" t="s">
        <v>9209</v>
      </c>
      <c r="D105" s="28" t="s">
        <v>9208</v>
      </c>
      <c r="E105" s="28" t="s">
        <v>9320</v>
      </c>
    </row>
    <row r="106" spans="1:5">
      <c r="A106" s="67">
        <v>99</v>
      </c>
      <c r="B106" s="64" t="s">
        <v>9054</v>
      </c>
      <c r="C106" s="76"/>
      <c r="D106" s="28"/>
      <c r="E106" s="28" t="s">
        <v>9321</v>
      </c>
    </row>
    <row r="107" spans="1:5">
      <c r="A107" s="67">
        <v>100</v>
      </c>
      <c r="B107" s="64" t="s">
        <v>9055</v>
      </c>
      <c r="C107" s="75" t="s">
        <v>9211</v>
      </c>
      <c r="D107" s="28" t="s">
        <v>9210</v>
      </c>
      <c r="E107" s="28" t="s">
        <v>9322</v>
      </c>
    </row>
    <row r="108" spans="1:5">
      <c r="A108" s="67">
        <v>101</v>
      </c>
      <c r="B108" s="64" t="s">
        <v>9056</v>
      </c>
      <c r="C108" s="75" t="s">
        <v>9213</v>
      </c>
      <c r="D108" s="28" t="s">
        <v>9212</v>
      </c>
      <c r="E108" s="28" t="s">
        <v>9323</v>
      </c>
    </row>
    <row r="109" spans="1:5">
      <c r="A109" s="9"/>
      <c r="B109" s="9"/>
      <c r="C109" s="9"/>
      <c r="D109" s="28"/>
      <c r="E109" s="28"/>
    </row>
    <row r="110" spans="1:5">
      <c r="A110" s="9"/>
      <c r="B110" s="9"/>
      <c r="C110" s="9"/>
      <c r="D110" s="28"/>
      <c r="E110" s="28"/>
    </row>
    <row r="111" spans="1:5">
      <c r="A111" s="9"/>
      <c r="B111" s="9"/>
      <c r="C111" s="9"/>
      <c r="D111" s="28"/>
      <c r="E111" s="28"/>
    </row>
    <row r="112" spans="1:5">
      <c r="A112" s="9"/>
      <c r="B112" s="9"/>
      <c r="C112" s="9"/>
      <c r="D112" s="28"/>
      <c r="E112" s="28"/>
    </row>
    <row r="113" spans="1:5">
      <c r="A113" s="9"/>
      <c r="B113" s="9"/>
      <c r="C113" s="9"/>
      <c r="D113" s="28"/>
      <c r="E113" s="28"/>
    </row>
    <row r="114" spans="1:5">
      <c r="A114" s="9"/>
      <c r="B114" s="9"/>
      <c r="C114" s="9"/>
      <c r="D114" s="28"/>
      <c r="E114" s="28"/>
    </row>
    <row r="115" spans="1:5">
      <c r="A115" s="9"/>
      <c r="B115" s="9"/>
      <c r="C115" s="9"/>
      <c r="D115" s="28"/>
      <c r="E115" s="28"/>
    </row>
    <row r="116" spans="1:5">
      <c r="A116" s="9"/>
      <c r="B116" s="9"/>
      <c r="C116" s="9"/>
      <c r="D116" s="28"/>
      <c r="E116" s="28"/>
    </row>
    <row r="117" spans="1:5">
      <c r="A117" s="9"/>
      <c r="B117" s="9"/>
      <c r="C117" s="9"/>
      <c r="D117" s="28"/>
      <c r="E117" s="28"/>
    </row>
    <row r="118" spans="1:5">
      <c r="A118" s="9"/>
      <c r="B118" s="9"/>
      <c r="C118" s="9"/>
      <c r="D118" s="28"/>
      <c r="E118" s="28"/>
    </row>
    <row r="119" spans="1:5">
      <c r="A119" s="9"/>
      <c r="B119" s="9"/>
      <c r="C119" s="9"/>
      <c r="D119" s="28"/>
      <c r="E119" s="28"/>
    </row>
    <row r="120" spans="1:5">
      <c r="A120" s="9"/>
      <c r="B120" s="9"/>
      <c r="C120" s="9"/>
      <c r="D120" s="28"/>
      <c r="E120" s="28"/>
    </row>
    <row r="121" spans="1:5">
      <c r="A121" s="9"/>
      <c r="B121" s="9"/>
      <c r="C121" s="9"/>
      <c r="D121" s="28"/>
      <c r="E121" s="28"/>
    </row>
    <row r="122" spans="1:5">
      <c r="A122" s="9"/>
      <c r="B122" s="9"/>
      <c r="C122" s="9"/>
      <c r="D122" s="28"/>
      <c r="E122" s="28"/>
    </row>
    <row r="123" spans="1:5">
      <c r="A123" s="9"/>
      <c r="B123" s="9"/>
      <c r="C123" s="9"/>
      <c r="D123" s="28"/>
      <c r="E123" s="28"/>
    </row>
    <row r="124" spans="1:5">
      <c r="A124" s="9"/>
      <c r="B124" s="9"/>
      <c r="C124" s="9"/>
      <c r="D124" s="28"/>
      <c r="E124" s="28"/>
    </row>
    <row r="125" spans="1:5">
      <c r="A125" s="9"/>
      <c r="B125" s="9"/>
      <c r="C125" s="9"/>
      <c r="D125" s="28"/>
      <c r="E125" s="28"/>
    </row>
    <row r="126" spans="1:5">
      <c r="A126" s="9"/>
      <c r="B126" s="9"/>
      <c r="C126" s="9"/>
      <c r="D126" s="28"/>
      <c r="E126" s="28"/>
    </row>
    <row r="127" spans="1:5">
      <c r="A127" s="9"/>
      <c r="B127" s="9"/>
      <c r="C127" s="9"/>
      <c r="D127" s="28"/>
      <c r="E127" s="28"/>
    </row>
    <row r="128" spans="1:5">
      <c r="A128" s="9"/>
      <c r="B128" s="9"/>
      <c r="C128" s="9"/>
      <c r="D128" s="28"/>
      <c r="E128" s="28"/>
    </row>
    <row r="129" spans="1:5">
      <c r="A129" s="9"/>
      <c r="B129" s="9"/>
      <c r="C129" s="9"/>
      <c r="D129" s="28"/>
      <c r="E129" s="28"/>
    </row>
    <row r="130" spans="1:5">
      <c r="A130" s="9"/>
      <c r="B130" s="9"/>
      <c r="C130" s="9"/>
      <c r="D130" s="28"/>
      <c r="E130" s="28"/>
    </row>
    <row r="131" spans="1:5">
      <c r="A131" s="9"/>
      <c r="B131" s="9"/>
      <c r="C131" s="9"/>
      <c r="D131" s="28"/>
      <c r="E131" s="28"/>
    </row>
    <row r="132" spans="1:5">
      <c r="A132" s="9"/>
      <c r="B132" s="9"/>
      <c r="C132" s="9"/>
      <c r="D132" s="28"/>
      <c r="E132" s="28"/>
    </row>
    <row r="133" spans="1:5">
      <c r="A133" s="9"/>
      <c r="B133" s="9"/>
      <c r="C133" s="9"/>
      <c r="D133" s="28"/>
      <c r="E133" s="28"/>
    </row>
    <row r="134" spans="1:5">
      <c r="A134" s="9"/>
      <c r="B134" s="9"/>
      <c r="C134" s="9"/>
      <c r="D134" s="28"/>
      <c r="E134" s="28"/>
    </row>
    <row r="135" spans="1:5">
      <c r="A135" s="9"/>
      <c r="B135" s="9"/>
      <c r="C135" s="9"/>
      <c r="D135" s="28"/>
      <c r="E135" s="28"/>
    </row>
    <row r="136" spans="1:5">
      <c r="A136" s="9"/>
      <c r="B136" s="9"/>
      <c r="C136" s="9"/>
      <c r="D136" s="28"/>
      <c r="E136" s="28"/>
    </row>
    <row r="137" spans="1:5">
      <c r="A137" s="9"/>
      <c r="B137" s="9"/>
      <c r="C137" s="9"/>
      <c r="D137" s="28"/>
      <c r="E137" s="28"/>
    </row>
    <row r="138" spans="1:5">
      <c r="A138" s="9"/>
      <c r="B138" s="9"/>
      <c r="C138" s="9"/>
      <c r="D138" s="28"/>
      <c r="E138" s="28"/>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2"/>
    </row>
    <row r="246" spans="6:6">
      <c r="F246" s="12"/>
    </row>
    <row r="247" spans="6:6">
      <c r="F247" s="12"/>
    </row>
    <row r="248" spans="6:6">
      <c r="F248" s="12"/>
    </row>
    <row r="249" spans="6:6">
      <c r="F249" s="12"/>
    </row>
    <row r="250" spans="6:6">
      <c r="F250" s="12"/>
    </row>
    <row r="251" spans="6:6">
      <c r="F251" s="12"/>
    </row>
    <row r="252" spans="6:6">
      <c r="F252" s="12"/>
    </row>
    <row r="253" spans="6:6">
      <c r="F253" s="12"/>
    </row>
    <row r="254" spans="6:6">
      <c r="F254" s="12"/>
    </row>
    <row r="255" spans="6:6">
      <c r="F255" s="12"/>
    </row>
    <row r="256" spans="6:6">
      <c r="F256" s="12"/>
    </row>
    <row r="257" spans="6:6">
      <c r="F257" s="12"/>
    </row>
  </sheetData>
  <dataConsolidate/>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23"/>
  <sheetViews>
    <sheetView tabSelected="1" topLeftCell="A18" workbookViewId="0">
      <selection activeCell="D19" sqref="D19"/>
    </sheetView>
  </sheetViews>
  <sheetFormatPr defaultRowHeight="18.75"/>
  <cols>
    <col min="2" max="2" width="18.75" customWidth="1"/>
    <col min="3" max="3" width="8.75" bestFit="1" customWidth="1"/>
    <col min="4" max="4" width="64" customWidth="1"/>
    <col min="5" max="5" width="45" customWidth="1"/>
  </cols>
  <sheetData>
    <row r="5" spans="2:5">
      <c r="B5" s="20" t="s">
        <v>8887</v>
      </c>
      <c r="C5" s="20" t="s">
        <v>8888</v>
      </c>
      <c r="D5" s="20" t="s">
        <v>8889</v>
      </c>
      <c r="E5" s="21" t="s">
        <v>8891</v>
      </c>
    </row>
    <row r="6" spans="2:5" ht="112.5">
      <c r="B6" s="18">
        <v>43951</v>
      </c>
      <c r="C6" s="9">
        <v>0.1</v>
      </c>
      <c r="D6" s="19" t="s">
        <v>8890</v>
      </c>
      <c r="E6" s="22" t="s">
        <v>8892</v>
      </c>
    </row>
    <row r="7" spans="2:5" ht="93.75">
      <c r="B7" s="18">
        <v>43951</v>
      </c>
      <c r="C7" s="9">
        <v>0.2</v>
      </c>
      <c r="D7" s="19" t="s">
        <v>8894</v>
      </c>
      <c r="E7" s="22" t="s">
        <v>8893</v>
      </c>
    </row>
    <row r="8" spans="2:5" ht="75">
      <c r="B8" s="18">
        <v>43952</v>
      </c>
      <c r="C8" s="9">
        <v>0.3</v>
      </c>
      <c r="D8" s="19" t="s">
        <v>8896</v>
      </c>
      <c r="E8" s="22" t="s">
        <v>8895</v>
      </c>
    </row>
    <row r="9" spans="2:5">
      <c r="B9" s="18">
        <v>43952</v>
      </c>
      <c r="C9" s="9">
        <v>0.4</v>
      </c>
      <c r="D9" s="9" t="s">
        <v>8897</v>
      </c>
      <c r="E9" s="9" t="s">
        <v>8893</v>
      </c>
    </row>
    <row r="10" spans="2:5" ht="37.5">
      <c r="B10" s="18">
        <v>43953</v>
      </c>
      <c r="C10" s="9">
        <v>0.5</v>
      </c>
      <c r="D10" s="19" t="s">
        <v>8898</v>
      </c>
      <c r="E10" s="9" t="s">
        <v>8893</v>
      </c>
    </row>
    <row r="11" spans="2:5">
      <c r="B11" s="18">
        <v>43955</v>
      </c>
      <c r="C11" s="9">
        <v>0.6</v>
      </c>
      <c r="D11" s="9" t="s">
        <v>8904</v>
      </c>
      <c r="E11" s="9" t="s">
        <v>8893</v>
      </c>
    </row>
    <row r="12" spans="2:5">
      <c r="B12" s="18">
        <v>43964</v>
      </c>
      <c r="C12" s="9">
        <v>0.7</v>
      </c>
      <c r="D12" s="9" t="s">
        <v>8905</v>
      </c>
      <c r="E12" s="9" t="s">
        <v>8893</v>
      </c>
    </row>
    <row r="13" spans="2:5">
      <c r="B13" s="18">
        <v>43965</v>
      </c>
      <c r="C13" s="9">
        <v>0.8</v>
      </c>
      <c r="D13" s="9" t="s">
        <v>8910</v>
      </c>
      <c r="E13" s="9" t="s">
        <v>8893</v>
      </c>
    </row>
    <row r="14" spans="2:5" ht="75">
      <c r="B14" s="18">
        <v>44494</v>
      </c>
      <c r="C14" s="9">
        <v>0.9</v>
      </c>
      <c r="D14" s="19" t="s">
        <v>8928</v>
      </c>
      <c r="E14" s="9" t="s">
        <v>8929</v>
      </c>
    </row>
    <row r="15" spans="2:5" ht="93.75">
      <c r="B15" s="18">
        <v>44628</v>
      </c>
      <c r="C15" s="9">
        <v>1</v>
      </c>
      <c r="D15" s="19" t="s">
        <v>8945</v>
      </c>
      <c r="E15" s="19" t="s">
        <v>8946</v>
      </c>
    </row>
    <row r="16" spans="2:5">
      <c r="B16" s="58">
        <v>44648</v>
      </c>
      <c r="C16" s="9">
        <v>1.1000000000000001</v>
      </c>
      <c r="D16" s="19" t="s">
        <v>8950</v>
      </c>
      <c r="E16" s="9" t="s">
        <v>8893</v>
      </c>
    </row>
    <row r="17" spans="2:5" ht="56.25">
      <c r="B17" s="18">
        <v>44652</v>
      </c>
      <c r="C17" s="9">
        <v>1.2</v>
      </c>
      <c r="D17" s="19" t="s">
        <v>8951</v>
      </c>
      <c r="E17" s="9" t="s">
        <v>8893</v>
      </c>
    </row>
    <row r="18" spans="2:5" ht="112.5">
      <c r="B18" s="18">
        <v>44670</v>
      </c>
      <c r="C18" s="9">
        <v>1.3</v>
      </c>
      <c r="D18" s="19" t="s">
        <v>8961</v>
      </c>
      <c r="E18" s="9" t="s">
        <v>8959</v>
      </c>
    </row>
    <row r="19" spans="2:5" ht="168.75">
      <c r="B19" s="18">
        <v>44672</v>
      </c>
      <c r="C19" s="9">
        <v>1.4</v>
      </c>
      <c r="D19" s="19" t="s">
        <v>9220</v>
      </c>
      <c r="E19" s="19" t="s">
        <v>9221</v>
      </c>
    </row>
    <row r="20" spans="2:5">
      <c r="B20" s="18">
        <v>44861</v>
      </c>
      <c r="C20" s="9">
        <v>1.5</v>
      </c>
      <c r="D20" s="19" t="s">
        <v>9222</v>
      </c>
      <c r="E20" s="9" t="s">
        <v>8893</v>
      </c>
    </row>
    <row r="21" spans="2:5">
      <c r="B21" s="18">
        <v>44865</v>
      </c>
      <c r="C21" s="9">
        <v>1.6</v>
      </c>
      <c r="D21" s="19" t="s">
        <v>9223</v>
      </c>
      <c r="E21" s="9" t="s">
        <v>8893</v>
      </c>
    </row>
    <row r="22" spans="2:5">
      <c r="B22" s="18">
        <v>45058</v>
      </c>
      <c r="C22" s="9">
        <v>1.7</v>
      </c>
      <c r="D22" s="19" t="s">
        <v>9224</v>
      </c>
      <c r="E22" s="9" t="s">
        <v>8893</v>
      </c>
    </row>
    <row r="23" spans="2:5">
      <c r="B23" s="18">
        <v>45061</v>
      </c>
      <c r="C23" s="77">
        <v>1.8</v>
      </c>
      <c r="D23" s="78" t="s">
        <v>9324</v>
      </c>
      <c r="E23" s="9" t="s">
        <v>8893</v>
      </c>
    </row>
  </sheetData>
  <phoneticPr fontId="6"/>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8927</v>
      </c>
    </row>
    <row r="2" spans="1:15">
      <c r="B2" t="s">
        <v>8921</v>
      </c>
      <c r="D2" s="30" t="str">
        <f>CONCATENATE(D23,"\Output\SSML")</f>
        <v>C:\Users\Neko\PycharmProjects\VocalSoft\Output\SSML</v>
      </c>
      <c r="E2" s="30"/>
      <c r="F2" s="30"/>
      <c r="G2" s="30"/>
      <c r="H2" s="30"/>
      <c r="I2" s="30"/>
      <c r="J2" s="30"/>
      <c r="K2" s="30"/>
    </row>
    <row r="3" spans="1:15">
      <c r="C3" t="s">
        <v>8922</v>
      </c>
      <c r="D3" s="57" t="str">
        <f>CONCATENATE($D$2,"\_bk")</f>
        <v>C:\Users\Neko\PycharmProjects\VocalSoft\Output\SSML\_bk</v>
      </c>
      <c r="E3" s="57"/>
      <c r="F3" s="57"/>
      <c r="G3" s="57"/>
      <c r="H3" s="57"/>
      <c r="I3" s="57"/>
      <c r="J3" s="57"/>
      <c r="K3" s="57"/>
      <c r="N3" s="30"/>
      <c r="O3" t="s">
        <v>8957</v>
      </c>
    </row>
    <row r="4" spans="1:15">
      <c r="C4" t="s">
        <v>8923</v>
      </c>
      <c r="D4" s="57" t="str">
        <f>CONCATENATE($D$2,"\_out")</f>
        <v>C:\Users\Neko\PycharmProjects\VocalSoft\Output\SSML\_out</v>
      </c>
      <c r="E4" s="57"/>
      <c r="F4" s="57"/>
      <c r="G4" s="57"/>
      <c r="H4" s="57"/>
      <c r="I4" s="57"/>
      <c r="J4" s="57"/>
      <c r="K4" s="57"/>
      <c r="N4" s="57"/>
      <c r="O4" t="s">
        <v>8935</v>
      </c>
    </row>
    <row r="5" spans="1:15">
      <c r="B5" t="s">
        <v>8924</v>
      </c>
      <c r="D5" s="30" t="str">
        <f>CONCATENATE(D23,"\Output\Audio")</f>
        <v>C:\Users\Neko\PycharmProjects\VocalSoft\Output\Audio</v>
      </c>
      <c r="E5" s="30"/>
      <c r="F5" s="30"/>
      <c r="G5" s="30"/>
      <c r="H5" s="30"/>
      <c r="I5" s="30"/>
      <c r="J5" s="30"/>
      <c r="K5" s="30"/>
      <c r="N5" s="63"/>
      <c r="O5" t="s">
        <v>8958</v>
      </c>
    </row>
    <row r="6" spans="1:15">
      <c r="C6" t="s">
        <v>8922</v>
      </c>
      <c r="D6" s="57" t="str">
        <f>CONCATENATE($D$5,"\_bk")</f>
        <v>C:\Users\Neko\PycharmProjects\VocalSoft\Output\Audio\_bk</v>
      </c>
      <c r="E6" s="57"/>
      <c r="F6" s="57"/>
      <c r="G6" s="57"/>
      <c r="H6" s="57"/>
      <c r="I6" s="57"/>
      <c r="J6" s="57"/>
      <c r="K6" s="57"/>
    </row>
    <row r="7" spans="1:15">
      <c r="C7" t="s">
        <v>8923</v>
      </c>
      <c r="D7" s="57" t="str">
        <f>CONCATENATE($D$5,"\_out")</f>
        <v>C:\Users\Neko\PycharmProjects\VocalSoft\Output\Audio\_out</v>
      </c>
      <c r="E7" s="57"/>
      <c r="F7" s="57"/>
      <c r="G7" s="57"/>
      <c r="H7" s="57"/>
      <c r="I7" s="57"/>
      <c r="J7" s="57"/>
      <c r="K7" s="57"/>
    </row>
    <row r="8" spans="1:15">
      <c r="B8" t="s">
        <v>8925</v>
      </c>
      <c r="D8" s="30" t="str">
        <f>CONCATENATE(D23,"\Output\Image")</f>
        <v>C:\Users\Neko\PycharmProjects\VocalSoft\Output\Image</v>
      </c>
      <c r="E8" s="30"/>
      <c r="F8" s="30"/>
      <c r="G8" s="30"/>
      <c r="H8" s="30"/>
      <c r="I8" s="30"/>
      <c r="J8" s="30"/>
      <c r="K8" s="30"/>
    </row>
    <row r="9" spans="1:15">
      <c r="C9" t="s">
        <v>8922</v>
      </c>
      <c r="D9" s="57" t="str">
        <f>CONCATENATE($D$8,"\_bk")</f>
        <v>C:\Users\Neko\PycharmProjects\VocalSoft\Output\Image\_bk</v>
      </c>
      <c r="E9" s="57"/>
      <c r="F9" s="57"/>
      <c r="G9" s="57"/>
      <c r="H9" s="57"/>
      <c r="I9" s="57"/>
      <c r="J9" s="57"/>
      <c r="K9" s="57"/>
    </row>
    <row r="10" spans="1:15">
      <c r="C10" t="s">
        <v>8923</v>
      </c>
      <c r="D10" s="57" t="str">
        <f>CONCATENATE($D$8,"\_out")</f>
        <v>C:\Users\Neko\PycharmProjects\VocalSoft\Output\Image\_out</v>
      </c>
      <c r="E10" s="57"/>
      <c r="F10" s="57"/>
      <c r="G10" s="57"/>
      <c r="H10" s="57"/>
      <c r="I10" s="57"/>
      <c r="J10" s="57"/>
      <c r="K10" s="57"/>
    </row>
    <row r="11" spans="1:15">
      <c r="B11" t="s">
        <v>8926</v>
      </c>
      <c r="D11" s="30" t="str">
        <f>CONCATENATE(D23,"\Output\Video")</f>
        <v>C:\Users\Neko\PycharmProjects\VocalSoft\Output\Video</v>
      </c>
      <c r="E11" s="30"/>
      <c r="F11" s="30"/>
      <c r="G11" s="30"/>
      <c r="H11" s="30"/>
      <c r="I11" s="30"/>
      <c r="J11" s="30"/>
      <c r="K11" s="30"/>
    </row>
    <row r="12" spans="1:15">
      <c r="C12" t="s">
        <v>8922</v>
      </c>
      <c r="D12" s="57" t="str">
        <f>CONCATENATE($D$11,"\_bk")</f>
        <v>C:\Users\Neko\PycharmProjects\VocalSoft\Output\Video\_bk</v>
      </c>
      <c r="E12" s="57"/>
      <c r="F12" s="57"/>
      <c r="G12" s="57"/>
      <c r="H12" s="57"/>
      <c r="I12" s="57"/>
      <c r="J12" s="57"/>
      <c r="K12" s="57"/>
    </row>
    <row r="13" spans="1:15">
      <c r="C13" t="s">
        <v>8923</v>
      </c>
      <c r="D13" s="57" t="str">
        <f>CONCATENATE($D$11,"\_out")</f>
        <v>C:\Users\Neko\PycharmProjects\VocalSoft\Output\Video\_out</v>
      </c>
      <c r="E13" s="57"/>
      <c r="F13" s="57"/>
      <c r="G13" s="57"/>
      <c r="H13" s="57"/>
      <c r="I13" s="57"/>
      <c r="J13" s="57"/>
      <c r="K13" s="57"/>
    </row>
    <row r="14" spans="1:15">
      <c r="A14" s="8" t="s">
        <v>8936</v>
      </c>
    </row>
    <row r="15" spans="1:15">
      <c r="A15" s="8"/>
      <c r="B15" t="s">
        <v>8938</v>
      </c>
      <c r="D15" t="str">
        <f>CONCATENATE(D23,"\venv\Scripts\python.exe")</f>
        <v>C:\Users\Neko\PycharmProjects\VocalSoft\venv\Scripts\python.exe</v>
      </c>
    </row>
    <row r="16" spans="1:15">
      <c r="B16" t="s">
        <v>8937</v>
      </c>
      <c r="D16" s="30" t="str">
        <f>CONCATENATE(D23,"\Src")</f>
        <v>C:\Users\Neko\PycharmProjects\VocalSoft\Src</v>
      </c>
      <c r="E16" s="30"/>
      <c r="F16" s="30"/>
      <c r="G16" s="30"/>
      <c r="H16" s="30"/>
      <c r="I16" s="30"/>
      <c r="J16" s="30"/>
      <c r="K16" s="30"/>
    </row>
    <row r="17" spans="1:11">
      <c r="C17" t="s">
        <v>8934</v>
      </c>
      <c r="D17" s="57" t="str">
        <f>CONCATENATE(D16,"\T2S_Generator.py")</f>
        <v>C:\Users\Neko\PycharmProjects\VocalSoft\Src\T2S_Generator.py</v>
      </c>
      <c r="E17" s="57"/>
      <c r="F17" s="57"/>
      <c r="G17" s="57"/>
      <c r="H17" s="57"/>
      <c r="I17" s="57"/>
      <c r="J17" s="57"/>
      <c r="K17" s="57"/>
    </row>
    <row r="18" spans="1:11">
      <c r="C18" t="s">
        <v>8926</v>
      </c>
      <c r="D18" s="57" t="str">
        <f>CONCATENATE(D16,"\Video_Generator.py")</f>
        <v>C:\Users\Neko\PycharmProjects\VocalSoft\Src\Video_Generator.py</v>
      </c>
      <c r="E18" s="57"/>
      <c r="F18" s="57"/>
      <c r="G18" s="57"/>
      <c r="H18" s="57"/>
      <c r="I18" s="57"/>
      <c r="J18" s="57"/>
      <c r="K18" s="57"/>
    </row>
    <row r="19" spans="1:11">
      <c r="A19" s="8" t="s">
        <v>8947</v>
      </c>
    </row>
    <row r="20" spans="1:11">
      <c r="B20" t="s">
        <v>8948</v>
      </c>
      <c r="D20" s="30" t="str">
        <f>CONCATENATE(D23,"\Macro")</f>
        <v>C:\Users\Neko\PycharmProjects\VocalSoft\Macro</v>
      </c>
      <c r="E20" s="30"/>
      <c r="F20" s="30"/>
      <c r="G20" s="30"/>
      <c r="H20" s="30"/>
      <c r="I20" s="30"/>
      <c r="J20" s="30"/>
      <c r="K20" s="30"/>
    </row>
    <row r="21" spans="1:11">
      <c r="C21" t="s">
        <v>8949</v>
      </c>
      <c r="D21" s="57" t="str">
        <f>CONCATENATE(D20,"\GGTranslate_apiKey.txt")</f>
        <v>C:\Users\Neko\PycharmProjects\VocalSoft\Macro\GGTranslate_apiKey.txt</v>
      </c>
      <c r="E21" s="57"/>
      <c r="F21" s="57"/>
      <c r="G21" s="57"/>
      <c r="H21" s="57"/>
      <c r="I21" s="57"/>
      <c r="J21" s="57"/>
      <c r="K21" s="57"/>
    </row>
    <row r="22" spans="1:11">
      <c r="A22" s="8" t="s">
        <v>8952</v>
      </c>
    </row>
    <row r="23" spans="1:11">
      <c r="B23" t="s">
        <v>8953</v>
      </c>
      <c r="D23" s="57" t="s">
        <v>8960</v>
      </c>
      <c r="E23" s="57"/>
      <c r="F23" s="57"/>
      <c r="G23" s="57"/>
      <c r="H23" s="57"/>
      <c r="I23" s="57"/>
      <c r="J23" s="57"/>
      <c r="K23" s="57"/>
    </row>
    <row r="24" spans="1:11">
      <c r="C24" t="s">
        <v>8954</v>
      </c>
      <c r="D24" s="63" t="s">
        <v>8956</v>
      </c>
      <c r="E24" s="63"/>
      <c r="F24" s="63"/>
      <c r="G24" s="63"/>
      <c r="H24" s="63"/>
      <c r="I24" s="63"/>
      <c r="J24" s="63"/>
      <c r="K24" s="63"/>
    </row>
    <row r="25" spans="1:11">
      <c r="C25" t="s">
        <v>8955</v>
      </c>
      <c r="D25" s="63" t="s">
        <v>8960</v>
      </c>
      <c r="E25" s="63"/>
      <c r="F25" s="63"/>
      <c r="G25" s="63"/>
      <c r="H25" s="63"/>
      <c r="I25" s="63"/>
      <c r="J25" s="63"/>
      <c r="K25" s="63"/>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8878</v>
      </c>
      <c r="E1" s="1" t="s">
        <v>0</v>
      </c>
    </row>
    <row r="2" spans="1:5">
      <c r="A2" t="s">
        <v>8881</v>
      </c>
    </row>
    <row r="7" spans="1:5">
      <c r="B7" t="str">
        <f>LOWER(A7)</f>
        <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topLeftCell="A73" workbookViewId="0">
      <selection activeCell="C67" sqref="C67"/>
    </sheetView>
  </sheetViews>
  <sheetFormatPr defaultColWidth="9" defaultRowHeight="18.75"/>
  <cols>
    <col min="1" max="1" width="40.125" style="13" bestFit="1" customWidth="1"/>
    <col min="2" max="2" width="26.875" style="16" bestFit="1" customWidth="1"/>
    <col min="3" max="4" width="10.375" style="13" customWidth="1"/>
    <col min="5" max="5" width="8.375" style="13" customWidth="1"/>
    <col min="6" max="6" width="9" style="13"/>
    <col min="7" max="7" width="15.125" style="1" bestFit="1" customWidth="1"/>
    <col min="8" max="8" width="18.25" style="1" customWidth="1"/>
    <col min="9" max="11" width="9" style="1"/>
    <col min="12" max="12" width="24.125" style="1" bestFit="1" customWidth="1"/>
    <col min="13" max="16384" width="9" style="1"/>
  </cols>
  <sheetData>
    <row r="1" spans="1:11">
      <c r="A1" s="14" t="s">
        <v>8879</v>
      </c>
      <c r="B1" s="17" t="s">
        <v>8880</v>
      </c>
      <c r="C1" s="13" t="s">
        <v>1</v>
      </c>
      <c r="D1" s="13" t="s">
        <v>2</v>
      </c>
      <c r="E1" s="13" t="s">
        <v>3</v>
      </c>
      <c r="F1" s="13" t="s">
        <v>4</v>
      </c>
      <c r="G1" s="13" t="s">
        <v>8899</v>
      </c>
      <c r="H1" s="13" t="s">
        <v>8900</v>
      </c>
      <c r="I1" s="13" t="s">
        <v>8901</v>
      </c>
      <c r="J1" s="13" t="s">
        <v>8902</v>
      </c>
      <c r="K1" s="13" t="s">
        <v>8903</v>
      </c>
    </row>
    <row r="2" spans="1:11">
      <c r="A2" s="13" t="str">
        <f>Master!B8</f>
        <v>扉のページ</v>
      </c>
      <c r="B2" s="16" t="str">
        <f>TRIM(CONCATENATE($C2," ",$D2," ",$E2," ",$F2," ",$G2," ",$H2," ",$I2," ",$J2," ",$K2))</f>
        <v>PHI</v>
      </c>
      <c r="C2" s="15" t="str">
        <f>IF(ISNA(VLOOKUP(MID($A2,1,1),Kanji_2_HanViet!$A:$C,2,FALSE)),"",VLOOKUP(MID($A2,1,1),Kanji_2_HanViet!$A:$C,2,FALSE))</f>
        <v>PHI</v>
      </c>
      <c r="D2" s="15" t="str">
        <f>IF(ISNA(VLOOKUP(MID($A2,2,1),Kanji_2_HanViet!$A:$C,2,FALSE)),"",VLOOKUP(MID($A2,2,1),Kanji_2_HanViet!$A:$C,2,FALSE))</f>
        <v/>
      </c>
      <c r="E2" s="15" t="str">
        <f>IF(ISNA(VLOOKUP(MID($A2,3,1),Kanji_2_HanViet!$A:$C,2,FALSE)),"",VLOOKUP(MID($A2,3,1),Kanji_2_HanViet!$A:$C,2,FALSE))</f>
        <v/>
      </c>
      <c r="F2" s="15" t="str">
        <f>IF(ISNA(VLOOKUP(MID($A2,4,1),Kanji_2_HanViet!$A:$C,2,FALSE)),"",VLOOKUP(MID($A2,4,1),Kanji_2_HanViet!$A:$C,2,FALSE))</f>
        <v/>
      </c>
      <c r="G2" s="15" t="str">
        <f>IF(ISNA(VLOOKUP(MID($A2,5,1),Kanji_2_HanViet!$A:$C,2,FALSE)),"",VLOOKUP(MID($A2,5,1),Kanji_2_HanViet!$A:$C,2,FALSE))</f>
        <v/>
      </c>
      <c r="H2" s="15" t="str">
        <f>IF(ISNA(VLOOKUP(MID($A2,6,1),Kanji_2_HanViet!$A:$C,2,FALSE)),"",VLOOKUP(MID($A2,6,1),Kanji_2_HanViet!$A:$C,2,FALSE))</f>
        <v/>
      </c>
      <c r="I2" s="15" t="str">
        <f>IF(ISNA(VLOOKUP(MID($A2,7,1),Kanji_2_HanViet!$A:$C,2,FALSE)),"",VLOOKUP(MID($A2,7,1),Kanji_2_HanViet!$A:$C,2,FALSE))</f>
        <v/>
      </c>
      <c r="J2" s="15" t="str">
        <f>IF(ISNA(VLOOKUP(MID($A2,8,1),Kanji_2_HanViet!$A:$C,2,FALSE)),"",VLOOKUP(MID($A2,8,1),Kanji_2_HanViet!$A:$C,2,FALSE))</f>
        <v/>
      </c>
      <c r="K2" s="15" t="str">
        <f>IF(ISNA(VLOOKUP(MID($A2,9,1),Kanji_2_HanViet!$A:$C,2,FALSE)),"",VLOOKUP(MID($A2,9,1),Kanji_2_HanViet!$A:$C,2,FALSE))</f>
        <v/>
      </c>
    </row>
    <row r="3" spans="1:11">
      <c r="A3" s="13" t="str">
        <f>Master!B9</f>
        <v>制服</v>
      </c>
      <c r="B3" s="16" t="str">
        <f t="shared" ref="B3:B66" si="0">TRIM(CONCATENATE($C3," ",$D3," ",$E3," ",$F3," ",$G3," ",$H3," ",$I3," ",$J3," ",$K3))</f>
        <v>CHẾ PHỤC</v>
      </c>
      <c r="C3" s="15" t="str">
        <f>IF(ISNA(VLOOKUP(MID($A3,1,1),Kanji_2_HanViet!$A:$C,2,FALSE)),"",VLOOKUP(MID($A3,1,1),Kanji_2_HanViet!$A:$C,2,FALSE))</f>
        <v>CHẾ</v>
      </c>
      <c r="D3" s="15" t="str">
        <f>IF(ISNA(VLOOKUP(MID($A3,2,1),Kanji_2_HanViet!$A:$C,2,FALSE)),"",VLOOKUP(MID($A3,2,1),Kanji_2_HanViet!$A:$C,2,FALSE))</f>
        <v>PHỤC</v>
      </c>
      <c r="E3" s="15" t="str">
        <f>IF(ISNA(VLOOKUP(MID($A3,3,1),Kanji_2_HanViet!$A:$C,2,FALSE)),"",VLOOKUP(MID($A3,3,1),Kanji_2_HanViet!$A:$C,2,FALSE))</f>
        <v/>
      </c>
      <c r="F3" s="15" t="str">
        <f>IF(ISNA(VLOOKUP(MID($A3,4,1),Kanji_2_HanViet!$A:$C,2,FALSE)),"",VLOOKUP(MID($A3,4,1),Kanji_2_HanViet!$A:$C,2,FALSE))</f>
        <v/>
      </c>
      <c r="G3" s="15" t="str">
        <f>IF(ISNA(VLOOKUP(MID($A3,5,1),Kanji_2_HanViet!$A:$C,2,FALSE)),"",VLOOKUP(MID($A3,5,1),Kanji_2_HanViet!$A:$C,2,FALSE))</f>
        <v/>
      </c>
      <c r="H3" s="15" t="str">
        <f>IF(ISNA(VLOOKUP(MID($A3,6,1),Kanji_2_HanViet!$A:$C,2,FALSE)),"",VLOOKUP(MID($A3,6,1),Kanji_2_HanViet!$A:$C,2,FALSE))</f>
        <v/>
      </c>
      <c r="I3" s="15" t="str">
        <f>IF(ISNA(VLOOKUP(MID($A3,7,1),Kanji_2_HanViet!$A:$C,2,FALSE)),"",VLOOKUP(MID($A3,7,1),Kanji_2_HanViet!$A:$C,2,FALSE))</f>
        <v/>
      </c>
      <c r="J3" s="15" t="str">
        <f>IF(ISNA(VLOOKUP(MID($A3,8,1),Kanji_2_HanViet!$A:$C,2,FALSE)),"",VLOOKUP(MID($A3,8,1),Kanji_2_HanViet!$A:$C,2,FALSE))</f>
        <v/>
      </c>
      <c r="K3" s="15" t="str">
        <f>IF(ISNA(VLOOKUP(MID($A3,9,1),Kanji_2_HanViet!$A:$C,2,FALSE)),"",VLOOKUP(MID($A3,9,1),Kanji_2_HanViet!$A:$C,2,FALSE))</f>
        <v/>
      </c>
    </row>
    <row r="4" spans="1:11">
      <c r="A4" s="13" t="str">
        <f>Master!B10</f>
        <v>点（いい～）</v>
      </c>
      <c r="B4" s="16" t="str">
        <f t="shared" si="0"/>
        <v>ĐIỂM</v>
      </c>
      <c r="C4" s="15" t="str">
        <f>IF(ISNA(VLOOKUP(MID($A4,1,1),Kanji_2_HanViet!$A:$C,2,FALSE)),"",VLOOKUP(MID($A4,1,1),Kanji_2_HanViet!$A:$C,2,FALSE))</f>
        <v>ĐIỂM</v>
      </c>
      <c r="D4" s="15" t="str">
        <f>IF(ISNA(VLOOKUP(MID($A4,2,1),Kanji_2_HanViet!$A:$C,2,FALSE)),"",VLOOKUP(MID($A4,2,1),Kanji_2_HanViet!$A:$C,2,FALSE))</f>
        <v/>
      </c>
      <c r="E4" s="15" t="str">
        <f>IF(ISNA(VLOOKUP(MID($A4,3,1),Kanji_2_HanViet!$A:$C,2,FALSE)),"",VLOOKUP(MID($A4,3,1),Kanji_2_HanViet!$A:$C,2,FALSE))</f>
        <v/>
      </c>
      <c r="F4" s="15" t="str">
        <f>IF(ISNA(VLOOKUP(MID($A4,4,1),Kanji_2_HanViet!$A:$C,2,FALSE)),"",VLOOKUP(MID($A4,4,1),Kanji_2_HanViet!$A:$C,2,FALSE))</f>
        <v/>
      </c>
      <c r="G4" s="15" t="str">
        <f>IF(ISNA(VLOOKUP(MID($A4,5,1),Kanji_2_HanViet!$A:$C,2,FALSE)),"",VLOOKUP(MID($A4,5,1),Kanji_2_HanViet!$A:$C,2,FALSE))</f>
        <v/>
      </c>
      <c r="H4" s="15" t="str">
        <f>IF(ISNA(VLOOKUP(MID($A4,6,1),Kanji_2_HanViet!$A:$C,2,FALSE)),"",VLOOKUP(MID($A4,6,1),Kanji_2_HanViet!$A:$C,2,FALSE))</f>
        <v/>
      </c>
      <c r="I4" s="15" t="str">
        <f>IF(ISNA(VLOOKUP(MID($A4,7,1),Kanji_2_HanViet!$A:$C,2,FALSE)),"",VLOOKUP(MID($A4,7,1),Kanji_2_HanViet!$A:$C,2,FALSE))</f>
        <v/>
      </c>
      <c r="J4" s="15" t="str">
        <f>IF(ISNA(VLOOKUP(MID($A4,8,1),Kanji_2_HanViet!$A:$C,2,FALSE)),"",VLOOKUP(MID($A4,8,1),Kanji_2_HanViet!$A:$C,2,FALSE))</f>
        <v/>
      </c>
      <c r="K4" s="15" t="str">
        <f>IF(ISNA(VLOOKUP(MID($A4,9,1),Kanji_2_HanViet!$A:$C,2,FALSE)),"",VLOOKUP(MID($A4,9,1),Kanji_2_HanViet!$A:$C,2,FALSE))</f>
        <v/>
      </c>
    </row>
    <row r="5" spans="1:11">
      <c r="A5" s="13" t="str">
        <f>Master!B11</f>
        <v>経済的</v>
      </c>
      <c r="B5" s="16" t="str">
        <f t="shared" si="0"/>
        <v>KINH TẾ ĐÍCH</v>
      </c>
      <c r="C5" s="15" t="str">
        <f>IF(ISNA(VLOOKUP(MID($A5,1,1),Kanji_2_HanViet!$A:$C,2,FALSE)),"",VLOOKUP(MID($A5,1,1),Kanji_2_HanViet!$A:$C,2,FALSE))</f>
        <v>KINH</v>
      </c>
      <c r="D5" s="15" t="str">
        <f>IF(ISNA(VLOOKUP(MID($A5,2,1),Kanji_2_HanViet!$A:$C,2,FALSE)),"",VLOOKUP(MID($A5,2,1),Kanji_2_HanViet!$A:$C,2,FALSE))</f>
        <v>TẾ</v>
      </c>
      <c r="E5" s="15" t="str">
        <f>IF(ISNA(VLOOKUP(MID($A5,3,1),Kanji_2_HanViet!$A:$C,2,FALSE)),"",VLOOKUP(MID($A5,3,1),Kanji_2_HanViet!$A:$C,2,FALSE))</f>
        <v>ĐÍCH</v>
      </c>
      <c r="F5" s="15" t="str">
        <f>IF(ISNA(VLOOKUP(MID($A5,4,1),Kanji_2_HanViet!$A:$C,2,FALSE)),"",VLOOKUP(MID($A5,4,1),Kanji_2_HanViet!$A:$C,2,FALSE))</f>
        <v/>
      </c>
      <c r="G5" s="15" t="str">
        <f>IF(ISNA(VLOOKUP(MID($A5,5,1),Kanji_2_HanViet!$A:$C,2,FALSE)),"",VLOOKUP(MID($A5,5,1),Kanji_2_HanViet!$A:$C,2,FALSE))</f>
        <v/>
      </c>
      <c r="H5" s="15" t="str">
        <f>IF(ISNA(VLOOKUP(MID($A5,6,1),Kanji_2_HanViet!$A:$C,2,FALSE)),"",VLOOKUP(MID($A5,6,1),Kanji_2_HanViet!$A:$C,2,FALSE))</f>
        <v/>
      </c>
      <c r="I5" s="15" t="str">
        <f>IF(ISNA(VLOOKUP(MID($A5,7,1),Kanji_2_HanViet!$A:$C,2,FALSE)),"",VLOOKUP(MID($A5,7,1),Kanji_2_HanViet!$A:$C,2,FALSE))</f>
        <v/>
      </c>
      <c r="J5" s="15" t="str">
        <f>IF(ISNA(VLOOKUP(MID($A5,8,1),Kanji_2_HanViet!$A:$C,2,FALSE)),"",VLOOKUP(MID($A5,8,1),Kanji_2_HanViet!$A:$C,2,FALSE))</f>
        <v/>
      </c>
      <c r="K5" s="15" t="str">
        <f>IF(ISNA(VLOOKUP(MID($A5,9,1),Kanji_2_HanViet!$A:$C,2,FALSE)),"",VLOOKUP(MID($A5,9,1),Kanji_2_HanViet!$A:$C,2,FALSE))</f>
        <v/>
      </c>
    </row>
    <row r="6" spans="1:11">
      <c r="A6" s="13" t="str">
        <f>Master!B12</f>
        <v>発揮する</v>
      </c>
      <c r="B6" s="16" t="str">
        <f t="shared" si="0"/>
        <v>PHÁT HUY</v>
      </c>
      <c r="C6" s="15" t="str">
        <f>IF(ISNA(VLOOKUP(MID($A6,1,1),Kanji_2_HanViet!$A:$C,2,FALSE)),"",VLOOKUP(MID($A6,1,1),Kanji_2_HanViet!$A:$C,2,FALSE))</f>
        <v>PHÁT</v>
      </c>
      <c r="D6" s="15" t="str">
        <f>IF(ISNA(VLOOKUP(MID($A6,2,1),Kanji_2_HanViet!$A:$C,2,FALSE)),"",VLOOKUP(MID($A6,2,1),Kanji_2_HanViet!$A:$C,2,FALSE))</f>
        <v>HUY</v>
      </c>
      <c r="E6" s="15" t="str">
        <f>IF(ISNA(VLOOKUP(MID($A6,3,1),Kanji_2_HanViet!$A:$C,2,FALSE)),"",VLOOKUP(MID($A6,3,1),Kanji_2_HanViet!$A:$C,2,FALSE))</f>
        <v/>
      </c>
      <c r="F6" s="15" t="str">
        <f>IF(ISNA(VLOOKUP(MID($A6,4,1),Kanji_2_HanViet!$A:$C,2,FALSE)),"",VLOOKUP(MID($A6,4,1),Kanji_2_HanViet!$A:$C,2,FALSE))</f>
        <v/>
      </c>
      <c r="G6" s="15" t="str">
        <f>IF(ISNA(VLOOKUP(MID($A6,5,1),Kanji_2_HanViet!$A:$C,2,FALSE)),"",VLOOKUP(MID($A6,5,1),Kanji_2_HanViet!$A:$C,2,FALSE))</f>
        <v/>
      </c>
      <c r="H6" s="15" t="str">
        <f>IF(ISNA(VLOOKUP(MID($A6,6,1),Kanji_2_HanViet!$A:$C,2,FALSE)),"",VLOOKUP(MID($A6,6,1),Kanji_2_HanViet!$A:$C,2,FALSE))</f>
        <v/>
      </c>
      <c r="I6" s="15" t="str">
        <f>IF(ISNA(VLOOKUP(MID($A6,7,1),Kanji_2_HanViet!$A:$C,2,FALSE)),"",VLOOKUP(MID($A6,7,1),Kanji_2_HanViet!$A:$C,2,FALSE))</f>
        <v/>
      </c>
      <c r="J6" s="15" t="str">
        <f>IF(ISNA(VLOOKUP(MID($A6,8,1),Kanji_2_HanViet!$A:$C,2,FALSE)),"",VLOOKUP(MID($A6,8,1),Kanji_2_HanViet!$A:$C,2,FALSE))</f>
        <v/>
      </c>
      <c r="K6" s="15" t="str">
        <f>IF(ISNA(VLOOKUP(MID($A6,9,1),Kanji_2_HanViet!$A:$C,2,FALSE)),"",VLOOKUP(MID($A6,9,1),Kanji_2_HanViet!$A:$C,2,FALSE))</f>
        <v/>
      </c>
    </row>
    <row r="7" spans="1:11">
      <c r="A7" s="13" t="str">
        <f>Master!B13</f>
        <v>キーワード</v>
      </c>
      <c r="B7" s="16" t="str">
        <f t="shared" si="0"/>
        <v/>
      </c>
      <c r="C7" s="15" t="str">
        <f>IF(ISNA(VLOOKUP(MID($A7,1,1),Kanji_2_HanViet!$A:$C,2,FALSE)),"",VLOOKUP(MID($A7,1,1),Kanji_2_HanViet!$A:$C,2,FALSE))</f>
        <v/>
      </c>
      <c r="D7" s="15" t="str">
        <f>IF(ISNA(VLOOKUP(MID($A7,2,1),Kanji_2_HanViet!$A:$C,2,FALSE)),"",VLOOKUP(MID($A7,2,1),Kanji_2_HanViet!$A:$C,2,FALSE))</f>
        <v/>
      </c>
      <c r="E7" s="15" t="str">
        <f>IF(ISNA(VLOOKUP(MID($A7,3,1),Kanji_2_HanViet!$A:$C,2,FALSE)),"",VLOOKUP(MID($A7,3,1),Kanji_2_HanViet!$A:$C,2,FALSE))</f>
        <v/>
      </c>
      <c r="F7" s="15" t="str">
        <f>IF(ISNA(VLOOKUP(MID($A7,4,1),Kanji_2_HanViet!$A:$C,2,FALSE)),"",VLOOKUP(MID($A7,4,1),Kanji_2_HanViet!$A:$C,2,FALSE))</f>
        <v/>
      </c>
      <c r="G7" s="15" t="str">
        <f>IF(ISNA(VLOOKUP(MID($A7,5,1),Kanji_2_HanViet!$A:$C,2,FALSE)),"",VLOOKUP(MID($A7,5,1),Kanji_2_HanViet!$A:$C,2,FALSE))</f>
        <v/>
      </c>
      <c r="H7" s="15" t="str">
        <f>IF(ISNA(VLOOKUP(MID($A7,6,1),Kanji_2_HanViet!$A:$C,2,FALSE)),"",VLOOKUP(MID($A7,6,1),Kanji_2_HanViet!$A:$C,2,FALSE))</f>
        <v/>
      </c>
      <c r="I7" s="15" t="str">
        <f>IF(ISNA(VLOOKUP(MID($A7,7,1),Kanji_2_HanViet!$A:$C,2,FALSE)),"",VLOOKUP(MID($A7,7,1),Kanji_2_HanViet!$A:$C,2,FALSE))</f>
        <v/>
      </c>
      <c r="J7" s="15" t="str">
        <f>IF(ISNA(VLOOKUP(MID($A7,8,1),Kanji_2_HanViet!$A:$C,2,FALSE)),"",VLOOKUP(MID($A7,8,1),Kanji_2_HanViet!$A:$C,2,FALSE))</f>
        <v/>
      </c>
      <c r="K7" s="15" t="str">
        <f>IF(ISNA(VLOOKUP(MID($A7,9,1),Kanji_2_HanViet!$A:$C,2,FALSE)),"",VLOOKUP(MID($A7,9,1),Kanji_2_HanViet!$A:$C,2,FALSE))</f>
        <v/>
      </c>
    </row>
    <row r="8" spans="1:11">
      <c r="A8" s="13" t="str">
        <f>Master!B14</f>
        <v>賛否</v>
      </c>
      <c r="B8" s="16" t="str">
        <f t="shared" si="0"/>
        <v>TÁN PHỦ</v>
      </c>
      <c r="C8" s="15" t="str">
        <f>IF(ISNA(VLOOKUP(MID($A8,1,1),Kanji_2_HanViet!$A:$C,2,FALSE)),"",VLOOKUP(MID($A8,1,1),Kanji_2_HanViet!$A:$C,2,FALSE))</f>
        <v>TÁN</v>
      </c>
      <c r="D8" s="15" t="str">
        <f>IF(ISNA(VLOOKUP(MID($A8,2,1),Kanji_2_HanViet!$A:$C,2,FALSE)),"",VLOOKUP(MID($A8,2,1),Kanji_2_HanViet!$A:$C,2,FALSE))</f>
        <v>PHỦ</v>
      </c>
      <c r="E8" s="15" t="str">
        <f>IF(ISNA(VLOOKUP(MID($A8,3,1),Kanji_2_HanViet!$A:$C,2,FALSE)),"",VLOOKUP(MID($A8,3,1),Kanji_2_HanViet!$A:$C,2,FALSE))</f>
        <v/>
      </c>
      <c r="F8" s="15" t="str">
        <f>IF(ISNA(VLOOKUP(MID($A8,4,1),Kanji_2_HanViet!$A:$C,2,FALSE)),"",VLOOKUP(MID($A8,4,1),Kanji_2_HanViet!$A:$C,2,FALSE))</f>
        <v/>
      </c>
      <c r="G8" s="15" t="str">
        <f>IF(ISNA(VLOOKUP(MID($A8,5,1),Kanji_2_HanViet!$A:$C,2,FALSE)),"",VLOOKUP(MID($A8,5,1),Kanji_2_HanViet!$A:$C,2,FALSE))</f>
        <v/>
      </c>
      <c r="H8" s="15" t="str">
        <f>IF(ISNA(VLOOKUP(MID($A8,6,1),Kanji_2_HanViet!$A:$C,2,FALSE)),"",VLOOKUP(MID($A8,6,1),Kanji_2_HanViet!$A:$C,2,FALSE))</f>
        <v/>
      </c>
      <c r="I8" s="15" t="str">
        <f>IF(ISNA(VLOOKUP(MID($A8,7,1),Kanji_2_HanViet!$A:$C,2,FALSE)),"",VLOOKUP(MID($A8,7,1),Kanji_2_HanViet!$A:$C,2,FALSE))</f>
        <v/>
      </c>
      <c r="J8" s="15" t="str">
        <f>IF(ISNA(VLOOKUP(MID($A8,8,1),Kanji_2_HanViet!$A:$C,2,FALSE)),"",VLOOKUP(MID($A8,8,1),Kanji_2_HanViet!$A:$C,2,FALSE))</f>
        <v/>
      </c>
      <c r="K8" s="15" t="str">
        <f>IF(ISNA(VLOOKUP(MID($A8,9,1),Kanji_2_HanViet!$A:$C,2,FALSE)),"",VLOOKUP(MID($A8,9,1),Kanji_2_HanViet!$A:$C,2,FALSE))</f>
        <v/>
      </c>
    </row>
    <row r="9" spans="1:11">
      <c r="A9" s="13" t="str">
        <f>Master!B15</f>
        <v>両論</v>
      </c>
      <c r="B9" s="16" t="str">
        <f t="shared" si="0"/>
        <v>LƯỠNG/LƯỢNG LUẬN</v>
      </c>
      <c r="C9" s="15" t="str">
        <f>IF(ISNA(VLOOKUP(MID($A9,1,1),Kanji_2_HanViet!$A:$C,2,FALSE)),"",VLOOKUP(MID($A9,1,1),Kanji_2_HanViet!$A:$C,2,FALSE))</f>
        <v>LƯỠNG/LƯỢNG</v>
      </c>
      <c r="D9" s="15" t="str">
        <f>IF(ISNA(VLOOKUP(MID($A9,2,1),Kanji_2_HanViet!$A:$C,2,FALSE)),"",VLOOKUP(MID($A9,2,1),Kanji_2_HanViet!$A:$C,2,FALSE))</f>
        <v>LUẬN</v>
      </c>
      <c r="E9" s="15" t="str">
        <f>IF(ISNA(VLOOKUP(MID($A9,3,1),Kanji_2_HanViet!$A:$C,2,FALSE)),"",VLOOKUP(MID($A9,3,1),Kanji_2_HanViet!$A:$C,2,FALSE))</f>
        <v/>
      </c>
      <c r="F9" s="15" t="str">
        <f>IF(ISNA(VLOOKUP(MID($A9,4,1),Kanji_2_HanViet!$A:$C,2,FALSE)),"",VLOOKUP(MID($A9,4,1),Kanji_2_HanViet!$A:$C,2,FALSE))</f>
        <v/>
      </c>
      <c r="G9" s="15" t="str">
        <f>IF(ISNA(VLOOKUP(MID($A9,5,1),Kanji_2_HanViet!$A:$C,2,FALSE)),"",VLOOKUP(MID($A9,5,1),Kanji_2_HanViet!$A:$C,2,FALSE))</f>
        <v/>
      </c>
      <c r="H9" s="15" t="str">
        <f>IF(ISNA(VLOOKUP(MID($A9,6,1),Kanji_2_HanViet!$A:$C,2,FALSE)),"",VLOOKUP(MID($A9,6,1),Kanji_2_HanViet!$A:$C,2,FALSE))</f>
        <v/>
      </c>
      <c r="I9" s="15" t="str">
        <f>IF(ISNA(VLOOKUP(MID($A9,7,1),Kanji_2_HanViet!$A:$C,2,FALSE)),"",VLOOKUP(MID($A9,7,1),Kanji_2_HanViet!$A:$C,2,FALSE))</f>
        <v/>
      </c>
      <c r="J9" s="15" t="str">
        <f>IF(ISNA(VLOOKUP(MID($A9,8,1),Kanji_2_HanViet!$A:$C,2,FALSE)),"",VLOOKUP(MID($A9,8,1),Kanji_2_HanViet!$A:$C,2,FALSE))</f>
        <v/>
      </c>
      <c r="K9" s="15" t="str">
        <f>IF(ISNA(VLOOKUP(MID($A9,9,1),Kanji_2_HanViet!$A:$C,2,FALSE)),"",VLOOKUP(MID($A9,9,1),Kanji_2_HanViet!$A:$C,2,FALSE))</f>
        <v/>
      </c>
    </row>
    <row r="10" spans="1:11">
      <c r="A10" s="13" t="str">
        <f>Master!B16</f>
        <v>平等</v>
      </c>
      <c r="B10" s="16" t="str">
        <f t="shared" si="0"/>
        <v>BÌNH ĐẲNG</v>
      </c>
      <c r="C10" s="15" t="str">
        <f>IF(ISNA(VLOOKUP(MID($A10,1,1),Kanji_2_HanViet!$A:$C,2,FALSE)),"",VLOOKUP(MID($A10,1,1),Kanji_2_HanViet!$A:$C,2,FALSE))</f>
        <v>BÌNH</v>
      </c>
      <c r="D10" s="15" t="str">
        <f>IF(ISNA(VLOOKUP(MID($A10,2,1),Kanji_2_HanViet!$A:$C,2,FALSE)),"",VLOOKUP(MID($A10,2,1),Kanji_2_HanViet!$A:$C,2,FALSE))</f>
        <v>ĐẲNG</v>
      </c>
      <c r="E10" s="15" t="str">
        <f>IF(ISNA(VLOOKUP(MID($A10,3,1),Kanji_2_HanViet!$A:$C,2,FALSE)),"",VLOOKUP(MID($A10,3,1),Kanji_2_HanViet!$A:$C,2,FALSE))</f>
        <v/>
      </c>
      <c r="F10" s="15" t="str">
        <f>IF(ISNA(VLOOKUP(MID($A10,4,1),Kanji_2_HanViet!$A:$C,2,FALSE)),"",VLOOKUP(MID($A10,4,1),Kanji_2_HanViet!$A:$C,2,FALSE))</f>
        <v/>
      </c>
      <c r="G10" s="15" t="str">
        <f>IF(ISNA(VLOOKUP(MID($A10,5,1),Kanji_2_HanViet!$A:$C,2,FALSE)),"",VLOOKUP(MID($A10,5,1),Kanji_2_HanViet!$A:$C,2,FALSE))</f>
        <v/>
      </c>
      <c r="H10" s="15" t="str">
        <f>IF(ISNA(VLOOKUP(MID($A10,6,1),Kanji_2_HanViet!$A:$C,2,FALSE)),"",VLOOKUP(MID($A10,6,1),Kanji_2_HanViet!$A:$C,2,FALSE))</f>
        <v/>
      </c>
      <c r="I10" s="15" t="str">
        <f>IF(ISNA(VLOOKUP(MID($A10,7,1),Kanji_2_HanViet!$A:$C,2,FALSE)),"",VLOOKUP(MID($A10,7,1),Kanji_2_HanViet!$A:$C,2,FALSE))</f>
        <v/>
      </c>
      <c r="J10" s="15" t="str">
        <f>IF(ISNA(VLOOKUP(MID($A10,8,1),Kanji_2_HanViet!$A:$C,2,FALSE)),"",VLOOKUP(MID($A10,8,1),Kanji_2_HanViet!$A:$C,2,FALSE))</f>
        <v/>
      </c>
      <c r="K10" s="15" t="str">
        <f>IF(ISNA(VLOOKUP(MID($A10,9,1),Kanji_2_HanViet!$A:$C,2,FALSE)),"",VLOOKUP(MID($A10,9,1),Kanji_2_HanViet!$A:$C,2,FALSE))</f>
        <v/>
      </c>
    </row>
    <row r="11" spans="1:11">
      <c r="A11" s="13" t="str">
        <f>Master!B17</f>
        <v>貧富</v>
      </c>
      <c r="B11" s="16" t="str">
        <f t="shared" si="0"/>
        <v>BẦN PHÚ</v>
      </c>
      <c r="C11" s="15" t="str">
        <f>IF(ISNA(VLOOKUP(MID($A11,1,1),Kanji_2_HanViet!$A:$C,2,FALSE)),"",VLOOKUP(MID($A11,1,1),Kanji_2_HanViet!$A:$C,2,FALSE))</f>
        <v>BẦN</v>
      </c>
      <c r="D11" s="15" t="str">
        <f>IF(ISNA(VLOOKUP(MID($A11,2,1),Kanji_2_HanViet!$A:$C,2,FALSE)),"",VLOOKUP(MID($A11,2,1),Kanji_2_HanViet!$A:$C,2,FALSE))</f>
        <v>PHÚ</v>
      </c>
      <c r="E11" s="15" t="str">
        <f>IF(ISNA(VLOOKUP(MID($A11,3,1),Kanji_2_HanViet!$A:$C,2,FALSE)),"",VLOOKUP(MID($A11,3,1),Kanji_2_HanViet!$A:$C,2,FALSE))</f>
        <v/>
      </c>
      <c r="F11" s="15" t="str">
        <f>IF(ISNA(VLOOKUP(MID($A11,4,1),Kanji_2_HanViet!$A:$C,2,FALSE)),"",VLOOKUP(MID($A11,4,1),Kanji_2_HanViet!$A:$C,2,FALSE))</f>
        <v/>
      </c>
      <c r="G11" s="15" t="str">
        <f>IF(ISNA(VLOOKUP(MID($A11,5,1),Kanji_2_HanViet!$A:$C,2,FALSE)),"",VLOOKUP(MID($A11,5,1),Kanji_2_HanViet!$A:$C,2,FALSE))</f>
        <v/>
      </c>
      <c r="H11" s="15" t="str">
        <f>IF(ISNA(VLOOKUP(MID($A11,6,1),Kanji_2_HanViet!$A:$C,2,FALSE)),"",VLOOKUP(MID($A11,6,1),Kanji_2_HanViet!$A:$C,2,FALSE))</f>
        <v/>
      </c>
      <c r="I11" s="15" t="str">
        <f>IF(ISNA(VLOOKUP(MID($A11,7,1),Kanji_2_HanViet!$A:$C,2,FALSE)),"",VLOOKUP(MID($A11,7,1),Kanji_2_HanViet!$A:$C,2,FALSE))</f>
        <v/>
      </c>
      <c r="J11" s="15" t="str">
        <f>IF(ISNA(VLOOKUP(MID($A11,8,1),Kanji_2_HanViet!$A:$C,2,FALSE)),"",VLOOKUP(MID($A11,8,1),Kanji_2_HanViet!$A:$C,2,FALSE))</f>
        <v/>
      </c>
      <c r="K11" s="15" t="str">
        <f>IF(ISNA(VLOOKUP(MID($A11,9,1),Kanji_2_HanViet!$A:$C,2,FALSE)),"",VLOOKUP(MID($A11,9,1),Kanji_2_HanViet!$A:$C,2,FALSE))</f>
        <v/>
      </c>
    </row>
    <row r="12" spans="1:11">
      <c r="A12" s="13" t="str">
        <f>Master!B18</f>
        <v>利便</v>
      </c>
      <c r="B12" s="16" t="str">
        <f t="shared" si="0"/>
        <v>LỢI TIỆN</v>
      </c>
      <c r="C12" s="15" t="str">
        <f>IF(ISNA(VLOOKUP(MID($A12,1,1),Kanji_2_HanViet!$A:$C,2,FALSE)),"",VLOOKUP(MID($A12,1,1),Kanji_2_HanViet!$A:$C,2,FALSE))</f>
        <v>LỢI</v>
      </c>
      <c r="D12" s="15" t="str">
        <f>IF(ISNA(VLOOKUP(MID($A12,2,1),Kanji_2_HanViet!$A:$C,2,FALSE)),"",VLOOKUP(MID($A12,2,1),Kanji_2_HanViet!$A:$C,2,FALSE))</f>
        <v>TIỆN</v>
      </c>
      <c r="E12" s="15" t="str">
        <f>IF(ISNA(VLOOKUP(MID($A12,3,1),Kanji_2_HanViet!$A:$C,2,FALSE)),"",VLOOKUP(MID($A12,3,1),Kanji_2_HanViet!$A:$C,2,FALSE))</f>
        <v/>
      </c>
      <c r="F12" s="15" t="str">
        <f>IF(ISNA(VLOOKUP(MID($A12,4,1),Kanji_2_HanViet!$A:$C,2,FALSE)),"",VLOOKUP(MID($A12,4,1),Kanji_2_HanViet!$A:$C,2,FALSE))</f>
        <v/>
      </c>
      <c r="G12" s="15" t="str">
        <f>IF(ISNA(VLOOKUP(MID($A12,5,1),Kanji_2_HanViet!$A:$C,2,FALSE)),"",VLOOKUP(MID($A12,5,1),Kanji_2_HanViet!$A:$C,2,FALSE))</f>
        <v/>
      </c>
      <c r="H12" s="15" t="str">
        <f>IF(ISNA(VLOOKUP(MID($A12,6,1),Kanji_2_HanViet!$A:$C,2,FALSE)),"",VLOOKUP(MID($A12,6,1),Kanji_2_HanViet!$A:$C,2,FALSE))</f>
        <v/>
      </c>
      <c r="I12" s="15" t="str">
        <f>IF(ISNA(VLOOKUP(MID($A12,7,1),Kanji_2_HanViet!$A:$C,2,FALSE)),"",VLOOKUP(MID($A12,7,1),Kanji_2_HanViet!$A:$C,2,FALSE))</f>
        <v/>
      </c>
      <c r="J12" s="15" t="str">
        <f>IF(ISNA(VLOOKUP(MID($A12,8,1),Kanji_2_HanViet!$A:$C,2,FALSE)),"",VLOOKUP(MID($A12,8,1),Kanji_2_HanViet!$A:$C,2,FALSE))</f>
        <v/>
      </c>
      <c r="K12" s="15" t="str">
        <f>IF(ISNA(VLOOKUP(MID($A12,9,1),Kanji_2_HanViet!$A:$C,2,FALSE)),"",VLOOKUP(MID($A12,9,1),Kanji_2_HanViet!$A:$C,2,FALSE))</f>
        <v/>
      </c>
    </row>
    <row r="13" spans="1:11">
      <c r="A13" s="13" t="str">
        <f>Master!B19</f>
        <v>冠婚葬祭</v>
      </c>
      <c r="B13" s="16" t="str">
        <f t="shared" si="0"/>
        <v>QUAN/QUÁN HÔN TÁNG TẾ</v>
      </c>
      <c r="C13" s="15" t="str">
        <f>IF(ISNA(VLOOKUP(MID($A13,1,1),Kanji_2_HanViet!$A:$C,2,FALSE)),"",VLOOKUP(MID($A13,1,1),Kanji_2_HanViet!$A:$C,2,FALSE))</f>
        <v>QUAN/QUÁN</v>
      </c>
      <c r="D13" s="15" t="str">
        <f>IF(ISNA(VLOOKUP(MID($A13,2,1),Kanji_2_HanViet!$A:$C,2,FALSE)),"",VLOOKUP(MID($A13,2,1),Kanji_2_HanViet!$A:$C,2,FALSE))</f>
        <v>HÔN</v>
      </c>
      <c r="E13" s="15" t="str">
        <f>IF(ISNA(VLOOKUP(MID($A13,3,1),Kanji_2_HanViet!$A:$C,2,FALSE)),"",VLOOKUP(MID($A13,3,1),Kanji_2_HanViet!$A:$C,2,FALSE))</f>
        <v>TÁNG</v>
      </c>
      <c r="F13" s="15" t="str">
        <f>IF(ISNA(VLOOKUP(MID($A13,4,1),Kanji_2_HanViet!$A:$C,2,FALSE)),"",VLOOKUP(MID($A13,4,1),Kanji_2_HanViet!$A:$C,2,FALSE))</f>
        <v>TẾ</v>
      </c>
      <c r="G13" s="15" t="str">
        <f>IF(ISNA(VLOOKUP(MID($A13,5,1),Kanji_2_HanViet!$A:$C,2,FALSE)),"",VLOOKUP(MID($A13,5,1),Kanji_2_HanViet!$A:$C,2,FALSE))</f>
        <v/>
      </c>
      <c r="H13" s="15" t="str">
        <f>IF(ISNA(VLOOKUP(MID($A13,6,1),Kanji_2_HanViet!$A:$C,2,FALSE)),"",VLOOKUP(MID($A13,6,1),Kanji_2_HanViet!$A:$C,2,FALSE))</f>
        <v/>
      </c>
      <c r="I13" s="15" t="str">
        <f>IF(ISNA(VLOOKUP(MID($A13,7,1),Kanji_2_HanViet!$A:$C,2,FALSE)),"",VLOOKUP(MID($A13,7,1),Kanji_2_HanViet!$A:$C,2,FALSE))</f>
        <v/>
      </c>
      <c r="J13" s="15" t="str">
        <f>IF(ISNA(VLOOKUP(MID($A13,8,1),Kanji_2_HanViet!$A:$C,2,FALSE)),"",VLOOKUP(MID($A13,8,1),Kanji_2_HanViet!$A:$C,2,FALSE))</f>
        <v/>
      </c>
      <c r="K13" s="15" t="str">
        <f>IF(ISNA(VLOOKUP(MID($A13,9,1),Kanji_2_HanViet!$A:$C,2,FALSE)),"",VLOOKUP(MID($A13,9,1),Kanji_2_HanViet!$A:$C,2,FALSE))</f>
        <v/>
      </c>
    </row>
    <row r="14" spans="1:11">
      <c r="A14" s="13" t="str">
        <f>Master!B20</f>
        <v>精神</v>
      </c>
      <c r="B14" s="16" t="str">
        <f t="shared" si="0"/>
        <v>TINH THẦN</v>
      </c>
      <c r="C14" s="15" t="str">
        <f>IF(ISNA(VLOOKUP(MID($A14,1,1),Kanji_2_HanViet!$A:$C,2,FALSE)),"",VLOOKUP(MID($A14,1,1),Kanji_2_HanViet!$A:$C,2,FALSE))</f>
        <v>TINH</v>
      </c>
      <c r="D14" s="15" t="str">
        <f>IF(ISNA(VLOOKUP(MID($A14,2,1),Kanji_2_HanViet!$A:$C,2,FALSE)),"",VLOOKUP(MID($A14,2,1),Kanji_2_HanViet!$A:$C,2,FALSE))</f>
        <v>THẦN</v>
      </c>
      <c r="E14" s="15" t="str">
        <f>IF(ISNA(VLOOKUP(MID($A14,3,1),Kanji_2_HanViet!$A:$C,2,FALSE)),"",VLOOKUP(MID($A14,3,1),Kanji_2_HanViet!$A:$C,2,FALSE))</f>
        <v/>
      </c>
      <c r="F14" s="15" t="str">
        <f>IF(ISNA(VLOOKUP(MID($A14,4,1),Kanji_2_HanViet!$A:$C,2,FALSE)),"",VLOOKUP(MID($A14,4,1),Kanji_2_HanViet!$A:$C,2,FALSE))</f>
        <v/>
      </c>
      <c r="G14" s="15" t="str">
        <f>IF(ISNA(VLOOKUP(MID($A14,5,1),Kanji_2_HanViet!$A:$C,2,FALSE)),"",VLOOKUP(MID($A14,5,1),Kanji_2_HanViet!$A:$C,2,FALSE))</f>
        <v/>
      </c>
      <c r="H14" s="15" t="str">
        <f>IF(ISNA(VLOOKUP(MID($A14,6,1),Kanji_2_HanViet!$A:$C,2,FALSE)),"",VLOOKUP(MID($A14,6,1),Kanji_2_HanViet!$A:$C,2,FALSE))</f>
        <v/>
      </c>
      <c r="I14" s="15" t="str">
        <f>IF(ISNA(VLOOKUP(MID($A14,7,1),Kanji_2_HanViet!$A:$C,2,FALSE)),"",VLOOKUP(MID($A14,7,1),Kanji_2_HanViet!$A:$C,2,FALSE))</f>
        <v/>
      </c>
      <c r="J14" s="15" t="str">
        <f>IF(ISNA(VLOOKUP(MID($A14,8,1),Kanji_2_HanViet!$A:$C,2,FALSE)),"",VLOOKUP(MID($A14,8,1),Kanji_2_HanViet!$A:$C,2,FALSE))</f>
        <v/>
      </c>
      <c r="K14" s="15" t="str">
        <f>IF(ISNA(VLOOKUP(MID($A14,9,1),Kanji_2_HanViet!$A:$C,2,FALSE)),"",VLOOKUP(MID($A14,9,1),Kanji_2_HanViet!$A:$C,2,FALSE))</f>
        <v/>
      </c>
    </row>
    <row r="15" spans="1:11">
      <c r="A15" s="13" t="str">
        <f>Master!B21</f>
        <v>短絡的</v>
      </c>
      <c r="B15" s="16" t="str">
        <f t="shared" si="0"/>
        <v>ĐOẢN LẠC ĐÍCH</v>
      </c>
      <c r="C15" s="15" t="str">
        <f>IF(ISNA(VLOOKUP(MID($A15,1,1),Kanji_2_HanViet!$A:$C,2,FALSE)),"",VLOOKUP(MID($A15,1,1),Kanji_2_HanViet!$A:$C,2,FALSE))</f>
        <v>ĐOẢN</v>
      </c>
      <c r="D15" s="15" t="str">
        <f>IF(ISNA(VLOOKUP(MID($A15,2,1),Kanji_2_HanViet!$A:$C,2,FALSE)),"",VLOOKUP(MID($A15,2,1),Kanji_2_HanViet!$A:$C,2,FALSE))</f>
        <v>LẠC</v>
      </c>
      <c r="E15" s="15" t="str">
        <f>IF(ISNA(VLOOKUP(MID($A15,3,1),Kanji_2_HanViet!$A:$C,2,FALSE)),"",VLOOKUP(MID($A15,3,1),Kanji_2_HanViet!$A:$C,2,FALSE))</f>
        <v>ĐÍCH</v>
      </c>
      <c r="F15" s="15" t="str">
        <f>IF(ISNA(VLOOKUP(MID($A15,4,1),Kanji_2_HanViet!$A:$C,2,FALSE)),"",VLOOKUP(MID($A15,4,1),Kanji_2_HanViet!$A:$C,2,FALSE))</f>
        <v/>
      </c>
      <c r="G15" s="15" t="str">
        <f>IF(ISNA(VLOOKUP(MID($A15,5,1),Kanji_2_HanViet!$A:$C,2,FALSE)),"",VLOOKUP(MID($A15,5,1),Kanji_2_HanViet!$A:$C,2,FALSE))</f>
        <v/>
      </c>
      <c r="H15" s="15" t="str">
        <f>IF(ISNA(VLOOKUP(MID($A15,6,1),Kanji_2_HanViet!$A:$C,2,FALSE)),"",VLOOKUP(MID($A15,6,1),Kanji_2_HanViet!$A:$C,2,FALSE))</f>
        <v/>
      </c>
      <c r="I15" s="15" t="str">
        <f>IF(ISNA(VLOOKUP(MID($A15,7,1),Kanji_2_HanViet!$A:$C,2,FALSE)),"",VLOOKUP(MID($A15,7,1),Kanji_2_HanViet!$A:$C,2,FALSE))</f>
        <v/>
      </c>
      <c r="J15" s="15" t="str">
        <f>IF(ISNA(VLOOKUP(MID($A15,8,1),Kanji_2_HanViet!$A:$C,2,FALSE)),"",VLOOKUP(MID($A15,8,1),Kanji_2_HanViet!$A:$C,2,FALSE))</f>
        <v/>
      </c>
      <c r="K15" s="15" t="str">
        <f>IF(ISNA(VLOOKUP(MID($A15,9,1),Kanji_2_HanViet!$A:$C,2,FALSE)),"",VLOOKUP(MID($A15,9,1),Kanji_2_HanViet!$A:$C,2,FALSE))</f>
        <v/>
      </c>
    </row>
    <row r="16" spans="1:11">
      <c r="A16" s="13" t="str">
        <f>Master!B22</f>
        <v>柔軟</v>
      </c>
      <c r="B16" s="16" t="str">
        <f t="shared" si="0"/>
        <v>NHU NHUYỄN</v>
      </c>
      <c r="C16" s="15" t="str">
        <f>IF(ISNA(VLOOKUP(MID($A16,1,1),Kanji_2_HanViet!$A:$C,2,FALSE)),"",VLOOKUP(MID($A16,1,1),Kanji_2_HanViet!$A:$C,2,FALSE))</f>
        <v>NHU</v>
      </c>
      <c r="D16" s="15" t="str">
        <f>IF(ISNA(VLOOKUP(MID($A16,2,1),Kanji_2_HanViet!$A:$C,2,FALSE)),"",VLOOKUP(MID($A16,2,1),Kanji_2_HanViet!$A:$C,2,FALSE))</f>
        <v>NHUYỄN</v>
      </c>
      <c r="E16" s="15" t="str">
        <f>IF(ISNA(VLOOKUP(MID($A16,3,1),Kanji_2_HanViet!$A:$C,2,FALSE)),"",VLOOKUP(MID($A16,3,1),Kanji_2_HanViet!$A:$C,2,FALSE))</f>
        <v/>
      </c>
      <c r="F16" s="15" t="str">
        <f>IF(ISNA(VLOOKUP(MID($A16,4,1),Kanji_2_HanViet!$A:$C,2,FALSE)),"",VLOOKUP(MID($A16,4,1),Kanji_2_HanViet!$A:$C,2,FALSE))</f>
        <v/>
      </c>
      <c r="G16" s="15" t="str">
        <f>IF(ISNA(VLOOKUP(MID($A16,5,1),Kanji_2_HanViet!$A:$C,2,FALSE)),"",VLOOKUP(MID($A16,5,1),Kanji_2_HanViet!$A:$C,2,FALSE))</f>
        <v/>
      </c>
      <c r="H16" s="15" t="str">
        <f>IF(ISNA(VLOOKUP(MID($A16,6,1),Kanji_2_HanViet!$A:$C,2,FALSE)),"",VLOOKUP(MID($A16,6,1),Kanji_2_HanViet!$A:$C,2,FALSE))</f>
        <v/>
      </c>
      <c r="I16" s="15" t="str">
        <f>IF(ISNA(VLOOKUP(MID($A16,7,1),Kanji_2_HanViet!$A:$C,2,FALSE)),"",VLOOKUP(MID($A16,7,1),Kanji_2_HanViet!$A:$C,2,FALSE))</f>
        <v/>
      </c>
      <c r="J16" s="15" t="str">
        <f>IF(ISNA(VLOOKUP(MID($A16,8,1),Kanji_2_HanViet!$A:$C,2,FALSE)),"",VLOOKUP(MID($A16,8,1),Kanji_2_HanViet!$A:$C,2,FALSE))</f>
        <v/>
      </c>
      <c r="K16" s="15" t="str">
        <f>IF(ISNA(VLOOKUP(MID($A16,9,1),Kanji_2_HanViet!$A:$C,2,FALSE)),"",VLOOKUP(MID($A16,9,1),Kanji_2_HanViet!$A:$C,2,FALSE))</f>
        <v/>
      </c>
    </row>
    <row r="17" spans="1:11">
      <c r="A17" s="13" t="str">
        <f>Master!B23</f>
        <v>摘む</v>
      </c>
      <c r="B17" s="16" t="str">
        <f t="shared" si="0"/>
        <v>TRÍCH</v>
      </c>
      <c r="C17" s="15" t="str">
        <f>IF(ISNA(VLOOKUP(MID($A17,1,1),Kanji_2_HanViet!$A:$C,2,FALSE)),"",VLOOKUP(MID($A17,1,1),Kanji_2_HanViet!$A:$C,2,FALSE))</f>
        <v>TRÍCH</v>
      </c>
      <c r="D17" s="15" t="str">
        <f>IF(ISNA(VLOOKUP(MID($A17,2,1),Kanji_2_HanViet!$A:$C,2,FALSE)),"",VLOOKUP(MID($A17,2,1),Kanji_2_HanViet!$A:$C,2,FALSE))</f>
        <v/>
      </c>
      <c r="E17" s="15" t="str">
        <f>IF(ISNA(VLOOKUP(MID($A17,3,1),Kanji_2_HanViet!$A:$C,2,FALSE)),"",VLOOKUP(MID($A17,3,1),Kanji_2_HanViet!$A:$C,2,FALSE))</f>
        <v/>
      </c>
      <c r="F17" s="15" t="str">
        <f>IF(ISNA(VLOOKUP(MID($A17,4,1),Kanji_2_HanViet!$A:$C,2,FALSE)),"",VLOOKUP(MID($A17,4,1),Kanji_2_HanViet!$A:$C,2,FALSE))</f>
        <v/>
      </c>
      <c r="G17" s="15" t="str">
        <f>IF(ISNA(VLOOKUP(MID($A17,5,1),Kanji_2_HanViet!$A:$C,2,FALSE)),"",VLOOKUP(MID($A17,5,1),Kanji_2_HanViet!$A:$C,2,FALSE))</f>
        <v/>
      </c>
      <c r="H17" s="15" t="str">
        <f>IF(ISNA(VLOOKUP(MID($A17,6,1),Kanji_2_HanViet!$A:$C,2,FALSE)),"",VLOOKUP(MID($A17,6,1),Kanji_2_HanViet!$A:$C,2,FALSE))</f>
        <v/>
      </c>
      <c r="I17" s="15" t="str">
        <f>IF(ISNA(VLOOKUP(MID($A17,7,1),Kanji_2_HanViet!$A:$C,2,FALSE)),"",VLOOKUP(MID($A17,7,1),Kanji_2_HanViet!$A:$C,2,FALSE))</f>
        <v/>
      </c>
      <c r="J17" s="15" t="str">
        <f>IF(ISNA(VLOOKUP(MID($A17,8,1),Kanji_2_HanViet!$A:$C,2,FALSE)),"",VLOOKUP(MID($A17,8,1),Kanji_2_HanViet!$A:$C,2,FALSE))</f>
        <v/>
      </c>
      <c r="K17" s="15" t="str">
        <f>IF(ISNA(VLOOKUP(MID($A17,9,1),Kanji_2_HanViet!$A:$C,2,FALSE)),"",VLOOKUP(MID($A17,9,1),Kanji_2_HanViet!$A:$C,2,FALSE))</f>
        <v/>
      </c>
    </row>
    <row r="18" spans="1:11">
      <c r="A18" s="13" t="str">
        <f>Master!B24</f>
        <v>束縛</v>
      </c>
      <c r="B18" s="16" t="str">
        <f t="shared" si="0"/>
        <v>THÚC PHƯỢC/PHỌC</v>
      </c>
      <c r="C18" s="15" t="str">
        <f>IF(ISNA(VLOOKUP(MID($A18,1,1),Kanji_2_HanViet!$A:$C,2,FALSE)),"",VLOOKUP(MID($A18,1,1),Kanji_2_HanViet!$A:$C,2,FALSE))</f>
        <v>THÚC</v>
      </c>
      <c r="D18" s="15" t="str">
        <f>IF(ISNA(VLOOKUP(MID($A18,2,1),Kanji_2_HanViet!$A:$C,2,FALSE)),"",VLOOKUP(MID($A18,2,1),Kanji_2_HanViet!$A:$C,2,FALSE))</f>
        <v>PHƯỢC/PHỌC</v>
      </c>
      <c r="E18" s="15" t="str">
        <f>IF(ISNA(VLOOKUP(MID($A18,3,1),Kanji_2_HanViet!$A:$C,2,FALSE)),"",VLOOKUP(MID($A18,3,1),Kanji_2_HanViet!$A:$C,2,FALSE))</f>
        <v/>
      </c>
      <c r="F18" s="15" t="str">
        <f>IF(ISNA(VLOOKUP(MID($A18,4,1),Kanji_2_HanViet!$A:$C,2,FALSE)),"",VLOOKUP(MID($A18,4,1),Kanji_2_HanViet!$A:$C,2,FALSE))</f>
        <v/>
      </c>
      <c r="G18" s="15" t="str">
        <f>IF(ISNA(VLOOKUP(MID($A18,5,1),Kanji_2_HanViet!$A:$C,2,FALSE)),"",VLOOKUP(MID($A18,5,1),Kanji_2_HanViet!$A:$C,2,FALSE))</f>
        <v/>
      </c>
      <c r="H18" s="15" t="str">
        <f>IF(ISNA(VLOOKUP(MID($A18,6,1),Kanji_2_HanViet!$A:$C,2,FALSE)),"",VLOOKUP(MID($A18,6,1),Kanji_2_HanViet!$A:$C,2,FALSE))</f>
        <v/>
      </c>
      <c r="I18" s="15" t="str">
        <f>IF(ISNA(VLOOKUP(MID($A18,7,1),Kanji_2_HanViet!$A:$C,2,FALSE)),"",VLOOKUP(MID($A18,7,1),Kanji_2_HanViet!$A:$C,2,FALSE))</f>
        <v/>
      </c>
      <c r="J18" s="15" t="str">
        <f>IF(ISNA(VLOOKUP(MID($A18,8,1),Kanji_2_HanViet!$A:$C,2,FALSE)),"",VLOOKUP(MID($A18,8,1),Kanji_2_HanViet!$A:$C,2,FALSE))</f>
        <v/>
      </c>
      <c r="K18" s="15" t="str">
        <f>IF(ISNA(VLOOKUP(MID($A18,9,1),Kanji_2_HanViet!$A:$C,2,FALSE)),"",VLOOKUP(MID($A18,9,1),Kanji_2_HanViet!$A:$C,2,FALSE))</f>
        <v/>
      </c>
    </row>
    <row r="19" spans="1:11">
      <c r="A19" s="13" t="str">
        <f>Master!B25</f>
        <v>本文</v>
      </c>
      <c r="B19" s="16" t="str">
        <f t="shared" si="0"/>
        <v>BẢN/BỔN VĂN</v>
      </c>
      <c r="C19" s="15" t="str">
        <f>IF(ISNA(VLOOKUP(MID($A19,1,1),Kanji_2_HanViet!$A:$C,2,FALSE)),"",VLOOKUP(MID($A19,1,1),Kanji_2_HanViet!$A:$C,2,FALSE))</f>
        <v>BẢN/BỔN</v>
      </c>
      <c r="D19" s="15" t="str">
        <f>IF(ISNA(VLOOKUP(MID($A19,2,1),Kanji_2_HanViet!$A:$C,2,FALSE)),"",VLOOKUP(MID($A19,2,1),Kanji_2_HanViet!$A:$C,2,FALSE))</f>
        <v>VĂN</v>
      </c>
      <c r="E19" s="15" t="str">
        <f>IF(ISNA(VLOOKUP(MID($A19,3,1),Kanji_2_HanViet!$A:$C,2,FALSE)),"",VLOOKUP(MID($A19,3,1),Kanji_2_HanViet!$A:$C,2,FALSE))</f>
        <v/>
      </c>
      <c r="F19" s="15" t="str">
        <f>IF(ISNA(VLOOKUP(MID($A19,4,1),Kanji_2_HanViet!$A:$C,2,FALSE)),"",VLOOKUP(MID($A19,4,1),Kanji_2_HanViet!$A:$C,2,FALSE))</f>
        <v/>
      </c>
      <c r="G19" s="15" t="str">
        <f>IF(ISNA(VLOOKUP(MID($A19,5,1),Kanji_2_HanViet!$A:$C,2,FALSE)),"",VLOOKUP(MID($A19,5,1),Kanji_2_HanViet!$A:$C,2,FALSE))</f>
        <v/>
      </c>
      <c r="H19" s="15" t="str">
        <f>IF(ISNA(VLOOKUP(MID($A19,6,1),Kanji_2_HanViet!$A:$C,2,FALSE)),"",VLOOKUP(MID($A19,6,1),Kanji_2_HanViet!$A:$C,2,FALSE))</f>
        <v/>
      </c>
      <c r="I19" s="15" t="str">
        <f>IF(ISNA(VLOOKUP(MID($A19,7,1),Kanji_2_HanViet!$A:$C,2,FALSE)),"",VLOOKUP(MID($A19,7,1),Kanji_2_HanViet!$A:$C,2,FALSE))</f>
        <v/>
      </c>
      <c r="J19" s="15" t="str">
        <f>IF(ISNA(VLOOKUP(MID($A19,8,1),Kanji_2_HanViet!$A:$C,2,FALSE)),"",VLOOKUP(MID($A19,8,1),Kanji_2_HanViet!$A:$C,2,FALSE))</f>
        <v/>
      </c>
      <c r="K19" s="15" t="str">
        <f>IF(ISNA(VLOOKUP(MID($A19,9,1),Kanji_2_HanViet!$A:$C,2,FALSE)),"",VLOOKUP(MID($A19,9,1),Kanji_2_HanViet!$A:$C,2,FALSE))</f>
        <v/>
      </c>
    </row>
    <row r="20" spans="1:11">
      <c r="A20" s="13" t="str">
        <f>Master!B26</f>
        <v>公立</v>
      </c>
      <c r="B20" s="16" t="str">
        <f t="shared" si="0"/>
        <v>CÔNG LẬP</v>
      </c>
      <c r="C20" s="15" t="str">
        <f>IF(ISNA(VLOOKUP(MID($A20,1,1),Kanji_2_HanViet!$A:$C,2,FALSE)),"",VLOOKUP(MID($A20,1,1),Kanji_2_HanViet!$A:$C,2,FALSE))</f>
        <v>CÔNG</v>
      </c>
      <c r="D20" s="15" t="str">
        <f>IF(ISNA(VLOOKUP(MID($A20,2,1),Kanji_2_HanViet!$A:$C,2,FALSE)),"",VLOOKUP(MID($A20,2,1),Kanji_2_HanViet!$A:$C,2,FALSE))</f>
        <v>LẬP</v>
      </c>
      <c r="E20" s="15" t="str">
        <f>IF(ISNA(VLOOKUP(MID($A20,3,1),Kanji_2_HanViet!$A:$C,2,FALSE)),"",VLOOKUP(MID($A20,3,1),Kanji_2_HanViet!$A:$C,2,FALSE))</f>
        <v/>
      </c>
      <c r="F20" s="15" t="str">
        <f>IF(ISNA(VLOOKUP(MID($A20,4,1),Kanji_2_HanViet!$A:$C,2,FALSE)),"",VLOOKUP(MID($A20,4,1),Kanji_2_HanViet!$A:$C,2,FALSE))</f>
        <v/>
      </c>
      <c r="G20" s="15" t="str">
        <f>IF(ISNA(VLOOKUP(MID($A20,5,1),Kanji_2_HanViet!$A:$C,2,FALSE)),"",VLOOKUP(MID($A20,5,1),Kanji_2_HanViet!$A:$C,2,FALSE))</f>
        <v/>
      </c>
      <c r="H20" s="15" t="str">
        <f>IF(ISNA(VLOOKUP(MID($A20,6,1),Kanji_2_HanViet!$A:$C,2,FALSE)),"",VLOOKUP(MID($A20,6,1),Kanji_2_HanViet!$A:$C,2,FALSE))</f>
        <v/>
      </c>
      <c r="I20" s="15" t="str">
        <f>IF(ISNA(VLOOKUP(MID($A20,7,1),Kanji_2_HanViet!$A:$C,2,FALSE)),"",VLOOKUP(MID($A20,7,1),Kanji_2_HanViet!$A:$C,2,FALSE))</f>
        <v/>
      </c>
      <c r="J20" s="15" t="str">
        <f>IF(ISNA(VLOOKUP(MID($A20,8,1),Kanji_2_HanViet!$A:$C,2,FALSE)),"",VLOOKUP(MID($A20,8,1),Kanji_2_HanViet!$A:$C,2,FALSE))</f>
        <v/>
      </c>
      <c r="K20" s="15" t="str">
        <f>IF(ISNA(VLOOKUP(MID($A20,9,1),Kanji_2_HanViet!$A:$C,2,FALSE)),"",VLOOKUP(MID($A20,9,1),Kanji_2_HanViet!$A:$C,2,FALSE))</f>
        <v/>
      </c>
    </row>
    <row r="21" spans="1:11">
      <c r="A21" s="13" t="str">
        <f>Master!B27</f>
        <v>私立</v>
      </c>
      <c r="B21" s="16" t="str">
        <f t="shared" si="0"/>
        <v>TƯ LẬP</v>
      </c>
      <c r="C21" s="15" t="str">
        <f>IF(ISNA(VLOOKUP(MID($A21,1,1),Kanji_2_HanViet!$A:$C,2,FALSE)),"",VLOOKUP(MID($A21,1,1),Kanji_2_HanViet!$A:$C,2,FALSE))</f>
        <v>TƯ</v>
      </c>
      <c r="D21" s="15" t="str">
        <f>IF(ISNA(VLOOKUP(MID($A21,2,1),Kanji_2_HanViet!$A:$C,2,FALSE)),"",VLOOKUP(MID($A21,2,1),Kanji_2_HanViet!$A:$C,2,FALSE))</f>
        <v>LẬP</v>
      </c>
      <c r="E21" s="15" t="str">
        <f>IF(ISNA(VLOOKUP(MID($A21,3,1),Kanji_2_HanViet!$A:$C,2,FALSE)),"",VLOOKUP(MID($A21,3,1),Kanji_2_HanViet!$A:$C,2,FALSE))</f>
        <v/>
      </c>
      <c r="F21" s="15" t="str">
        <f>IF(ISNA(VLOOKUP(MID($A21,4,1),Kanji_2_HanViet!$A:$C,2,FALSE)),"",VLOOKUP(MID($A21,4,1),Kanji_2_HanViet!$A:$C,2,FALSE))</f>
        <v/>
      </c>
      <c r="G21" s="15" t="str">
        <f>IF(ISNA(VLOOKUP(MID($A21,5,1),Kanji_2_HanViet!$A:$C,2,FALSE)),"",VLOOKUP(MID($A21,5,1),Kanji_2_HanViet!$A:$C,2,FALSE))</f>
        <v/>
      </c>
      <c r="H21" s="15" t="str">
        <f>IF(ISNA(VLOOKUP(MID($A21,6,1),Kanji_2_HanViet!$A:$C,2,FALSE)),"",VLOOKUP(MID($A21,6,1),Kanji_2_HanViet!$A:$C,2,FALSE))</f>
        <v/>
      </c>
      <c r="I21" s="15" t="str">
        <f>IF(ISNA(VLOOKUP(MID($A21,7,1),Kanji_2_HanViet!$A:$C,2,FALSE)),"",VLOOKUP(MID($A21,7,1),Kanji_2_HanViet!$A:$C,2,FALSE))</f>
        <v/>
      </c>
      <c r="J21" s="15" t="str">
        <f>IF(ISNA(VLOOKUP(MID($A21,8,1),Kanji_2_HanViet!$A:$C,2,FALSE)),"",VLOOKUP(MID($A21,8,1),Kanji_2_HanViet!$A:$C,2,FALSE))</f>
        <v/>
      </c>
      <c r="K21" s="15" t="str">
        <f>IF(ISNA(VLOOKUP(MID($A21,9,1),Kanji_2_HanViet!$A:$C,2,FALSE)),"",VLOOKUP(MID($A21,9,1),Kanji_2_HanViet!$A:$C,2,FALSE))</f>
        <v/>
      </c>
    </row>
    <row r="22" spans="1:11">
      <c r="A22" s="13" t="str">
        <f>Master!B28</f>
        <v>着用</v>
      </c>
      <c r="B22" s="16" t="str">
        <f t="shared" si="0"/>
        <v>TRƯỚC DỤNG</v>
      </c>
      <c r="C22" s="15" t="str">
        <f>IF(ISNA(VLOOKUP(MID($A22,1,1),Kanji_2_HanViet!$A:$C,2,FALSE)),"",VLOOKUP(MID($A22,1,1),Kanji_2_HanViet!$A:$C,2,FALSE))</f>
        <v>TRƯỚC</v>
      </c>
      <c r="D22" s="15" t="str">
        <f>IF(ISNA(VLOOKUP(MID($A22,2,1),Kanji_2_HanViet!$A:$C,2,FALSE)),"",VLOOKUP(MID($A22,2,1),Kanji_2_HanViet!$A:$C,2,FALSE))</f>
        <v>DỤNG</v>
      </c>
      <c r="E22" s="15" t="str">
        <f>IF(ISNA(VLOOKUP(MID($A22,3,1),Kanji_2_HanViet!$A:$C,2,FALSE)),"",VLOOKUP(MID($A22,3,1),Kanji_2_HanViet!$A:$C,2,FALSE))</f>
        <v/>
      </c>
      <c r="F22" s="15" t="str">
        <f>IF(ISNA(VLOOKUP(MID($A22,4,1),Kanji_2_HanViet!$A:$C,2,FALSE)),"",VLOOKUP(MID($A22,4,1),Kanji_2_HanViet!$A:$C,2,FALSE))</f>
        <v/>
      </c>
      <c r="G22" s="15" t="str">
        <f>IF(ISNA(VLOOKUP(MID($A22,5,1),Kanji_2_HanViet!$A:$C,2,FALSE)),"",VLOOKUP(MID($A22,5,1),Kanji_2_HanViet!$A:$C,2,FALSE))</f>
        <v/>
      </c>
      <c r="H22" s="15" t="str">
        <f>IF(ISNA(VLOOKUP(MID($A22,6,1),Kanji_2_HanViet!$A:$C,2,FALSE)),"",VLOOKUP(MID($A22,6,1),Kanji_2_HanViet!$A:$C,2,FALSE))</f>
        <v/>
      </c>
      <c r="I22" s="15" t="str">
        <f>IF(ISNA(VLOOKUP(MID($A22,7,1),Kanji_2_HanViet!$A:$C,2,FALSE)),"",VLOOKUP(MID($A22,7,1),Kanji_2_HanViet!$A:$C,2,FALSE))</f>
        <v/>
      </c>
      <c r="J22" s="15" t="str">
        <f>IF(ISNA(VLOOKUP(MID($A22,8,1),Kanji_2_HanViet!$A:$C,2,FALSE)),"",VLOOKUP(MID($A22,8,1),Kanji_2_HanViet!$A:$C,2,FALSE))</f>
        <v/>
      </c>
      <c r="K22" s="15" t="str">
        <f>IF(ISNA(VLOOKUP(MID($A22,9,1),Kanji_2_HanViet!$A:$C,2,FALSE)),"",VLOOKUP(MID($A22,9,1),Kanji_2_HanViet!$A:$C,2,FALSE))</f>
        <v/>
      </c>
    </row>
    <row r="23" spans="1:11">
      <c r="A23" s="13" t="str">
        <f>Master!B29</f>
        <v>義務付ける</v>
      </c>
      <c r="B23" s="16" t="str">
        <f t="shared" si="0"/>
        <v>NGHĨA VỤ PHÓ</v>
      </c>
      <c r="C23" s="15" t="str">
        <f>IF(ISNA(VLOOKUP(MID($A23,1,1),Kanji_2_HanViet!$A:$C,2,FALSE)),"",VLOOKUP(MID($A23,1,1),Kanji_2_HanViet!$A:$C,2,FALSE))</f>
        <v>NGHĨA</v>
      </c>
      <c r="D23" s="15" t="str">
        <f>IF(ISNA(VLOOKUP(MID($A23,2,1),Kanji_2_HanViet!$A:$C,2,FALSE)),"",VLOOKUP(MID($A23,2,1),Kanji_2_HanViet!$A:$C,2,FALSE))</f>
        <v>VỤ</v>
      </c>
      <c r="E23" s="15" t="str">
        <f>IF(ISNA(VLOOKUP(MID($A23,3,1),Kanji_2_HanViet!$A:$C,2,FALSE)),"",VLOOKUP(MID($A23,3,1),Kanji_2_HanViet!$A:$C,2,FALSE))</f>
        <v>PHÓ</v>
      </c>
      <c r="F23" s="15" t="str">
        <f>IF(ISNA(VLOOKUP(MID($A23,4,1),Kanji_2_HanViet!$A:$C,2,FALSE)),"",VLOOKUP(MID($A23,4,1),Kanji_2_HanViet!$A:$C,2,FALSE))</f>
        <v/>
      </c>
      <c r="G23" s="15" t="str">
        <f>IF(ISNA(VLOOKUP(MID($A23,5,1),Kanji_2_HanViet!$A:$C,2,FALSE)),"",VLOOKUP(MID($A23,5,1),Kanji_2_HanViet!$A:$C,2,FALSE))</f>
        <v/>
      </c>
      <c r="H23" s="15" t="str">
        <f>IF(ISNA(VLOOKUP(MID($A23,6,1),Kanji_2_HanViet!$A:$C,2,FALSE)),"",VLOOKUP(MID($A23,6,1),Kanji_2_HanViet!$A:$C,2,FALSE))</f>
        <v/>
      </c>
      <c r="I23" s="15" t="str">
        <f>IF(ISNA(VLOOKUP(MID($A23,7,1),Kanji_2_HanViet!$A:$C,2,FALSE)),"",VLOOKUP(MID($A23,7,1),Kanji_2_HanViet!$A:$C,2,FALSE))</f>
        <v/>
      </c>
      <c r="J23" s="15" t="str">
        <f>IF(ISNA(VLOOKUP(MID($A23,8,1),Kanji_2_HanViet!$A:$C,2,FALSE)),"",VLOOKUP(MID($A23,8,1),Kanji_2_HanViet!$A:$C,2,FALSE))</f>
        <v/>
      </c>
      <c r="K23" s="15" t="str">
        <f>IF(ISNA(VLOOKUP(MID($A23,9,1),Kanji_2_HanViet!$A:$C,2,FALSE)),"",VLOOKUP(MID($A23,9,1),Kanji_2_HanViet!$A:$C,2,FALSE))</f>
        <v/>
      </c>
    </row>
    <row r="24" spans="1:11">
      <c r="A24" s="13" t="str">
        <f>Master!B30</f>
        <v>高等学校</v>
      </c>
      <c r="B24" s="16" t="str">
        <f t="shared" si="0"/>
        <v>CAO ĐẲNG HỌC HIỆU/GIÁO</v>
      </c>
      <c r="C24" s="15" t="str">
        <f>IF(ISNA(VLOOKUP(MID($A24,1,1),Kanji_2_HanViet!$A:$C,2,FALSE)),"",VLOOKUP(MID($A24,1,1),Kanji_2_HanViet!$A:$C,2,FALSE))</f>
        <v>CAO</v>
      </c>
      <c r="D24" s="15" t="str">
        <f>IF(ISNA(VLOOKUP(MID($A24,2,1),Kanji_2_HanViet!$A:$C,2,FALSE)),"",VLOOKUP(MID($A24,2,1),Kanji_2_HanViet!$A:$C,2,FALSE))</f>
        <v>ĐẲNG</v>
      </c>
      <c r="E24" s="15" t="str">
        <f>IF(ISNA(VLOOKUP(MID($A24,3,1),Kanji_2_HanViet!$A:$C,2,FALSE)),"",VLOOKUP(MID($A24,3,1),Kanji_2_HanViet!$A:$C,2,FALSE))</f>
        <v>HỌC</v>
      </c>
      <c r="F24" s="15" t="str">
        <f>IF(ISNA(VLOOKUP(MID($A24,4,1),Kanji_2_HanViet!$A:$C,2,FALSE)),"",VLOOKUP(MID($A24,4,1),Kanji_2_HanViet!$A:$C,2,FALSE))</f>
        <v>HIỆU/GIÁO</v>
      </c>
      <c r="G24" s="15" t="str">
        <f>IF(ISNA(VLOOKUP(MID($A24,5,1),Kanji_2_HanViet!$A:$C,2,FALSE)),"",VLOOKUP(MID($A24,5,1),Kanji_2_HanViet!$A:$C,2,FALSE))</f>
        <v/>
      </c>
      <c r="H24" s="15" t="str">
        <f>IF(ISNA(VLOOKUP(MID($A24,6,1),Kanji_2_HanViet!$A:$C,2,FALSE)),"",VLOOKUP(MID($A24,6,1),Kanji_2_HanViet!$A:$C,2,FALSE))</f>
        <v/>
      </c>
      <c r="I24" s="15" t="str">
        <f>IF(ISNA(VLOOKUP(MID($A24,7,1),Kanji_2_HanViet!$A:$C,2,FALSE)),"",VLOOKUP(MID($A24,7,1),Kanji_2_HanViet!$A:$C,2,FALSE))</f>
        <v/>
      </c>
      <c r="J24" s="15" t="str">
        <f>IF(ISNA(VLOOKUP(MID($A24,8,1),Kanji_2_HanViet!$A:$C,2,FALSE)),"",VLOOKUP(MID($A24,8,1),Kanji_2_HanViet!$A:$C,2,FALSE))</f>
        <v/>
      </c>
      <c r="K24" s="15" t="str">
        <f>IF(ISNA(VLOOKUP(MID($A24,9,1),Kanji_2_HanViet!$A:$C,2,FALSE)),"",VLOOKUP(MID($A24,9,1),Kanji_2_HanViet!$A:$C,2,FALSE))</f>
        <v/>
      </c>
    </row>
    <row r="25" spans="1:11">
      <c r="A25" s="13" t="str">
        <f>Master!B31</f>
        <v>賛成</v>
      </c>
      <c r="B25" s="16" t="str">
        <f t="shared" si="0"/>
        <v>TÁN THÀNH</v>
      </c>
      <c r="C25" s="15" t="str">
        <f>IF(ISNA(VLOOKUP(MID($A25,1,1),Kanji_2_HanViet!$A:$C,2,FALSE)),"",VLOOKUP(MID($A25,1,1),Kanji_2_HanViet!$A:$C,2,FALSE))</f>
        <v>TÁN</v>
      </c>
      <c r="D25" s="15" t="str">
        <f>IF(ISNA(VLOOKUP(MID($A25,2,1),Kanji_2_HanViet!$A:$C,2,FALSE)),"",VLOOKUP(MID($A25,2,1),Kanji_2_HanViet!$A:$C,2,FALSE))</f>
        <v>THÀNH</v>
      </c>
      <c r="E25" s="15" t="str">
        <f>IF(ISNA(VLOOKUP(MID($A25,3,1),Kanji_2_HanViet!$A:$C,2,FALSE)),"",VLOOKUP(MID($A25,3,1),Kanji_2_HanViet!$A:$C,2,FALSE))</f>
        <v/>
      </c>
      <c r="F25" s="15" t="str">
        <f>IF(ISNA(VLOOKUP(MID($A25,4,1),Kanji_2_HanViet!$A:$C,2,FALSE)),"",VLOOKUP(MID($A25,4,1),Kanji_2_HanViet!$A:$C,2,FALSE))</f>
        <v/>
      </c>
      <c r="G25" s="15" t="str">
        <f>IF(ISNA(VLOOKUP(MID($A25,5,1),Kanji_2_HanViet!$A:$C,2,FALSE)),"",VLOOKUP(MID($A25,5,1),Kanji_2_HanViet!$A:$C,2,FALSE))</f>
        <v/>
      </c>
      <c r="H25" s="15" t="str">
        <f>IF(ISNA(VLOOKUP(MID($A25,6,1),Kanji_2_HanViet!$A:$C,2,FALSE)),"",VLOOKUP(MID($A25,6,1),Kanji_2_HanViet!$A:$C,2,FALSE))</f>
        <v/>
      </c>
      <c r="I25" s="15" t="str">
        <f>IF(ISNA(VLOOKUP(MID($A25,7,1),Kanji_2_HanViet!$A:$C,2,FALSE)),"",VLOOKUP(MID($A25,7,1),Kanji_2_HanViet!$A:$C,2,FALSE))</f>
        <v/>
      </c>
      <c r="J25" s="15" t="str">
        <f>IF(ISNA(VLOOKUP(MID($A25,8,1),Kanji_2_HanViet!$A:$C,2,FALSE)),"",VLOOKUP(MID($A25,8,1),Kanji_2_HanViet!$A:$C,2,FALSE))</f>
        <v/>
      </c>
      <c r="K25" s="15" t="str">
        <f>IF(ISNA(VLOOKUP(MID($A25,9,1),Kanji_2_HanViet!$A:$C,2,FALSE)),"",VLOOKUP(MID($A25,9,1),Kanji_2_HanViet!$A:$C,2,FALSE))</f>
        <v/>
      </c>
    </row>
    <row r="26" spans="1:11">
      <c r="A26" s="13" t="str">
        <f>Master!B32</f>
        <v>反対</v>
      </c>
      <c r="B26" s="16" t="str">
        <f t="shared" si="0"/>
        <v>PHẢN ĐỐI</v>
      </c>
      <c r="C26" s="15" t="str">
        <f>IF(ISNA(VLOOKUP(MID($A26,1,1),Kanji_2_HanViet!$A:$C,2,FALSE)),"",VLOOKUP(MID($A26,1,1),Kanji_2_HanViet!$A:$C,2,FALSE))</f>
        <v>PHẢN</v>
      </c>
      <c r="D26" s="15" t="str">
        <f>IF(ISNA(VLOOKUP(MID($A26,2,1),Kanji_2_HanViet!$A:$C,2,FALSE)),"",VLOOKUP(MID($A26,2,1),Kanji_2_HanViet!$A:$C,2,FALSE))</f>
        <v>ĐỐI</v>
      </c>
      <c r="E26" s="15" t="str">
        <f>IF(ISNA(VLOOKUP(MID($A26,3,1),Kanji_2_HanViet!$A:$C,2,FALSE)),"",VLOOKUP(MID($A26,3,1),Kanji_2_HanViet!$A:$C,2,FALSE))</f>
        <v/>
      </c>
      <c r="F26" s="15" t="str">
        <f>IF(ISNA(VLOOKUP(MID($A26,4,1),Kanji_2_HanViet!$A:$C,2,FALSE)),"",VLOOKUP(MID($A26,4,1),Kanji_2_HanViet!$A:$C,2,FALSE))</f>
        <v/>
      </c>
      <c r="G26" s="15" t="str">
        <f>IF(ISNA(VLOOKUP(MID($A26,5,1),Kanji_2_HanViet!$A:$C,2,FALSE)),"",VLOOKUP(MID($A26,5,1),Kanji_2_HanViet!$A:$C,2,FALSE))</f>
        <v/>
      </c>
      <c r="H26" s="15" t="str">
        <f>IF(ISNA(VLOOKUP(MID($A26,6,1),Kanji_2_HanViet!$A:$C,2,FALSE)),"",VLOOKUP(MID($A26,6,1),Kanji_2_HanViet!$A:$C,2,FALSE))</f>
        <v/>
      </c>
      <c r="I26" s="15" t="str">
        <f>IF(ISNA(VLOOKUP(MID($A26,7,1),Kanji_2_HanViet!$A:$C,2,FALSE)),"",VLOOKUP(MID($A26,7,1),Kanji_2_HanViet!$A:$C,2,FALSE))</f>
        <v/>
      </c>
      <c r="J26" s="15" t="str">
        <f>IF(ISNA(VLOOKUP(MID($A26,8,1),Kanji_2_HanViet!$A:$C,2,FALSE)),"",VLOOKUP(MID($A26,8,1),Kanji_2_HanViet!$A:$C,2,FALSE))</f>
        <v/>
      </c>
      <c r="K26" s="15" t="str">
        <f>IF(ISNA(VLOOKUP(MID($A26,9,1),Kanji_2_HanViet!$A:$C,2,FALSE)),"",VLOOKUP(MID($A26,9,1),Kanji_2_HanViet!$A:$C,2,FALSE))</f>
        <v/>
      </c>
    </row>
    <row r="27" spans="1:11">
      <c r="A27" s="13" t="str">
        <f>Master!B33</f>
        <v>経済性</v>
      </c>
      <c r="B27" s="16" t="str">
        <f t="shared" si="0"/>
        <v>KINH TẾ TÍNH/TÁNH</v>
      </c>
      <c r="C27" s="15" t="str">
        <f>IF(ISNA(VLOOKUP(MID($A27,1,1),Kanji_2_HanViet!$A:$C,2,FALSE)),"",VLOOKUP(MID($A27,1,1),Kanji_2_HanViet!$A:$C,2,FALSE))</f>
        <v>KINH</v>
      </c>
      <c r="D27" s="15" t="str">
        <f>IF(ISNA(VLOOKUP(MID($A27,2,1),Kanji_2_HanViet!$A:$C,2,FALSE)),"",VLOOKUP(MID($A27,2,1),Kanji_2_HanViet!$A:$C,2,FALSE))</f>
        <v>TẾ</v>
      </c>
      <c r="E27" s="15" t="str">
        <f>IF(ISNA(VLOOKUP(MID($A27,3,1),Kanji_2_HanViet!$A:$C,2,FALSE)),"",VLOOKUP(MID($A27,3,1),Kanji_2_HanViet!$A:$C,2,FALSE))</f>
        <v>TÍNH/TÁNH</v>
      </c>
      <c r="F27" s="15" t="str">
        <f>IF(ISNA(VLOOKUP(MID($A27,4,1),Kanji_2_HanViet!$A:$C,2,FALSE)),"",VLOOKUP(MID($A27,4,1),Kanji_2_HanViet!$A:$C,2,FALSE))</f>
        <v/>
      </c>
      <c r="G27" s="15" t="str">
        <f>IF(ISNA(VLOOKUP(MID($A27,5,1),Kanji_2_HanViet!$A:$C,2,FALSE)),"",VLOOKUP(MID($A27,5,1),Kanji_2_HanViet!$A:$C,2,FALSE))</f>
        <v/>
      </c>
      <c r="H27" s="15" t="str">
        <f>IF(ISNA(VLOOKUP(MID($A27,6,1),Kanji_2_HanViet!$A:$C,2,FALSE)),"",VLOOKUP(MID($A27,6,1),Kanji_2_HanViet!$A:$C,2,FALSE))</f>
        <v/>
      </c>
      <c r="I27" s="15" t="str">
        <f>IF(ISNA(VLOOKUP(MID($A27,7,1),Kanji_2_HanViet!$A:$C,2,FALSE)),"",VLOOKUP(MID($A27,7,1),Kanji_2_HanViet!$A:$C,2,FALSE))</f>
        <v/>
      </c>
      <c r="J27" s="15" t="str">
        <f>IF(ISNA(VLOOKUP(MID($A27,8,1),Kanji_2_HanViet!$A:$C,2,FALSE)),"",VLOOKUP(MID($A27,8,1),Kanji_2_HanViet!$A:$C,2,FALSE))</f>
        <v/>
      </c>
      <c r="K27" s="15" t="str">
        <f>IF(ISNA(VLOOKUP(MID($A27,9,1),Kanji_2_HanViet!$A:$C,2,FALSE)),"",VLOOKUP(MID($A27,9,1),Kanji_2_HanViet!$A:$C,2,FALSE))</f>
        <v/>
      </c>
    </row>
    <row r="28" spans="1:11">
      <c r="A28" s="13" t="str">
        <f>Master!B34</f>
        <v>いったん</v>
      </c>
      <c r="B28" s="16" t="str">
        <f t="shared" si="0"/>
        <v/>
      </c>
      <c r="C28" s="15" t="str">
        <f>IF(ISNA(VLOOKUP(MID($A28,1,1),Kanji_2_HanViet!$A:$C,2,FALSE)),"",VLOOKUP(MID($A28,1,1),Kanji_2_HanViet!$A:$C,2,FALSE))</f>
        <v/>
      </c>
      <c r="D28" s="15" t="str">
        <f>IF(ISNA(VLOOKUP(MID($A28,2,1),Kanji_2_HanViet!$A:$C,2,FALSE)),"",VLOOKUP(MID($A28,2,1),Kanji_2_HanViet!$A:$C,2,FALSE))</f>
        <v/>
      </c>
      <c r="E28" s="15" t="str">
        <f>IF(ISNA(VLOOKUP(MID($A28,3,1),Kanji_2_HanViet!$A:$C,2,FALSE)),"",VLOOKUP(MID($A28,3,1),Kanji_2_HanViet!$A:$C,2,FALSE))</f>
        <v/>
      </c>
      <c r="F28" s="15" t="str">
        <f>IF(ISNA(VLOOKUP(MID($A28,4,1),Kanji_2_HanViet!$A:$C,2,FALSE)),"",VLOOKUP(MID($A28,4,1),Kanji_2_HanViet!$A:$C,2,FALSE))</f>
        <v/>
      </c>
      <c r="G28" s="15" t="str">
        <f>IF(ISNA(VLOOKUP(MID($A28,5,1),Kanji_2_HanViet!$A:$C,2,FALSE)),"",VLOOKUP(MID($A28,5,1),Kanji_2_HanViet!$A:$C,2,FALSE))</f>
        <v/>
      </c>
      <c r="H28" s="15" t="str">
        <f>IF(ISNA(VLOOKUP(MID($A28,6,1),Kanji_2_HanViet!$A:$C,2,FALSE)),"",VLOOKUP(MID($A28,6,1),Kanji_2_HanViet!$A:$C,2,FALSE))</f>
        <v/>
      </c>
      <c r="I28" s="15" t="str">
        <f>IF(ISNA(VLOOKUP(MID($A28,7,1),Kanji_2_HanViet!$A:$C,2,FALSE)),"",VLOOKUP(MID($A28,7,1),Kanji_2_HanViet!$A:$C,2,FALSE))</f>
        <v/>
      </c>
      <c r="J28" s="15" t="str">
        <f>IF(ISNA(VLOOKUP(MID($A28,8,1),Kanji_2_HanViet!$A:$C,2,FALSE)),"",VLOOKUP(MID($A28,8,1),Kanji_2_HanViet!$A:$C,2,FALSE))</f>
        <v/>
      </c>
      <c r="K28" s="15" t="str">
        <f>IF(ISNA(VLOOKUP(MID($A28,9,1),Kanji_2_HanViet!$A:$C,2,FALSE)),"",VLOOKUP(MID($A28,9,1),Kanji_2_HanViet!$A:$C,2,FALSE))</f>
        <v/>
      </c>
    </row>
    <row r="29" spans="1:11">
      <c r="A29" s="13" t="str">
        <f>Master!B35</f>
        <v>在学</v>
      </c>
      <c r="B29" s="16" t="str">
        <f t="shared" si="0"/>
        <v>TẠI HỌC</v>
      </c>
      <c r="C29" s="15" t="str">
        <f>IF(ISNA(VLOOKUP(MID($A29,1,1),Kanji_2_HanViet!$A:$C,2,FALSE)),"",VLOOKUP(MID($A29,1,1),Kanji_2_HanViet!$A:$C,2,FALSE))</f>
        <v>TẠI</v>
      </c>
      <c r="D29" s="15" t="str">
        <f>IF(ISNA(VLOOKUP(MID($A29,2,1),Kanji_2_HanViet!$A:$C,2,FALSE)),"",VLOOKUP(MID($A29,2,1),Kanji_2_HanViet!$A:$C,2,FALSE))</f>
        <v>HỌC</v>
      </c>
      <c r="E29" s="15" t="str">
        <f>IF(ISNA(VLOOKUP(MID($A29,3,1),Kanji_2_HanViet!$A:$C,2,FALSE)),"",VLOOKUP(MID($A29,3,1),Kanji_2_HanViet!$A:$C,2,FALSE))</f>
        <v/>
      </c>
      <c r="F29" s="15" t="str">
        <f>IF(ISNA(VLOOKUP(MID($A29,4,1),Kanji_2_HanViet!$A:$C,2,FALSE)),"",VLOOKUP(MID($A29,4,1),Kanji_2_HanViet!$A:$C,2,FALSE))</f>
        <v/>
      </c>
      <c r="G29" s="15" t="str">
        <f>IF(ISNA(VLOOKUP(MID($A29,5,1),Kanji_2_HanViet!$A:$C,2,FALSE)),"",VLOOKUP(MID($A29,5,1),Kanji_2_HanViet!$A:$C,2,FALSE))</f>
        <v/>
      </c>
      <c r="H29" s="15" t="str">
        <f>IF(ISNA(VLOOKUP(MID($A29,6,1),Kanji_2_HanViet!$A:$C,2,FALSE)),"",VLOOKUP(MID($A29,6,1),Kanji_2_HanViet!$A:$C,2,FALSE))</f>
        <v/>
      </c>
      <c r="I29" s="15" t="str">
        <f>IF(ISNA(VLOOKUP(MID($A29,7,1),Kanji_2_HanViet!$A:$C,2,FALSE)),"",VLOOKUP(MID($A29,7,1),Kanji_2_HanViet!$A:$C,2,FALSE))</f>
        <v/>
      </c>
      <c r="J29" s="15" t="str">
        <f>IF(ISNA(VLOOKUP(MID($A29,8,1),Kanji_2_HanViet!$A:$C,2,FALSE)),"",VLOOKUP(MID($A29,8,1),Kanji_2_HanViet!$A:$C,2,FALSE))</f>
        <v/>
      </c>
      <c r="K29" s="15" t="str">
        <f>IF(ISNA(VLOOKUP(MID($A29,9,1),Kanji_2_HanViet!$A:$C,2,FALSE)),"",VLOOKUP(MID($A29,9,1),Kanji_2_HanViet!$A:$C,2,FALSE))</f>
        <v/>
      </c>
    </row>
    <row r="30" spans="1:11">
      <c r="A30" s="13" t="str">
        <f>Master!B36</f>
        <v>安上がり</v>
      </c>
      <c r="B30" s="16" t="str">
        <f t="shared" si="0"/>
        <v>AN THƯỢNG</v>
      </c>
      <c r="C30" s="15" t="str">
        <f>IF(ISNA(VLOOKUP(MID($A30,1,1),Kanji_2_HanViet!$A:$C,2,FALSE)),"",VLOOKUP(MID($A30,1,1),Kanji_2_HanViet!$A:$C,2,FALSE))</f>
        <v>AN</v>
      </c>
      <c r="D30" s="15" t="str">
        <f>IF(ISNA(VLOOKUP(MID($A30,2,1),Kanji_2_HanViet!$A:$C,2,FALSE)),"",VLOOKUP(MID($A30,2,1),Kanji_2_HanViet!$A:$C,2,FALSE))</f>
        <v>THƯỢNG</v>
      </c>
      <c r="E30" s="15" t="str">
        <f>IF(ISNA(VLOOKUP(MID($A30,3,1),Kanji_2_HanViet!$A:$C,2,FALSE)),"",VLOOKUP(MID($A30,3,1),Kanji_2_HanViet!$A:$C,2,FALSE))</f>
        <v/>
      </c>
      <c r="F30" s="15" t="str">
        <f>IF(ISNA(VLOOKUP(MID($A30,4,1),Kanji_2_HanViet!$A:$C,2,FALSE)),"",VLOOKUP(MID($A30,4,1),Kanji_2_HanViet!$A:$C,2,FALSE))</f>
        <v/>
      </c>
      <c r="G30" s="15" t="str">
        <f>IF(ISNA(VLOOKUP(MID($A30,5,1),Kanji_2_HanViet!$A:$C,2,FALSE)),"",VLOOKUP(MID($A30,5,1),Kanji_2_HanViet!$A:$C,2,FALSE))</f>
        <v/>
      </c>
      <c r="H30" s="15" t="str">
        <f>IF(ISNA(VLOOKUP(MID($A30,6,1),Kanji_2_HanViet!$A:$C,2,FALSE)),"",VLOOKUP(MID($A30,6,1),Kanji_2_HanViet!$A:$C,2,FALSE))</f>
        <v/>
      </c>
      <c r="I30" s="15" t="str">
        <f>IF(ISNA(VLOOKUP(MID($A30,7,1),Kanji_2_HanViet!$A:$C,2,FALSE)),"",VLOOKUP(MID($A30,7,1),Kanji_2_HanViet!$A:$C,2,FALSE))</f>
        <v/>
      </c>
      <c r="J30" s="15" t="str">
        <f>IF(ISNA(VLOOKUP(MID($A30,8,1),Kanji_2_HanViet!$A:$C,2,FALSE)),"",VLOOKUP(MID($A30,8,1),Kanji_2_HanViet!$A:$C,2,FALSE))</f>
        <v/>
      </c>
      <c r="K30" s="15" t="str">
        <f>IF(ISNA(VLOOKUP(MID($A30,9,1),Kanji_2_HanViet!$A:$C,2,FALSE)),"",VLOOKUP(MID($A30,9,1),Kanji_2_HanViet!$A:$C,2,FALSE))</f>
        <v/>
      </c>
    </row>
    <row r="31" spans="1:11">
      <c r="A31" s="13" t="str">
        <f>Master!B37</f>
        <v>値段</v>
      </c>
      <c r="B31" s="16" t="str">
        <f t="shared" si="0"/>
        <v>TRỊ ĐOẠN</v>
      </c>
      <c r="C31" s="15" t="str">
        <f>IF(ISNA(VLOOKUP(MID($A31,1,1),Kanji_2_HanViet!$A:$C,2,FALSE)),"",VLOOKUP(MID($A31,1,1),Kanji_2_HanViet!$A:$C,2,FALSE))</f>
        <v>TRỊ</v>
      </c>
      <c r="D31" s="15" t="str">
        <f>IF(ISNA(VLOOKUP(MID($A31,2,1),Kanji_2_HanViet!$A:$C,2,FALSE)),"",VLOOKUP(MID($A31,2,1),Kanji_2_HanViet!$A:$C,2,FALSE))</f>
        <v>ĐOẠN</v>
      </c>
      <c r="E31" s="15" t="str">
        <f>IF(ISNA(VLOOKUP(MID($A31,3,1),Kanji_2_HanViet!$A:$C,2,FALSE)),"",VLOOKUP(MID($A31,3,1),Kanji_2_HanViet!$A:$C,2,FALSE))</f>
        <v/>
      </c>
      <c r="F31" s="15" t="str">
        <f>IF(ISNA(VLOOKUP(MID($A31,4,1),Kanji_2_HanViet!$A:$C,2,FALSE)),"",VLOOKUP(MID($A31,4,1),Kanji_2_HanViet!$A:$C,2,FALSE))</f>
        <v/>
      </c>
      <c r="G31" s="15" t="str">
        <f>IF(ISNA(VLOOKUP(MID($A31,5,1),Kanji_2_HanViet!$A:$C,2,FALSE)),"",VLOOKUP(MID($A31,5,1),Kanji_2_HanViet!$A:$C,2,FALSE))</f>
        <v/>
      </c>
      <c r="H31" s="15" t="str">
        <f>IF(ISNA(VLOOKUP(MID($A31,6,1),Kanji_2_HanViet!$A:$C,2,FALSE)),"",VLOOKUP(MID($A31,6,1),Kanji_2_HanViet!$A:$C,2,FALSE))</f>
        <v/>
      </c>
      <c r="I31" s="15" t="str">
        <f>IF(ISNA(VLOOKUP(MID($A31,7,1),Kanji_2_HanViet!$A:$C,2,FALSE)),"",VLOOKUP(MID($A31,7,1),Kanji_2_HanViet!$A:$C,2,FALSE))</f>
        <v/>
      </c>
      <c r="J31" s="15" t="str">
        <f>IF(ISNA(VLOOKUP(MID($A31,8,1),Kanji_2_HanViet!$A:$C,2,FALSE)),"",VLOOKUP(MID($A31,8,1),Kanji_2_HanViet!$A:$C,2,FALSE))</f>
        <v/>
      </c>
      <c r="K31" s="15" t="str">
        <f>IF(ISNA(VLOOKUP(MID($A31,9,1),Kanji_2_HanViet!$A:$C,2,FALSE)),"",VLOOKUP(MID($A31,9,1),Kanji_2_HanViet!$A:$C,2,FALSE))</f>
        <v/>
      </c>
    </row>
    <row r="32" spans="1:11">
      <c r="A32" s="13" t="str">
        <f>Master!B38</f>
        <v>無駄</v>
      </c>
      <c r="B32" s="16" t="str">
        <f t="shared" si="0"/>
        <v>VÔ/MÔ ĐÀ</v>
      </c>
      <c r="C32" s="15" t="str">
        <f>IF(ISNA(VLOOKUP(MID($A32,1,1),Kanji_2_HanViet!$A:$C,2,FALSE)),"",VLOOKUP(MID($A32,1,1),Kanji_2_HanViet!$A:$C,2,FALSE))</f>
        <v>VÔ/MÔ</v>
      </c>
      <c r="D32" s="15" t="str">
        <f>IF(ISNA(VLOOKUP(MID($A32,2,1),Kanji_2_HanViet!$A:$C,2,FALSE)),"",VLOOKUP(MID($A32,2,1),Kanji_2_HanViet!$A:$C,2,FALSE))</f>
        <v>ĐÀ</v>
      </c>
      <c r="E32" s="15" t="str">
        <f>IF(ISNA(VLOOKUP(MID($A32,3,1),Kanji_2_HanViet!$A:$C,2,FALSE)),"",VLOOKUP(MID($A32,3,1),Kanji_2_HanViet!$A:$C,2,FALSE))</f>
        <v/>
      </c>
      <c r="F32" s="15" t="str">
        <f>IF(ISNA(VLOOKUP(MID($A32,4,1),Kanji_2_HanViet!$A:$C,2,FALSE)),"",VLOOKUP(MID($A32,4,1),Kanji_2_HanViet!$A:$C,2,FALSE))</f>
        <v/>
      </c>
      <c r="G32" s="15" t="str">
        <f>IF(ISNA(VLOOKUP(MID($A32,5,1),Kanji_2_HanViet!$A:$C,2,FALSE)),"",VLOOKUP(MID($A32,5,1),Kanji_2_HanViet!$A:$C,2,FALSE))</f>
        <v/>
      </c>
      <c r="H32" s="15" t="str">
        <f>IF(ISNA(VLOOKUP(MID($A32,6,1),Kanji_2_HanViet!$A:$C,2,FALSE)),"",VLOOKUP(MID($A32,6,1),Kanji_2_HanViet!$A:$C,2,FALSE))</f>
        <v/>
      </c>
      <c r="I32" s="15" t="str">
        <f>IF(ISNA(VLOOKUP(MID($A32,7,1),Kanji_2_HanViet!$A:$C,2,FALSE)),"",VLOOKUP(MID($A32,7,1),Kanji_2_HanViet!$A:$C,2,FALSE))</f>
        <v/>
      </c>
      <c r="J32" s="15" t="str">
        <f>IF(ISNA(VLOOKUP(MID($A32,8,1),Kanji_2_HanViet!$A:$C,2,FALSE)),"",VLOOKUP(MID($A32,8,1),Kanji_2_HanViet!$A:$C,2,FALSE))</f>
        <v/>
      </c>
      <c r="K32" s="15" t="str">
        <f>IF(ISNA(VLOOKUP(MID($A32,9,1),Kanji_2_HanViet!$A:$C,2,FALSE)),"",VLOOKUP(MID($A32,9,1),Kanji_2_HanViet!$A:$C,2,FALSE))</f>
        <v/>
      </c>
    </row>
    <row r="33" spans="1:11">
      <c r="A33" s="13" t="str">
        <f>Master!B39</f>
        <v>平等性</v>
      </c>
      <c r="B33" s="16" t="str">
        <f t="shared" si="0"/>
        <v>BÌNH ĐẲNG TÍNH/TÁNH</v>
      </c>
      <c r="C33" s="15" t="str">
        <f>IF(ISNA(VLOOKUP(MID($A33,1,1),Kanji_2_HanViet!$A:$C,2,FALSE)),"",VLOOKUP(MID($A33,1,1),Kanji_2_HanViet!$A:$C,2,FALSE))</f>
        <v>BÌNH</v>
      </c>
      <c r="D33" s="15" t="str">
        <f>IF(ISNA(VLOOKUP(MID($A33,2,1),Kanji_2_HanViet!$A:$C,2,FALSE)),"",VLOOKUP(MID($A33,2,1),Kanji_2_HanViet!$A:$C,2,FALSE))</f>
        <v>ĐẲNG</v>
      </c>
      <c r="E33" s="15" t="str">
        <f>IF(ISNA(VLOOKUP(MID($A33,3,1),Kanji_2_HanViet!$A:$C,2,FALSE)),"",VLOOKUP(MID($A33,3,1),Kanji_2_HanViet!$A:$C,2,FALSE))</f>
        <v>TÍNH/TÁNH</v>
      </c>
      <c r="F33" s="15" t="str">
        <f>IF(ISNA(VLOOKUP(MID($A33,4,1),Kanji_2_HanViet!$A:$C,2,FALSE)),"",VLOOKUP(MID($A33,4,1),Kanji_2_HanViet!$A:$C,2,FALSE))</f>
        <v/>
      </c>
      <c r="G33" s="15" t="str">
        <f>IF(ISNA(VLOOKUP(MID($A33,5,1),Kanji_2_HanViet!$A:$C,2,FALSE)),"",VLOOKUP(MID($A33,5,1),Kanji_2_HanViet!$A:$C,2,FALSE))</f>
        <v/>
      </c>
      <c r="H33" s="15" t="str">
        <f>IF(ISNA(VLOOKUP(MID($A33,6,1),Kanji_2_HanViet!$A:$C,2,FALSE)),"",VLOOKUP(MID($A33,6,1),Kanji_2_HanViet!$A:$C,2,FALSE))</f>
        <v/>
      </c>
      <c r="I33" s="15" t="str">
        <f>IF(ISNA(VLOOKUP(MID($A33,7,1),Kanji_2_HanViet!$A:$C,2,FALSE)),"",VLOOKUP(MID($A33,7,1),Kanji_2_HanViet!$A:$C,2,FALSE))</f>
        <v/>
      </c>
      <c r="J33" s="15" t="str">
        <f>IF(ISNA(VLOOKUP(MID($A33,8,1),Kanji_2_HanViet!$A:$C,2,FALSE)),"",VLOOKUP(MID($A33,8,1),Kanji_2_HanViet!$A:$C,2,FALSE))</f>
        <v/>
      </c>
      <c r="K33" s="15" t="str">
        <f>IF(ISNA(VLOOKUP(MID($A33,9,1),Kanji_2_HanViet!$A:$C,2,FALSE)),"",VLOOKUP(MID($A33,9,1),Kanji_2_HanViet!$A:$C,2,FALSE))</f>
        <v/>
      </c>
    </row>
    <row r="34" spans="1:11">
      <c r="A34" s="13" t="str">
        <f>Master!B40</f>
        <v>差</v>
      </c>
      <c r="B34" s="16" t="str">
        <f t="shared" si="0"/>
        <v>SAI</v>
      </c>
      <c r="C34" s="15" t="str">
        <f>IF(ISNA(VLOOKUP(MID($A34,1,1),Kanji_2_HanViet!$A:$C,2,FALSE)),"",VLOOKUP(MID($A34,1,1),Kanji_2_HanViet!$A:$C,2,FALSE))</f>
        <v>SAI</v>
      </c>
      <c r="D34" s="15" t="str">
        <f>IF(ISNA(VLOOKUP(MID($A34,2,1),Kanji_2_HanViet!$A:$C,2,FALSE)),"",VLOOKUP(MID($A34,2,1),Kanji_2_HanViet!$A:$C,2,FALSE))</f>
        <v/>
      </c>
      <c r="E34" s="15" t="str">
        <f>IF(ISNA(VLOOKUP(MID($A34,3,1),Kanji_2_HanViet!$A:$C,2,FALSE)),"",VLOOKUP(MID($A34,3,1),Kanji_2_HanViet!$A:$C,2,FALSE))</f>
        <v/>
      </c>
      <c r="F34" s="15" t="str">
        <f>IF(ISNA(VLOOKUP(MID($A34,4,1),Kanji_2_HanViet!$A:$C,2,FALSE)),"",VLOOKUP(MID($A34,4,1),Kanji_2_HanViet!$A:$C,2,FALSE))</f>
        <v/>
      </c>
      <c r="G34" s="15" t="str">
        <f>IF(ISNA(VLOOKUP(MID($A34,5,1),Kanji_2_HanViet!$A:$C,2,FALSE)),"",VLOOKUP(MID($A34,5,1),Kanji_2_HanViet!$A:$C,2,FALSE))</f>
        <v/>
      </c>
      <c r="H34" s="15" t="str">
        <f>IF(ISNA(VLOOKUP(MID($A34,6,1),Kanji_2_HanViet!$A:$C,2,FALSE)),"",VLOOKUP(MID($A34,6,1),Kanji_2_HanViet!$A:$C,2,FALSE))</f>
        <v/>
      </c>
      <c r="I34" s="15" t="str">
        <f>IF(ISNA(VLOOKUP(MID($A34,7,1),Kanji_2_HanViet!$A:$C,2,FALSE)),"",VLOOKUP(MID($A34,7,1),Kanji_2_HanViet!$A:$C,2,FALSE))</f>
        <v/>
      </c>
      <c r="J34" s="15" t="str">
        <f>IF(ISNA(VLOOKUP(MID($A34,8,1),Kanji_2_HanViet!$A:$C,2,FALSE)),"",VLOOKUP(MID($A34,8,1),Kanji_2_HanViet!$A:$C,2,FALSE))</f>
        <v/>
      </c>
      <c r="K34" s="15" t="str">
        <f>IF(ISNA(VLOOKUP(MID($A34,9,1),Kanji_2_HanViet!$A:$C,2,FALSE)),"",VLOOKUP(MID($A34,9,1),Kanji_2_HanViet!$A:$C,2,FALSE))</f>
        <v/>
      </c>
    </row>
    <row r="35" spans="1:11">
      <c r="A35" s="13" t="str">
        <f>Master!B41</f>
        <v>送る（生活を～）</v>
      </c>
      <c r="B35" s="16" t="str">
        <f t="shared" si="0"/>
        <v>TỐNG SINH HOẠT</v>
      </c>
      <c r="C35" s="15" t="str">
        <f>IF(ISNA(VLOOKUP(MID($A35,1,1),Kanji_2_HanViet!$A:$C,2,FALSE)),"",VLOOKUP(MID($A35,1,1),Kanji_2_HanViet!$A:$C,2,FALSE))</f>
        <v>TỐNG</v>
      </c>
      <c r="D35" s="15" t="str">
        <f>IF(ISNA(VLOOKUP(MID($A35,2,1),Kanji_2_HanViet!$A:$C,2,FALSE)),"",VLOOKUP(MID($A35,2,1),Kanji_2_HanViet!$A:$C,2,FALSE))</f>
        <v/>
      </c>
      <c r="E35" s="15" t="str">
        <f>IF(ISNA(VLOOKUP(MID($A35,3,1),Kanji_2_HanViet!$A:$C,2,FALSE)),"",VLOOKUP(MID($A35,3,1),Kanji_2_HanViet!$A:$C,2,FALSE))</f>
        <v/>
      </c>
      <c r="F35" s="15" t="str">
        <f>IF(ISNA(VLOOKUP(MID($A35,4,1),Kanji_2_HanViet!$A:$C,2,FALSE)),"",VLOOKUP(MID($A35,4,1),Kanji_2_HanViet!$A:$C,2,FALSE))</f>
        <v>SINH</v>
      </c>
      <c r="G35" s="15" t="str">
        <f>IF(ISNA(VLOOKUP(MID($A35,5,1),Kanji_2_HanViet!$A:$C,2,FALSE)),"",VLOOKUP(MID($A35,5,1),Kanji_2_HanViet!$A:$C,2,FALSE))</f>
        <v>HOẠT</v>
      </c>
      <c r="H35" s="15" t="str">
        <f>IF(ISNA(VLOOKUP(MID($A35,6,1),Kanji_2_HanViet!$A:$C,2,FALSE)),"",VLOOKUP(MID($A35,6,1),Kanji_2_HanViet!$A:$C,2,FALSE))</f>
        <v/>
      </c>
      <c r="I35" s="15" t="str">
        <f>IF(ISNA(VLOOKUP(MID($A35,7,1),Kanji_2_HanViet!$A:$C,2,FALSE)),"",VLOOKUP(MID($A35,7,1),Kanji_2_HanViet!$A:$C,2,FALSE))</f>
        <v/>
      </c>
      <c r="J35" s="15" t="str">
        <f>IF(ISNA(VLOOKUP(MID($A35,8,1),Kanji_2_HanViet!$A:$C,2,FALSE)),"",VLOOKUP(MID($A35,8,1),Kanji_2_HanViet!$A:$C,2,FALSE))</f>
        <v/>
      </c>
      <c r="K35" s="15" t="str">
        <f>IF(ISNA(VLOOKUP(MID($A35,9,1),Kanji_2_HanViet!$A:$C,2,FALSE)),"",VLOOKUP(MID($A35,9,1),Kanji_2_HanViet!$A:$C,2,FALSE))</f>
        <v/>
      </c>
    </row>
    <row r="36" spans="1:11">
      <c r="A36" s="13" t="str">
        <f>Master!B42</f>
        <v>発想</v>
      </c>
      <c r="B36" s="16" t="str">
        <f t="shared" si="0"/>
        <v>PHÁT TƯỞNG</v>
      </c>
      <c r="C36" s="15" t="str">
        <f>IF(ISNA(VLOOKUP(MID($A36,1,1),Kanji_2_HanViet!$A:$C,2,FALSE)),"",VLOOKUP(MID($A36,1,1),Kanji_2_HanViet!$A:$C,2,FALSE))</f>
        <v>PHÁT</v>
      </c>
      <c r="D36" s="15" t="str">
        <f>IF(ISNA(VLOOKUP(MID($A36,2,1),Kanji_2_HanViet!$A:$C,2,FALSE)),"",VLOOKUP(MID($A36,2,1),Kanji_2_HanViet!$A:$C,2,FALSE))</f>
        <v>TƯỞNG</v>
      </c>
      <c r="E36" s="15" t="str">
        <f>IF(ISNA(VLOOKUP(MID($A36,3,1),Kanji_2_HanViet!$A:$C,2,FALSE)),"",VLOOKUP(MID($A36,3,1),Kanji_2_HanViet!$A:$C,2,FALSE))</f>
        <v/>
      </c>
      <c r="F36" s="15" t="str">
        <f>IF(ISNA(VLOOKUP(MID($A36,4,1),Kanji_2_HanViet!$A:$C,2,FALSE)),"",VLOOKUP(MID($A36,4,1),Kanji_2_HanViet!$A:$C,2,FALSE))</f>
        <v/>
      </c>
      <c r="G36" s="15" t="str">
        <f>IF(ISNA(VLOOKUP(MID($A36,5,1),Kanji_2_HanViet!$A:$C,2,FALSE)),"",VLOOKUP(MID($A36,5,1),Kanji_2_HanViet!$A:$C,2,FALSE))</f>
        <v/>
      </c>
      <c r="H36" s="15" t="str">
        <f>IF(ISNA(VLOOKUP(MID($A36,6,1),Kanji_2_HanViet!$A:$C,2,FALSE)),"",VLOOKUP(MID($A36,6,1),Kanji_2_HanViet!$A:$C,2,FALSE))</f>
        <v/>
      </c>
      <c r="I36" s="15" t="str">
        <f>IF(ISNA(VLOOKUP(MID($A36,7,1),Kanji_2_HanViet!$A:$C,2,FALSE)),"",VLOOKUP(MID($A36,7,1),Kanji_2_HanViet!$A:$C,2,FALSE))</f>
        <v/>
      </c>
      <c r="J36" s="15" t="str">
        <f>IF(ISNA(VLOOKUP(MID($A36,8,1),Kanji_2_HanViet!$A:$C,2,FALSE)),"",VLOOKUP(MID($A36,8,1),Kanji_2_HanViet!$A:$C,2,FALSE))</f>
        <v/>
      </c>
      <c r="K36" s="15" t="str">
        <f>IF(ISNA(VLOOKUP(MID($A36,9,1),Kanji_2_HanViet!$A:$C,2,FALSE)),"",VLOOKUP(MID($A36,9,1),Kanji_2_HanViet!$A:$C,2,FALSE))</f>
        <v/>
      </c>
    </row>
    <row r="37" spans="1:11">
      <c r="A37" s="13" t="str">
        <f>Master!B43</f>
        <v>似合う</v>
      </c>
      <c r="B37" s="16" t="str">
        <f t="shared" si="0"/>
        <v>TỰ HỢP/CÁP</v>
      </c>
      <c r="C37" s="15" t="str">
        <f>IF(ISNA(VLOOKUP(MID($A37,1,1),Kanji_2_HanViet!$A:$C,2,FALSE)),"",VLOOKUP(MID($A37,1,1),Kanji_2_HanViet!$A:$C,2,FALSE))</f>
        <v>TỰ</v>
      </c>
      <c r="D37" s="15" t="str">
        <f>IF(ISNA(VLOOKUP(MID($A37,2,1),Kanji_2_HanViet!$A:$C,2,FALSE)),"",VLOOKUP(MID($A37,2,1),Kanji_2_HanViet!$A:$C,2,FALSE))</f>
        <v>HỢP/CÁP</v>
      </c>
      <c r="E37" s="15" t="str">
        <f>IF(ISNA(VLOOKUP(MID($A37,3,1),Kanji_2_HanViet!$A:$C,2,FALSE)),"",VLOOKUP(MID($A37,3,1),Kanji_2_HanViet!$A:$C,2,FALSE))</f>
        <v/>
      </c>
      <c r="F37" s="15" t="str">
        <f>IF(ISNA(VLOOKUP(MID($A37,4,1),Kanji_2_HanViet!$A:$C,2,FALSE)),"",VLOOKUP(MID($A37,4,1),Kanji_2_HanViet!$A:$C,2,FALSE))</f>
        <v/>
      </c>
      <c r="G37" s="15" t="str">
        <f>IF(ISNA(VLOOKUP(MID($A37,5,1),Kanji_2_HanViet!$A:$C,2,FALSE)),"",VLOOKUP(MID($A37,5,1),Kanji_2_HanViet!$A:$C,2,FALSE))</f>
        <v/>
      </c>
      <c r="H37" s="15" t="str">
        <f>IF(ISNA(VLOOKUP(MID($A37,6,1),Kanji_2_HanViet!$A:$C,2,FALSE)),"",VLOOKUP(MID($A37,6,1),Kanji_2_HanViet!$A:$C,2,FALSE))</f>
        <v/>
      </c>
      <c r="I37" s="15" t="str">
        <f>IF(ISNA(VLOOKUP(MID($A37,7,1),Kanji_2_HanViet!$A:$C,2,FALSE)),"",VLOOKUP(MID($A37,7,1),Kanji_2_HanViet!$A:$C,2,FALSE))</f>
        <v/>
      </c>
      <c r="J37" s="15" t="str">
        <f>IF(ISNA(VLOOKUP(MID($A37,8,1),Kanji_2_HanViet!$A:$C,2,FALSE)),"",VLOOKUP(MID($A37,8,1),Kanji_2_HanViet!$A:$C,2,FALSE))</f>
        <v/>
      </c>
      <c r="K37" s="15" t="str">
        <f>IF(ISNA(VLOOKUP(MID($A37,9,1),Kanji_2_HanViet!$A:$C,2,FALSE)),"",VLOOKUP(MID($A37,9,1),Kanji_2_HanViet!$A:$C,2,FALSE))</f>
        <v/>
      </c>
    </row>
    <row r="38" spans="1:11">
      <c r="A38" s="13" t="str">
        <f>Master!B44</f>
        <v>不平等</v>
      </c>
      <c r="B38" s="16" t="str">
        <f t="shared" si="0"/>
        <v>BẤT BÌNH ĐẲNG</v>
      </c>
      <c r="C38" s="15" t="str">
        <f>IF(ISNA(VLOOKUP(MID($A38,1,1),Kanji_2_HanViet!$A:$C,2,FALSE)),"",VLOOKUP(MID($A38,1,1),Kanji_2_HanViet!$A:$C,2,FALSE))</f>
        <v>BẤT</v>
      </c>
      <c r="D38" s="15" t="str">
        <f>IF(ISNA(VLOOKUP(MID($A38,2,1),Kanji_2_HanViet!$A:$C,2,FALSE)),"",VLOOKUP(MID($A38,2,1),Kanji_2_HanViet!$A:$C,2,FALSE))</f>
        <v>BÌNH</v>
      </c>
      <c r="E38" s="15" t="str">
        <f>IF(ISNA(VLOOKUP(MID($A38,3,1),Kanji_2_HanViet!$A:$C,2,FALSE)),"",VLOOKUP(MID($A38,3,1),Kanji_2_HanViet!$A:$C,2,FALSE))</f>
        <v>ĐẲNG</v>
      </c>
      <c r="F38" s="15" t="str">
        <f>IF(ISNA(VLOOKUP(MID($A38,4,1),Kanji_2_HanViet!$A:$C,2,FALSE)),"",VLOOKUP(MID($A38,4,1),Kanji_2_HanViet!$A:$C,2,FALSE))</f>
        <v/>
      </c>
      <c r="G38" s="15" t="str">
        <f>IF(ISNA(VLOOKUP(MID($A38,5,1),Kanji_2_HanViet!$A:$C,2,FALSE)),"",VLOOKUP(MID($A38,5,1),Kanji_2_HanViet!$A:$C,2,FALSE))</f>
        <v/>
      </c>
      <c r="H38" s="15" t="str">
        <f>IF(ISNA(VLOOKUP(MID($A38,6,1),Kanji_2_HanViet!$A:$C,2,FALSE)),"",VLOOKUP(MID($A38,6,1),Kanji_2_HanViet!$A:$C,2,FALSE))</f>
        <v/>
      </c>
      <c r="I38" s="15" t="str">
        <f>IF(ISNA(VLOOKUP(MID($A38,7,1),Kanji_2_HanViet!$A:$C,2,FALSE)),"",VLOOKUP(MID($A38,7,1),Kanji_2_HanViet!$A:$C,2,FALSE))</f>
        <v/>
      </c>
      <c r="J38" s="15" t="str">
        <f>IF(ISNA(VLOOKUP(MID($A38,8,1),Kanji_2_HanViet!$A:$C,2,FALSE)),"",VLOOKUP(MID($A38,8,1),Kanji_2_HanViet!$A:$C,2,FALSE))</f>
        <v/>
      </c>
      <c r="K38" s="15" t="str">
        <f>IF(ISNA(VLOOKUP(MID($A38,9,1),Kanji_2_HanViet!$A:$C,2,FALSE)),"",VLOOKUP(MID($A38,9,1),Kanji_2_HanViet!$A:$C,2,FALSE))</f>
        <v/>
      </c>
    </row>
    <row r="39" spans="1:11">
      <c r="A39" s="13" t="str">
        <f>Master!B45</f>
        <v>強いる</v>
      </c>
      <c r="B39" s="16" t="str">
        <f t="shared" si="0"/>
        <v>CƯỜNG</v>
      </c>
      <c r="C39" s="15" t="str">
        <f>IF(ISNA(VLOOKUP(MID($A39,1,1),Kanji_2_HanViet!$A:$C,2,FALSE)),"",VLOOKUP(MID($A39,1,1),Kanji_2_HanViet!$A:$C,2,FALSE))</f>
        <v>CƯỜNG</v>
      </c>
      <c r="D39" s="15" t="str">
        <f>IF(ISNA(VLOOKUP(MID($A39,2,1),Kanji_2_HanViet!$A:$C,2,FALSE)),"",VLOOKUP(MID($A39,2,1),Kanji_2_HanViet!$A:$C,2,FALSE))</f>
        <v/>
      </c>
      <c r="E39" s="15" t="str">
        <f>IF(ISNA(VLOOKUP(MID($A39,3,1),Kanji_2_HanViet!$A:$C,2,FALSE)),"",VLOOKUP(MID($A39,3,1),Kanji_2_HanViet!$A:$C,2,FALSE))</f>
        <v/>
      </c>
      <c r="F39" s="15" t="str">
        <f>IF(ISNA(VLOOKUP(MID($A39,4,1),Kanji_2_HanViet!$A:$C,2,FALSE)),"",VLOOKUP(MID($A39,4,1),Kanji_2_HanViet!$A:$C,2,FALSE))</f>
        <v/>
      </c>
      <c r="G39" s="15" t="str">
        <f>IF(ISNA(VLOOKUP(MID($A39,5,1),Kanji_2_HanViet!$A:$C,2,FALSE)),"",VLOOKUP(MID($A39,5,1),Kanji_2_HanViet!$A:$C,2,FALSE))</f>
        <v/>
      </c>
      <c r="H39" s="15" t="str">
        <f>IF(ISNA(VLOOKUP(MID($A39,6,1),Kanji_2_HanViet!$A:$C,2,FALSE)),"",VLOOKUP(MID($A39,6,1),Kanji_2_HanViet!$A:$C,2,FALSE))</f>
        <v/>
      </c>
      <c r="I39" s="15" t="str">
        <f>IF(ISNA(VLOOKUP(MID($A39,7,1),Kanji_2_HanViet!$A:$C,2,FALSE)),"",VLOOKUP(MID($A39,7,1),Kanji_2_HanViet!$A:$C,2,FALSE))</f>
        <v/>
      </c>
      <c r="J39" s="15" t="str">
        <f>IF(ISNA(VLOOKUP(MID($A39,8,1),Kanji_2_HanViet!$A:$C,2,FALSE)),"",VLOOKUP(MID($A39,8,1),Kanji_2_HanViet!$A:$C,2,FALSE))</f>
        <v/>
      </c>
      <c r="K39" s="15" t="str">
        <f>IF(ISNA(VLOOKUP(MID($A39,9,1),Kanji_2_HanViet!$A:$C,2,FALSE)),"",VLOOKUP(MID($A39,9,1),Kanji_2_HanViet!$A:$C,2,FALSE))</f>
        <v/>
      </c>
    </row>
    <row r="40" spans="1:11">
      <c r="A40" s="13" t="str">
        <f>Master!B46</f>
        <v>利便性</v>
      </c>
      <c r="B40" s="16" t="str">
        <f t="shared" si="0"/>
        <v>LỢI TIỆN TÍNH/TÁNH</v>
      </c>
      <c r="C40" s="15" t="str">
        <f>IF(ISNA(VLOOKUP(MID($A40,1,1),Kanji_2_HanViet!$A:$C,2,FALSE)),"",VLOOKUP(MID($A40,1,1),Kanji_2_HanViet!$A:$C,2,FALSE))</f>
        <v>LỢI</v>
      </c>
      <c r="D40" s="15" t="str">
        <f>IF(ISNA(VLOOKUP(MID($A40,2,1),Kanji_2_HanViet!$A:$C,2,FALSE)),"",VLOOKUP(MID($A40,2,1),Kanji_2_HanViet!$A:$C,2,FALSE))</f>
        <v>TIỆN</v>
      </c>
      <c r="E40" s="15" t="str">
        <f>IF(ISNA(VLOOKUP(MID($A40,3,1),Kanji_2_HanViet!$A:$C,2,FALSE)),"",VLOOKUP(MID($A40,3,1),Kanji_2_HanViet!$A:$C,2,FALSE))</f>
        <v>TÍNH/TÁNH</v>
      </c>
      <c r="F40" s="15" t="str">
        <f>IF(ISNA(VLOOKUP(MID($A40,4,1),Kanji_2_HanViet!$A:$C,2,FALSE)),"",VLOOKUP(MID($A40,4,1),Kanji_2_HanViet!$A:$C,2,FALSE))</f>
        <v/>
      </c>
      <c r="G40" s="15" t="str">
        <f>IF(ISNA(VLOOKUP(MID($A40,5,1),Kanji_2_HanViet!$A:$C,2,FALSE)),"",VLOOKUP(MID($A40,5,1),Kanji_2_HanViet!$A:$C,2,FALSE))</f>
        <v/>
      </c>
      <c r="H40" s="15" t="str">
        <f>IF(ISNA(VLOOKUP(MID($A40,6,1),Kanji_2_HanViet!$A:$C,2,FALSE)),"",VLOOKUP(MID($A40,6,1),Kanji_2_HanViet!$A:$C,2,FALSE))</f>
        <v/>
      </c>
      <c r="I40" s="15" t="str">
        <f>IF(ISNA(VLOOKUP(MID($A40,7,1),Kanji_2_HanViet!$A:$C,2,FALSE)),"",VLOOKUP(MID($A40,7,1),Kanji_2_HanViet!$A:$C,2,FALSE))</f>
        <v/>
      </c>
      <c r="J40" s="15" t="str">
        <f>IF(ISNA(VLOOKUP(MID($A40,8,1),Kanji_2_HanViet!$A:$C,2,FALSE)),"",VLOOKUP(MID($A40,8,1),Kanji_2_HanViet!$A:$C,2,FALSE))</f>
        <v/>
      </c>
      <c r="K40" s="15" t="str">
        <f>IF(ISNA(VLOOKUP(MID($A40,9,1),Kanji_2_HanViet!$A:$C,2,FALSE)),"",VLOOKUP(MID($A40,9,1),Kanji_2_HanViet!$A:$C,2,FALSE))</f>
        <v/>
      </c>
    </row>
    <row r="41" spans="1:11">
      <c r="A41" s="13" t="str">
        <f>Master!B47</f>
        <v>保護する</v>
      </c>
      <c r="B41" s="16" t="str">
        <f t="shared" si="0"/>
        <v>BẢO HỘ</v>
      </c>
      <c r="C41" s="15" t="str">
        <f>IF(ISNA(VLOOKUP(MID($A41,1,1),Kanji_2_HanViet!$A:$C,2,FALSE)),"",VLOOKUP(MID($A41,1,1),Kanji_2_HanViet!$A:$C,2,FALSE))</f>
        <v>BẢO</v>
      </c>
      <c r="D41" s="15" t="str">
        <f>IF(ISNA(VLOOKUP(MID($A41,2,1),Kanji_2_HanViet!$A:$C,2,FALSE)),"",VLOOKUP(MID($A41,2,1),Kanji_2_HanViet!$A:$C,2,FALSE))</f>
        <v>HỘ</v>
      </c>
      <c r="E41" s="15" t="str">
        <f>IF(ISNA(VLOOKUP(MID($A41,3,1),Kanji_2_HanViet!$A:$C,2,FALSE)),"",VLOOKUP(MID($A41,3,1),Kanji_2_HanViet!$A:$C,2,FALSE))</f>
        <v/>
      </c>
      <c r="F41" s="15" t="str">
        <f>IF(ISNA(VLOOKUP(MID($A41,4,1),Kanji_2_HanViet!$A:$C,2,FALSE)),"",VLOOKUP(MID($A41,4,1),Kanji_2_HanViet!$A:$C,2,FALSE))</f>
        <v/>
      </c>
      <c r="G41" s="15" t="str">
        <f>IF(ISNA(VLOOKUP(MID($A41,5,1),Kanji_2_HanViet!$A:$C,2,FALSE)),"",VLOOKUP(MID($A41,5,1),Kanji_2_HanViet!$A:$C,2,FALSE))</f>
        <v/>
      </c>
      <c r="H41" s="15" t="str">
        <f>IF(ISNA(VLOOKUP(MID($A41,6,1),Kanji_2_HanViet!$A:$C,2,FALSE)),"",VLOOKUP(MID($A41,6,1),Kanji_2_HanViet!$A:$C,2,FALSE))</f>
        <v/>
      </c>
      <c r="I41" s="15" t="str">
        <f>IF(ISNA(VLOOKUP(MID($A41,7,1),Kanji_2_HanViet!$A:$C,2,FALSE)),"",VLOOKUP(MID($A41,7,1),Kanji_2_HanViet!$A:$C,2,FALSE))</f>
        <v/>
      </c>
      <c r="J41" s="15" t="str">
        <f>IF(ISNA(VLOOKUP(MID($A41,8,1),Kanji_2_HanViet!$A:$C,2,FALSE)),"",VLOOKUP(MID($A41,8,1),Kanji_2_HanViet!$A:$C,2,FALSE))</f>
        <v/>
      </c>
      <c r="K41" s="15" t="str">
        <f>IF(ISNA(VLOOKUP(MID($A41,9,1),Kanji_2_HanViet!$A:$C,2,FALSE)),"",VLOOKUP(MID($A41,9,1),Kanji_2_HanViet!$A:$C,2,FALSE))</f>
        <v/>
      </c>
    </row>
    <row r="42" spans="1:11">
      <c r="A42" s="13" t="str">
        <f>Master!B48</f>
        <v>精神性</v>
      </c>
      <c r="B42" s="16" t="str">
        <f t="shared" si="0"/>
        <v>TINH THẦN TÍNH/TÁNH</v>
      </c>
      <c r="C42" s="15" t="str">
        <f>IF(ISNA(VLOOKUP(MID($A42,1,1),Kanji_2_HanViet!$A:$C,2,FALSE)),"",VLOOKUP(MID($A42,1,1),Kanji_2_HanViet!$A:$C,2,FALSE))</f>
        <v>TINH</v>
      </c>
      <c r="D42" s="15" t="str">
        <f>IF(ISNA(VLOOKUP(MID($A42,2,1),Kanji_2_HanViet!$A:$C,2,FALSE)),"",VLOOKUP(MID($A42,2,1),Kanji_2_HanViet!$A:$C,2,FALSE))</f>
        <v>THẦN</v>
      </c>
      <c r="E42" s="15" t="str">
        <f>IF(ISNA(VLOOKUP(MID($A42,3,1),Kanji_2_HanViet!$A:$C,2,FALSE)),"",VLOOKUP(MID($A42,3,1),Kanji_2_HanViet!$A:$C,2,FALSE))</f>
        <v>TÍNH/TÁNH</v>
      </c>
      <c r="F42" s="15" t="str">
        <f>IF(ISNA(VLOOKUP(MID($A42,4,1),Kanji_2_HanViet!$A:$C,2,FALSE)),"",VLOOKUP(MID($A42,4,1),Kanji_2_HanViet!$A:$C,2,FALSE))</f>
        <v/>
      </c>
      <c r="G42" s="15" t="str">
        <f>IF(ISNA(VLOOKUP(MID($A42,5,1),Kanji_2_HanViet!$A:$C,2,FALSE)),"",VLOOKUP(MID($A42,5,1),Kanji_2_HanViet!$A:$C,2,FALSE))</f>
        <v/>
      </c>
      <c r="H42" s="15" t="str">
        <f>IF(ISNA(VLOOKUP(MID($A42,6,1),Kanji_2_HanViet!$A:$C,2,FALSE)),"",VLOOKUP(MID($A42,6,1),Kanji_2_HanViet!$A:$C,2,FALSE))</f>
        <v/>
      </c>
      <c r="I42" s="15" t="str">
        <f>IF(ISNA(VLOOKUP(MID($A42,7,1),Kanji_2_HanViet!$A:$C,2,FALSE)),"",VLOOKUP(MID($A42,7,1),Kanji_2_HanViet!$A:$C,2,FALSE))</f>
        <v/>
      </c>
      <c r="J42" s="15" t="str">
        <f>IF(ISNA(VLOOKUP(MID($A42,8,1),Kanji_2_HanViet!$A:$C,2,FALSE)),"",VLOOKUP(MID($A42,8,1),Kanji_2_HanViet!$A:$C,2,FALSE))</f>
        <v/>
      </c>
      <c r="K42" s="15" t="str">
        <f>IF(ISNA(VLOOKUP(MID($A42,9,1),Kanji_2_HanViet!$A:$C,2,FALSE)),"",VLOOKUP(MID($A42,9,1),Kanji_2_HanViet!$A:$C,2,FALSE))</f>
        <v/>
      </c>
    </row>
    <row r="43" spans="1:11">
      <c r="A43" s="13" t="str">
        <f>Master!B49</f>
        <v>自覚</v>
      </c>
      <c r="B43" s="16" t="str">
        <f t="shared" si="0"/>
        <v>TỰ GIÁC</v>
      </c>
      <c r="C43" s="15" t="str">
        <f>IF(ISNA(VLOOKUP(MID($A43,1,1),Kanji_2_HanViet!$A:$C,2,FALSE)),"",VLOOKUP(MID($A43,1,1),Kanji_2_HanViet!$A:$C,2,FALSE))</f>
        <v>TỰ</v>
      </c>
      <c r="D43" s="15" t="str">
        <f>IF(ISNA(VLOOKUP(MID($A43,2,1),Kanji_2_HanViet!$A:$C,2,FALSE)),"",VLOOKUP(MID($A43,2,1),Kanji_2_HanViet!$A:$C,2,FALSE))</f>
        <v>GIÁC</v>
      </c>
      <c r="E43" s="15" t="str">
        <f>IF(ISNA(VLOOKUP(MID($A43,3,1),Kanji_2_HanViet!$A:$C,2,FALSE)),"",VLOOKUP(MID($A43,3,1),Kanji_2_HanViet!$A:$C,2,FALSE))</f>
        <v/>
      </c>
      <c r="F43" s="15" t="str">
        <f>IF(ISNA(VLOOKUP(MID($A43,4,1),Kanji_2_HanViet!$A:$C,2,FALSE)),"",VLOOKUP(MID($A43,4,1),Kanji_2_HanViet!$A:$C,2,FALSE))</f>
        <v/>
      </c>
      <c r="G43" s="15" t="str">
        <f>IF(ISNA(VLOOKUP(MID($A43,5,1),Kanji_2_HanViet!$A:$C,2,FALSE)),"",VLOOKUP(MID($A43,5,1),Kanji_2_HanViet!$A:$C,2,FALSE))</f>
        <v/>
      </c>
      <c r="H43" s="15" t="str">
        <f>IF(ISNA(VLOOKUP(MID($A43,6,1),Kanji_2_HanViet!$A:$C,2,FALSE)),"",VLOOKUP(MID($A43,6,1),Kanji_2_HanViet!$A:$C,2,FALSE))</f>
        <v/>
      </c>
      <c r="I43" s="15" t="str">
        <f>IF(ISNA(VLOOKUP(MID($A43,7,1),Kanji_2_HanViet!$A:$C,2,FALSE)),"",VLOOKUP(MID($A43,7,1),Kanji_2_HanViet!$A:$C,2,FALSE))</f>
        <v/>
      </c>
      <c r="J43" s="15" t="str">
        <f>IF(ISNA(VLOOKUP(MID($A43,8,1),Kanji_2_HanViet!$A:$C,2,FALSE)),"",VLOOKUP(MID($A43,8,1),Kanji_2_HanViet!$A:$C,2,FALSE))</f>
        <v/>
      </c>
      <c r="K43" s="15" t="str">
        <f>IF(ISNA(VLOOKUP(MID($A43,9,1),Kanji_2_HanViet!$A:$C,2,FALSE)),"",VLOOKUP(MID($A43,9,1),Kanji_2_HanViet!$A:$C,2,FALSE))</f>
        <v/>
      </c>
    </row>
    <row r="44" spans="1:11">
      <c r="A44" s="13" t="str">
        <f>Master!B50</f>
        <v>高まる</v>
      </c>
      <c r="B44" s="16" t="str">
        <f t="shared" si="0"/>
        <v>CAO</v>
      </c>
      <c r="C44" s="15" t="str">
        <f>IF(ISNA(VLOOKUP(MID($A44,1,1),Kanji_2_HanViet!$A:$C,2,FALSE)),"",VLOOKUP(MID($A44,1,1),Kanji_2_HanViet!$A:$C,2,FALSE))</f>
        <v>CAO</v>
      </c>
      <c r="D44" s="15" t="str">
        <f>IF(ISNA(VLOOKUP(MID($A44,2,1),Kanji_2_HanViet!$A:$C,2,FALSE)),"",VLOOKUP(MID($A44,2,1),Kanji_2_HanViet!$A:$C,2,FALSE))</f>
        <v/>
      </c>
      <c r="E44" s="15" t="str">
        <f>IF(ISNA(VLOOKUP(MID($A44,3,1),Kanji_2_HanViet!$A:$C,2,FALSE)),"",VLOOKUP(MID($A44,3,1),Kanji_2_HanViet!$A:$C,2,FALSE))</f>
        <v/>
      </c>
      <c r="F44" s="15" t="str">
        <f>IF(ISNA(VLOOKUP(MID($A44,4,1),Kanji_2_HanViet!$A:$C,2,FALSE)),"",VLOOKUP(MID($A44,4,1),Kanji_2_HanViet!$A:$C,2,FALSE))</f>
        <v/>
      </c>
      <c r="G44" s="15" t="str">
        <f>IF(ISNA(VLOOKUP(MID($A44,5,1),Kanji_2_HanViet!$A:$C,2,FALSE)),"",VLOOKUP(MID($A44,5,1),Kanji_2_HanViet!$A:$C,2,FALSE))</f>
        <v/>
      </c>
      <c r="H44" s="15" t="str">
        <f>IF(ISNA(VLOOKUP(MID($A44,6,1),Kanji_2_HanViet!$A:$C,2,FALSE)),"",VLOOKUP(MID($A44,6,1),Kanji_2_HanViet!$A:$C,2,FALSE))</f>
        <v/>
      </c>
      <c r="I44" s="15" t="str">
        <f>IF(ISNA(VLOOKUP(MID($A44,7,1),Kanji_2_HanViet!$A:$C,2,FALSE)),"",VLOOKUP(MID($A44,7,1),Kanji_2_HanViet!$A:$C,2,FALSE))</f>
        <v/>
      </c>
      <c r="J44" s="15" t="str">
        <f>IF(ISNA(VLOOKUP(MID($A44,8,1),Kanji_2_HanViet!$A:$C,2,FALSE)),"",VLOOKUP(MID($A44,8,1),Kanji_2_HanViet!$A:$C,2,FALSE))</f>
        <v/>
      </c>
      <c r="K44" s="15" t="str">
        <f>IF(ISNA(VLOOKUP(MID($A44,9,1),Kanji_2_HanViet!$A:$C,2,FALSE)),"",VLOOKUP(MID($A44,9,1),Kanji_2_HanViet!$A:$C,2,FALSE))</f>
        <v/>
      </c>
    </row>
    <row r="45" spans="1:11">
      <c r="A45" s="13" t="str">
        <f>Master!B51</f>
        <v>勉学</v>
      </c>
      <c r="B45" s="16" t="str">
        <f t="shared" si="0"/>
        <v>MIỄN HỌC</v>
      </c>
      <c r="C45" s="15" t="str">
        <f>IF(ISNA(VLOOKUP(MID($A45,1,1),Kanji_2_HanViet!$A:$C,2,FALSE)),"",VLOOKUP(MID($A45,1,1),Kanji_2_HanViet!$A:$C,2,FALSE))</f>
        <v>MIỄN</v>
      </c>
      <c r="D45" s="15" t="str">
        <f>IF(ISNA(VLOOKUP(MID($A45,2,1),Kanji_2_HanViet!$A:$C,2,FALSE)),"",VLOOKUP(MID($A45,2,1),Kanji_2_HanViet!$A:$C,2,FALSE))</f>
        <v>HỌC</v>
      </c>
      <c r="E45" s="15" t="str">
        <f>IF(ISNA(VLOOKUP(MID($A45,3,1),Kanji_2_HanViet!$A:$C,2,FALSE)),"",VLOOKUP(MID($A45,3,1),Kanji_2_HanViet!$A:$C,2,FALSE))</f>
        <v/>
      </c>
      <c r="F45" s="15" t="str">
        <f>IF(ISNA(VLOOKUP(MID($A45,4,1),Kanji_2_HanViet!$A:$C,2,FALSE)),"",VLOOKUP(MID($A45,4,1),Kanji_2_HanViet!$A:$C,2,FALSE))</f>
        <v/>
      </c>
      <c r="G45" s="15" t="str">
        <f>IF(ISNA(VLOOKUP(MID($A45,5,1),Kanji_2_HanViet!$A:$C,2,FALSE)),"",VLOOKUP(MID($A45,5,1),Kanji_2_HanViet!$A:$C,2,FALSE))</f>
        <v/>
      </c>
      <c r="H45" s="15" t="str">
        <f>IF(ISNA(VLOOKUP(MID($A45,6,1),Kanji_2_HanViet!$A:$C,2,FALSE)),"",VLOOKUP(MID($A45,6,1),Kanji_2_HanViet!$A:$C,2,FALSE))</f>
        <v/>
      </c>
      <c r="I45" s="15" t="str">
        <f>IF(ISNA(VLOOKUP(MID($A45,7,1),Kanji_2_HanViet!$A:$C,2,FALSE)),"",VLOOKUP(MID($A45,7,1),Kanji_2_HanViet!$A:$C,2,FALSE))</f>
        <v/>
      </c>
      <c r="J45" s="15" t="str">
        <f>IF(ISNA(VLOOKUP(MID($A45,8,1),Kanji_2_HanViet!$A:$C,2,FALSE)),"",VLOOKUP(MID($A45,8,1),Kanji_2_HanViet!$A:$C,2,FALSE))</f>
        <v/>
      </c>
      <c r="K45" s="15" t="str">
        <f>IF(ISNA(VLOOKUP(MID($A45,9,1),Kanji_2_HanViet!$A:$C,2,FALSE)),"",VLOOKUP(MID($A45,9,1),Kanji_2_HanViet!$A:$C,2,FALSE))</f>
        <v/>
      </c>
    </row>
    <row r="46" spans="1:11">
      <c r="A46" s="13" t="str">
        <f>Master!B52</f>
        <v>集中する</v>
      </c>
      <c r="B46" s="16" t="str">
        <f t="shared" si="0"/>
        <v>TẬP TRUNG</v>
      </c>
      <c r="C46" s="15" t="str">
        <f>IF(ISNA(VLOOKUP(MID($A46,1,1),Kanji_2_HanViet!$A:$C,2,FALSE)),"",VLOOKUP(MID($A46,1,1),Kanji_2_HanViet!$A:$C,2,FALSE))</f>
        <v>TẬP</v>
      </c>
      <c r="D46" s="15" t="str">
        <f>IF(ISNA(VLOOKUP(MID($A46,2,1),Kanji_2_HanViet!$A:$C,2,FALSE)),"",VLOOKUP(MID($A46,2,1),Kanji_2_HanViet!$A:$C,2,FALSE))</f>
        <v>TRUNG</v>
      </c>
      <c r="E46" s="15" t="str">
        <f>IF(ISNA(VLOOKUP(MID($A46,3,1),Kanji_2_HanViet!$A:$C,2,FALSE)),"",VLOOKUP(MID($A46,3,1),Kanji_2_HanViet!$A:$C,2,FALSE))</f>
        <v/>
      </c>
      <c r="F46" s="15" t="str">
        <f>IF(ISNA(VLOOKUP(MID($A46,4,1),Kanji_2_HanViet!$A:$C,2,FALSE)),"",VLOOKUP(MID($A46,4,1),Kanji_2_HanViet!$A:$C,2,FALSE))</f>
        <v/>
      </c>
      <c r="G46" s="15" t="str">
        <f>IF(ISNA(VLOOKUP(MID($A46,5,1),Kanji_2_HanViet!$A:$C,2,FALSE)),"",VLOOKUP(MID($A46,5,1),Kanji_2_HanViet!$A:$C,2,FALSE))</f>
        <v/>
      </c>
      <c r="H46" s="15" t="str">
        <f>IF(ISNA(VLOOKUP(MID($A46,6,1),Kanji_2_HanViet!$A:$C,2,FALSE)),"",VLOOKUP(MID($A46,6,1),Kanji_2_HanViet!$A:$C,2,FALSE))</f>
        <v/>
      </c>
      <c r="I46" s="15" t="str">
        <f>IF(ISNA(VLOOKUP(MID($A46,7,1),Kanji_2_HanViet!$A:$C,2,FALSE)),"",VLOOKUP(MID($A46,7,1),Kanji_2_HanViet!$A:$C,2,FALSE))</f>
        <v/>
      </c>
      <c r="J46" s="15" t="str">
        <f>IF(ISNA(VLOOKUP(MID($A46,8,1),Kanji_2_HanViet!$A:$C,2,FALSE)),"",VLOOKUP(MID($A46,8,1),Kanji_2_HanViet!$A:$C,2,FALSE))</f>
        <v/>
      </c>
      <c r="K46" s="15" t="str">
        <f>IF(ISNA(VLOOKUP(MID($A46,9,1),Kanji_2_HanViet!$A:$C,2,FALSE)),"",VLOOKUP(MID($A46,9,1),Kanji_2_HanViet!$A:$C,2,FALSE))</f>
        <v/>
      </c>
    </row>
    <row r="47" spans="1:11">
      <c r="A47" s="13" t="str">
        <f>Master!B53</f>
        <v>集団（～活動）</v>
      </c>
      <c r="B47" s="16" t="str">
        <f t="shared" si="0"/>
        <v>TẬP ĐOÀN HOẠT ĐỘNG</v>
      </c>
      <c r="C47" s="15" t="str">
        <f>IF(ISNA(VLOOKUP(MID($A47,1,1),Kanji_2_HanViet!$A:$C,2,FALSE)),"",VLOOKUP(MID($A47,1,1),Kanji_2_HanViet!$A:$C,2,FALSE))</f>
        <v>TẬP</v>
      </c>
      <c r="D47" s="15" t="str">
        <f>IF(ISNA(VLOOKUP(MID($A47,2,1),Kanji_2_HanViet!$A:$C,2,FALSE)),"",VLOOKUP(MID($A47,2,1),Kanji_2_HanViet!$A:$C,2,FALSE))</f>
        <v>ĐOÀN</v>
      </c>
      <c r="E47" s="15" t="str">
        <f>IF(ISNA(VLOOKUP(MID($A47,3,1),Kanji_2_HanViet!$A:$C,2,FALSE)),"",VLOOKUP(MID($A47,3,1),Kanji_2_HanViet!$A:$C,2,FALSE))</f>
        <v/>
      </c>
      <c r="F47" s="15" t="str">
        <f>IF(ISNA(VLOOKUP(MID($A47,4,1),Kanji_2_HanViet!$A:$C,2,FALSE)),"",VLOOKUP(MID($A47,4,1),Kanji_2_HanViet!$A:$C,2,FALSE))</f>
        <v/>
      </c>
      <c r="G47" s="15" t="str">
        <f>IF(ISNA(VLOOKUP(MID($A47,5,1),Kanji_2_HanViet!$A:$C,2,FALSE)),"",VLOOKUP(MID($A47,5,1),Kanji_2_HanViet!$A:$C,2,FALSE))</f>
        <v>HOẠT</v>
      </c>
      <c r="H47" s="15" t="str">
        <f>IF(ISNA(VLOOKUP(MID($A47,6,1),Kanji_2_HanViet!$A:$C,2,FALSE)),"",VLOOKUP(MID($A47,6,1),Kanji_2_HanViet!$A:$C,2,FALSE))</f>
        <v>ĐỘNG</v>
      </c>
      <c r="I47" s="15" t="str">
        <f>IF(ISNA(VLOOKUP(MID($A47,7,1),Kanji_2_HanViet!$A:$C,2,FALSE)),"",VLOOKUP(MID($A47,7,1),Kanji_2_HanViet!$A:$C,2,FALSE))</f>
        <v/>
      </c>
      <c r="J47" s="15" t="str">
        <f>IF(ISNA(VLOOKUP(MID($A47,8,1),Kanji_2_HanViet!$A:$C,2,FALSE)),"",VLOOKUP(MID($A47,8,1),Kanji_2_HanViet!$A:$C,2,FALSE))</f>
        <v/>
      </c>
      <c r="K47" s="15" t="str">
        <f>IF(ISNA(VLOOKUP(MID($A47,9,1),Kanji_2_HanViet!$A:$C,2,FALSE)),"",VLOOKUP(MID($A47,9,1),Kanji_2_HanViet!$A:$C,2,FALSE))</f>
        <v/>
      </c>
    </row>
    <row r="48" spans="1:11">
      <c r="A48" s="13" t="str">
        <f>Master!B54</f>
        <v>すべて</v>
      </c>
      <c r="B48" s="16" t="str">
        <f t="shared" si="0"/>
        <v/>
      </c>
      <c r="C48" s="15" t="str">
        <f>IF(ISNA(VLOOKUP(MID($A48,1,1),Kanji_2_HanViet!$A:$C,2,FALSE)),"",VLOOKUP(MID($A48,1,1),Kanji_2_HanViet!$A:$C,2,FALSE))</f>
        <v/>
      </c>
      <c r="D48" s="15" t="str">
        <f>IF(ISNA(VLOOKUP(MID($A48,2,1),Kanji_2_HanViet!$A:$C,2,FALSE)),"",VLOOKUP(MID($A48,2,1),Kanji_2_HanViet!$A:$C,2,FALSE))</f>
        <v/>
      </c>
      <c r="E48" s="15" t="str">
        <f>IF(ISNA(VLOOKUP(MID($A48,3,1),Kanji_2_HanViet!$A:$C,2,FALSE)),"",VLOOKUP(MID($A48,3,1),Kanji_2_HanViet!$A:$C,2,FALSE))</f>
        <v/>
      </c>
      <c r="F48" s="15" t="str">
        <f>IF(ISNA(VLOOKUP(MID($A48,4,1),Kanji_2_HanViet!$A:$C,2,FALSE)),"",VLOOKUP(MID($A48,4,1),Kanji_2_HanViet!$A:$C,2,FALSE))</f>
        <v/>
      </c>
      <c r="G48" s="15" t="str">
        <f>IF(ISNA(VLOOKUP(MID($A48,5,1),Kanji_2_HanViet!$A:$C,2,FALSE)),"",VLOOKUP(MID($A48,5,1),Kanji_2_HanViet!$A:$C,2,FALSE))</f>
        <v/>
      </c>
      <c r="H48" s="15" t="str">
        <f>IF(ISNA(VLOOKUP(MID($A48,6,1),Kanji_2_HanViet!$A:$C,2,FALSE)),"",VLOOKUP(MID($A48,6,1),Kanji_2_HanViet!$A:$C,2,FALSE))</f>
        <v/>
      </c>
      <c r="I48" s="15" t="str">
        <f>IF(ISNA(VLOOKUP(MID($A48,7,1),Kanji_2_HanViet!$A:$C,2,FALSE)),"",VLOOKUP(MID($A48,7,1),Kanji_2_HanViet!$A:$C,2,FALSE))</f>
        <v/>
      </c>
      <c r="J48" s="15" t="str">
        <f>IF(ISNA(VLOOKUP(MID($A48,8,1),Kanji_2_HanViet!$A:$C,2,FALSE)),"",VLOOKUP(MID($A48,8,1),Kanji_2_HanViet!$A:$C,2,FALSE))</f>
        <v/>
      </c>
      <c r="K48" s="15" t="str">
        <f>IF(ISNA(VLOOKUP(MID($A48,9,1),Kanji_2_HanViet!$A:$C,2,FALSE)),"",VLOOKUP(MID($A48,9,1),Kanji_2_HanViet!$A:$C,2,FALSE))</f>
        <v/>
      </c>
    </row>
    <row r="49" spans="1:11">
      <c r="A49" s="13" t="str">
        <f>Master!B55</f>
        <v>効果的</v>
      </c>
      <c r="B49" s="16" t="str">
        <f t="shared" si="0"/>
        <v>HIỆU QUẢ ĐÍCH</v>
      </c>
      <c r="C49" s="15" t="str">
        <f>IF(ISNA(VLOOKUP(MID($A49,1,1),Kanji_2_HanViet!$A:$C,2,FALSE)),"",VLOOKUP(MID($A49,1,1),Kanji_2_HanViet!$A:$C,2,FALSE))</f>
        <v>HIỆU</v>
      </c>
      <c r="D49" s="15" t="str">
        <f>IF(ISNA(VLOOKUP(MID($A49,2,1),Kanji_2_HanViet!$A:$C,2,FALSE)),"",VLOOKUP(MID($A49,2,1),Kanji_2_HanViet!$A:$C,2,FALSE))</f>
        <v>QUẢ</v>
      </c>
      <c r="E49" s="15" t="str">
        <f>IF(ISNA(VLOOKUP(MID($A49,3,1),Kanji_2_HanViet!$A:$C,2,FALSE)),"",VLOOKUP(MID($A49,3,1),Kanji_2_HanViet!$A:$C,2,FALSE))</f>
        <v>ĐÍCH</v>
      </c>
      <c r="F49" s="15" t="str">
        <f>IF(ISNA(VLOOKUP(MID($A49,4,1),Kanji_2_HanViet!$A:$C,2,FALSE)),"",VLOOKUP(MID($A49,4,1),Kanji_2_HanViet!$A:$C,2,FALSE))</f>
        <v/>
      </c>
      <c r="G49" s="15" t="str">
        <f>IF(ISNA(VLOOKUP(MID($A49,5,1),Kanji_2_HanViet!$A:$C,2,FALSE)),"",VLOOKUP(MID($A49,5,1),Kanji_2_HanViet!$A:$C,2,FALSE))</f>
        <v/>
      </c>
      <c r="H49" s="15" t="str">
        <f>IF(ISNA(VLOOKUP(MID($A49,6,1),Kanji_2_HanViet!$A:$C,2,FALSE)),"",VLOOKUP(MID($A49,6,1),Kanji_2_HanViet!$A:$C,2,FALSE))</f>
        <v/>
      </c>
      <c r="I49" s="15" t="str">
        <f>IF(ISNA(VLOOKUP(MID($A49,7,1),Kanji_2_HanViet!$A:$C,2,FALSE)),"",VLOOKUP(MID($A49,7,1),Kanji_2_HanViet!$A:$C,2,FALSE))</f>
        <v/>
      </c>
      <c r="J49" s="15" t="str">
        <f>IF(ISNA(VLOOKUP(MID($A49,8,1),Kanji_2_HanViet!$A:$C,2,FALSE)),"",VLOOKUP(MID($A49,8,1),Kanji_2_HanViet!$A:$C,2,FALSE))</f>
        <v/>
      </c>
      <c r="K49" s="15" t="str">
        <f>IF(ISNA(VLOOKUP(MID($A49,9,1),Kanji_2_HanViet!$A:$C,2,FALSE)),"",VLOOKUP(MID($A49,9,1),Kanji_2_HanViet!$A:$C,2,FALSE))</f>
        <v/>
      </c>
    </row>
    <row r="50" spans="1:11">
      <c r="A50" s="13" t="str">
        <f>Master!B56</f>
        <v>自主性</v>
      </c>
      <c r="B50" s="16" t="str">
        <f t="shared" si="0"/>
        <v>TỰ CHỦ TÍNH/TÁNH</v>
      </c>
      <c r="C50" s="15" t="str">
        <f>IF(ISNA(VLOOKUP(MID($A50,1,1),Kanji_2_HanViet!$A:$C,2,FALSE)),"",VLOOKUP(MID($A50,1,1),Kanji_2_HanViet!$A:$C,2,FALSE))</f>
        <v>TỰ</v>
      </c>
      <c r="D50" s="15" t="str">
        <f>IF(ISNA(VLOOKUP(MID($A50,2,1),Kanji_2_HanViet!$A:$C,2,FALSE)),"",VLOOKUP(MID($A50,2,1),Kanji_2_HanViet!$A:$C,2,FALSE))</f>
        <v>CHỦ</v>
      </c>
      <c r="E50" s="15" t="str">
        <f>IF(ISNA(VLOOKUP(MID($A50,3,1),Kanji_2_HanViet!$A:$C,2,FALSE)),"",VLOOKUP(MID($A50,3,1),Kanji_2_HanViet!$A:$C,2,FALSE))</f>
        <v>TÍNH/TÁNH</v>
      </c>
      <c r="F50" s="15" t="str">
        <f>IF(ISNA(VLOOKUP(MID($A50,4,1),Kanji_2_HanViet!$A:$C,2,FALSE)),"",VLOOKUP(MID($A50,4,1),Kanji_2_HanViet!$A:$C,2,FALSE))</f>
        <v/>
      </c>
      <c r="G50" s="15" t="str">
        <f>IF(ISNA(VLOOKUP(MID($A50,5,1),Kanji_2_HanViet!$A:$C,2,FALSE)),"",VLOOKUP(MID($A50,5,1),Kanji_2_HanViet!$A:$C,2,FALSE))</f>
        <v/>
      </c>
      <c r="H50" s="15" t="str">
        <f>IF(ISNA(VLOOKUP(MID($A50,6,1),Kanji_2_HanViet!$A:$C,2,FALSE)),"",VLOOKUP(MID($A50,6,1),Kanji_2_HanViet!$A:$C,2,FALSE))</f>
        <v/>
      </c>
      <c r="I50" s="15" t="str">
        <f>IF(ISNA(VLOOKUP(MID($A50,7,1),Kanji_2_HanViet!$A:$C,2,FALSE)),"",VLOOKUP(MID($A50,7,1),Kanji_2_HanViet!$A:$C,2,FALSE))</f>
        <v/>
      </c>
      <c r="J50" s="15" t="str">
        <f>IF(ISNA(VLOOKUP(MID($A50,8,1),Kanji_2_HanViet!$A:$C,2,FALSE)),"",VLOOKUP(MID($A50,8,1),Kanji_2_HanViet!$A:$C,2,FALSE))</f>
        <v/>
      </c>
      <c r="K50" s="15" t="str">
        <f>IF(ISNA(VLOOKUP(MID($A50,9,1),Kanji_2_HanViet!$A:$C,2,FALSE)),"",VLOOKUP(MID($A50,9,1),Kanji_2_HanViet!$A:$C,2,FALSE))</f>
        <v/>
      </c>
    </row>
    <row r="51" spans="1:11">
      <c r="A51" s="13" t="str">
        <f>Master!B57</f>
        <v>芽</v>
      </c>
      <c r="B51" s="16" t="str">
        <f t="shared" si="0"/>
        <v>NHA</v>
      </c>
      <c r="C51" s="15" t="str">
        <f>IF(ISNA(VLOOKUP(MID($A51,1,1),Kanji_2_HanViet!$A:$C,2,FALSE)),"",VLOOKUP(MID($A51,1,1),Kanji_2_HanViet!$A:$C,2,FALSE))</f>
        <v>NHA</v>
      </c>
      <c r="D51" s="15" t="str">
        <f>IF(ISNA(VLOOKUP(MID($A51,2,1),Kanji_2_HanViet!$A:$C,2,FALSE)),"",VLOOKUP(MID($A51,2,1),Kanji_2_HanViet!$A:$C,2,FALSE))</f>
        <v/>
      </c>
      <c r="E51" s="15" t="str">
        <f>IF(ISNA(VLOOKUP(MID($A51,3,1),Kanji_2_HanViet!$A:$C,2,FALSE)),"",VLOOKUP(MID($A51,3,1),Kanji_2_HanViet!$A:$C,2,FALSE))</f>
        <v/>
      </c>
      <c r="F51" s="15" t="str">
        <f>IF(ISNA(VLOOKUP(MID($A51,4,1),Kanji_2_HanViet!$A:$C,2,FALSE)),"",VLOOKUP(MID($A51,4,1),Kanji_2_HanViet!$A:$C,2,FALSE))</f>
        <v/>
      </c>
      <c r="G51" s="15" t="str">
        <f>IF(ISNA(VLOOKUP(MID($A51,5,1),Kanji_2_HanViet!$A:$C,2,FALSE)),"",VLOOKUP(MID($A51,5,1),Kanji_2_HanViet!$A:$C,2,FALSE))</f>
        <v/>
      </c>
      <c r="H51" s="15" t="str">
        <f>IF(ISNA(VLOOKUP(MID($A51,6,1),Kanji_2_HanViet!$A:$C,2,FALSE)),"",VLOOKUP(MID($A51,6,1),Kanji_2_HanViet!$A:$C,2,FALSE))</f>
        <v/>
      </c>
      <c r="I51" s="15" t="str">
        <f>IF(ISNA(VLOOKUP(MID($A51,7,1),Kanji_2_HanViet!$A:$C,2,FALSE)),"",VLOOKUP(MID($A51,7,1),Kanji_2_HanViet!$A:$C,2,FALSE))</f>
        <v/>
      </c>
      <c r="J51" s="15" t="str">
        <f>IF(ISNA(VLOOKUP(MID($A51,8,1),Kanji_2_HanViet!$A:$C,2,FALSE)),"",VLOOKUP(MID($A51,8,1),Kanji_2_HanViet!$A:$C,2,FALSE))</f>
        <v/>
      </c>
      <c r="K51" s="15" t="str">
        <f>IF(ISNA(VLOOKUP(MID($A51,9,1),Kanji_2_HanViet!$A:$C,2,FALSE)),"",VLOOKUP(MID($A51,9,1),Kanji_2_HanViet!$A:$C,2,FALSE))</f>
        <v/>
      </c>
    </row>
    <row r="52" spans="1:11">
      <c r="A52" s="13" t="str">
        <f>Master!B58</f>
        <v>管理する</v>
      </c>
      <c r="B52" s="16" t="str">
        <f t="shared" si="0"/>
        <v>QUẢN LÝ</v>
      </c>
      <c r="C52" s="15" t="str">
        <f>IF(ISNA(VLOOKUP(MID($A52,1,1),Kanji_2_HanViet!$A:$C,2,FALSE)),"",VLOOKUP(MID($A52,1,1),Kanji_2_HanViet!$A:$C,2,FALSE))</f>
        <v>QUẢN</v>
      </c>
      <c r="D52" s="15" t="str">
        <f>IF(ISNA(VLOOKUP(MID($A52,2,1),Kanji_2_HanViet!$A:$C,2,FALSE)),"",VLOOKUP(MID($A52,2,1),Kanji_2_HanViet!$A:$C,2,FALSE))</f>
        <v>LÝ</v>
      </c>
      <c r="E52" s="15" t="str">
        <f>IF(ISNA(VLOOKUP(MID($A52,3,1),Kanji_2_HanViet!$A:$C,2,FALSE)),"",VLOOKUP(MID($A52,3,1),Kanji_2_HanViet!$A:$C,2,FALSE))</f>
        <v/>
      </c>
      <c r="F52" s="15" t="str">
        <f>IF(ISNA(VLOOKUP(MID($A52,4,1),Kanji_2_HanViet!$A:$C,2,FALSE)),"",VLOOKUP(MID($A52,4,1),Kanji_2_HanViet!$A:$C,2,FALSE))</f>
        <v/>
      </c>
      <c r="G52" s="15" t="str">
        <f>IF(ISNA(VLOOKUP(MID($A52,5,1),Kanji_2_HanViet!$A:$C,2,FALSE)),"",VLOOKUP(MID($A52,5,1),Kanji_2_HanViet!$A:$C,2,FALSE))</f>
        <v/>
      </c>
      <c r="H52" s="15" t="str">
        <f>IF(ISNA(VLOOKUP(MID($A52,6,1),Kanji_2_HanViet!$A:$C,2,FALSE)),"",VLOOKUP(MID($A52,6,1),Kanji_2_HanViet!$A:$C,2,FALSE))</f>
        <v/>
      </c>
      <c r="I52" s="15" t="str">
        <f>IF(ISNA(VLOOKUP(MID($A52,7,1),Kanji_2_HanViet!$A:$C,2,FALSE)),"",VLOOKUP(MID($A52,7,1),Kanji_2_HanViet!$A:$C,2,FALSE))</f>
        <v/>
      </c>
      <c r="J52" s="15" t="str">
        <f>IF(ISNA(VLOOKUP(MID($A52,8,1),Kanji_2_HanViet!$A:$C,2,FALSE)),"",VLOOKUP(MID($A52,8,1),Kanji_2_HanViet!$A:$C,2,FALSE))</f>
        <v/>
      </c>
      <c r="K52" s="15" t="str">
        <f>IF(ISNA(VLOOKUP(MID($A52,9,1),Kanji_2_HanViet!$A:$C,2,FALSE)),"",VLOOKUP(MID($A52,9,1),Kanji_2_HanViet!$A:$C,2,FALSE))</f>
        <v/>
      </c>
    </row>
    <row r="53" spans="1:11">
      <c r="A53" s="13" t="str">
        <f>Master!B59</f>
        <v>縛る</v>
      </c>
      <c r="B53" s="16" t="str">
        <f t="shared" si="0"/>
        <v>PHƯỢC/PHỌC</v>
      </c>
      <c r="C53" s="15" t="str">
        <f>IF(ISNA(VLOOKUP(MID($A53,1,1),Kanji_2_HanViet!$A:$C,2,FALSE)),"",VLOOKUP(MID($A53,1,1),Kanji_2_HanViet!$A:$C,2,FALSE))</f>
        <v>PHƯỢC/PHỌC</v>
      </c>
      <c r="D53" s="15" t="str">
        <f>IF(ISNA(VLOOKUP(MID($A53,2,1),Kanji_2_HanViet!$A:$C,2,FALSE)),"",VLOOKUP(MID($A53,2,1),Kanji_2_HanViet!$A:$C,2,FALSE))</f>
        <v/>
      </c>
      <c r="E53" s="15" t="str">
        <f>IF(ISNA(VLOOKUP(MID($A53,3,1),Kanji_2_HanViet!$A:$C,2,FALSE)),"",VLOOKUP(MID($A53,3,1),Kanji_2_HanViet!$A:$C,2,FALSE))</f>
        <v/>
      </c>
      <c r="F53" s="15" t="str">
        <f>IF(ISNA(VLOOKUP(MID($A53,4,1),Kanji_2_HanViet!$A:$C,2,FALSE)),"",VLOOKUP(MID($A53,4,1),Kanji_2_HanViet!$A:$C,2,FALSE))</f>
        <v/>
      </c>
      <c r="G53" s="15" t="str">
        <f>IF(ISNA(VLOOKUP(MID($A53,5,1),Kanji_2_HanViet!$A:$C,2,FALSE)),"",VLOOKUP(MID($A53,5,1),Kanji_2_HanViet!$A:$C,2,FALSE))</f>
        <v/>
      </c>
      <c r="H53" s="15" t="str">
        <f>IF(ISNA(VLOOKUP(MID($A53,6,1),Kanji_2_HanViet!$A:$C,2,FALSE)),"",VLOOKUP(MID($A53,6,1),Kanji_2_HanViet!$A:$C,2,FALSE))</f>
        <v/>
      </c>
      <c r="I53" s="15" t="str">
        <f>IF(ISNA(VLOOKUP(MID($A53,7,1),Kanji_2_HanViet!$A:$C,2,FALSE)),"",VLOOKUP(MID($A53,7,1),Kanji_2_HanViet!$A:$C,2,FALSE))</f>
        <v/>
      </c>
      <c r="J53" s="15" t="str">
        <f>IF(ISNA(VLOOKUP(MID($A53,8,1),Kanji_2_HanViet!$A:$C,2,FALSE)),"",VLOOKUP(MID($A53,8,1),Kanji_2_HanViet!$A:$C,2,FALSE))</f>
        <v/>
      </c>
      <c r="K53" s="15" t="str">
        <f>IF(ISNA(VLOOKUP(MID($A53,9,1),Kanji_2_HanViet!$A:$C,2,FALSE)),"",VLOOKUP(MID($A53,9,1),Kanji_2_HanViet!$A:$C,2,FALSE))</f>
        <v/>
      </c>
    </row>
    <row r="54" spans="1:11">
      <c r="A54" s="13" t="str">
        <f>Master!B60</f>
        <v>束縛感</v>
      </c>
      <c r="B54" s="16" t="str">
        <f t="shared" si="0"/>
        <v>THÚC PHƯỢC/PHỌC CẢM</v>
      </c>
      <c r="C54" s="15" t="str">
        <f>IF(ISNA(VLOOKUP(MID($A54,1,1),Kanji_2_HanViet!$A:$C,2,FALSE)),"",VLOOKUP(MID($A54,1,1),Kanji_2_HanViet!$A:$C,2,FALSE))</f>
        <v>THÚC</v>
      </c>
      <c r="D54" s="15" t="str">
        <f>IF(ISNA(VLOOKUP(MID($A54,2,1),Kanji_2_HanViet!$A:$C,2,FALSE)),"",VLOOKUP(MID($A54,2,1),Kanji_2_HanViet!$A:$C,2,FALSE))</f>
        <v>PHƯỢC/PHỌC</v>
      </c>
      <c r="E54" s="15" t="str">
        <f>IF(ISNA(VLOOKUP(MID($A54,3,1),Kanji_2_HanViet!$A:$C,2,FALSE)),"",VLOOKUP(MID($A54,3,1),Kanji_2_HanViet!$A:$C,2,FALSE))</f>
        <v>CẢM</v>
      </c>
      <c r="F54" s="15" t="str">
        <f>IF(ISNA(VLOOKUP(MID($A54,4,1),Kanji_2_HanViet!$A:$C,2,FALSE)),"",VLOOKUP(MID($A54,4,1),Kanji_2_HanViet!$A:$C,2,FALSE))</f>
        <v/>
      </c>
      <c r="G54" s="15" t="str">
        <f>IF(ISNA(VLOOKUP(MID($A54,5,1),Kanji_2_HanViet!$A:$C,2,FALSE)),"",VLOOKUP(MID($A54,5,1),Kanji_2_HanViet!$A:$C,2,FALSE))</f>
        <v/>
      </c>
      <c r="H54" s="15" t="str">
        <f>IF(ISNA(VLOOKUP(MID($A54,6,1),Kanji_2_HanViet!$A:$C,2,FALSE)),"",VLOOKUP(MID($A54,6,1),Kanji_2_HanViet!$A:$C,2,FALSE))</f>
        <v/>
      </c>
      <c r="I54" s="15" t="str">
        <f>IF(ISNA(VLOOKUP(MID($A54,7,1),Kanji_2_HanViet!$A:$C,2,FALSE)),"",VLOOKUP(MID($A54,7,1),Kanji_2_HanViet!$A:$C,2,FALSE))</f>
        <v/>
      </c>
      <c r="J54" s="15" t="str">
        <f>IF(ISNA(VLOOKUP(MID($A54,8,1),Kanji_2_HanViet!$A:$C,2,FALSE)),"",VLOOKUP(MID($A54,8,1),Kanji_2_HanViet!$A:$C,2,FALSE))</f>
        <v/>
      </c>
      <c r="K54" s="15" t="str">
        <f>IF(ISNA(VLOOKUP(MID($A54,9,1),Kanji_2_HanViet!$A:$C,2,FALSE)),"",VLOOKUP(MID($A54,9,1),Kanji_2_HanViet!$A:$C,2,FALSE))</f>
        <v/>
      </c>
    </row>
    <row r="55" spans="1:11">
      <c r="A55" s="13" t="str">
        <f>Master!B61</f>
        <v>精神衛生</v>
      </c>
      <c r="B55" s="16" t="str">
        <f t="shared" si="0"/>
        <v>TINH THẦN VỆ SINH</v>
      </c>
      <c r="C55" s="15" t="str">
        <f>IF(ISNA(VLOOKUP(MID($A55,1,1),Kanji_2_HanViet!$A:$C,2,FALSE)),"",VLOOKUP(MID($A55,1,1),Kanji_2_HanViet!$A:$C,2,FALSE))</f>
        <v>TINH</v>
      </c>
      <c r="D55" s="15" t="str">
        <f>IF(ISNA(VLOOKUP(MID($A55,2,1),Kanji_2_HanViet!$A:$C,2,FALSE)),"",VLOOKUP(MID($A55,2,1),Kanji_2_HanViet!$A:$C,2,FALSE))</f>
        <v>THẦN</v>
      </c>
      <c r="E55" s="15" t="str">
        <f>IF(ISNA(VLOOKUP(MID($A55,3,1),Kanji_2_HanViet!$A:$C,2,FALSE)),"",VLOOKUP(MID($A55,3,1),Kanji_2_HanViet!$A:$C,2,FALSE))</f>
        <v>VỆ</v>
      </c>
      <c r="F55" s="15" t="str">
        <f>IF(ISNA(VLOOKUP(MID($A55,4,1),Kanji_2_HanViet!$A:$C,2,FALSE)),"",VLOOKUP(MID($A55,4,1),Kanji_2_HanViet!$A:$C,2,FALSE))</f>
        <v>SINH</v>
      </c>
      <c r="G55" s="15" t="str">
        <f>IF(ISNA(VLOOKUP(MID($A55,5,1),Kanji_2_HanViet!$A:$C,2,FALSE)),"",VLOOKUP(MID($A55,5,1),Kanji_2_HanViet!$A:$C,2,FALSE))</f>
        <v/>
      </c>
      <c r="H55" s="15" t="str">
        <f>IF(ISNA(VLOOKUP(MID($A55,6,1),Kanji_2_HanViet!$A:$C,2,FALSE)),"",VLOOKUP(MID($A55,6,1),Kanji_2_HanViet!$A:$C,2,FALSE))</f>
        <v/>
      </c>
      <c r="I55" s="15" t="str">
        <f>IF(ISNA(VLOOKUP(MID($A55,7,1),Kanji_2_HanViet!$A:$C,2,FALSE)),"",VLOOKUP(MID($A55,7,1),Kanji_2_HanViet!$A:$C,2,FALSE))</f>
        <v/>
      </c>
      <c r="J55" s="15" t="str">
        <f>IF(ISNA(VLOOKUP(MID($A55,8,1),Kanji_2_HanViet!$A:$C,2,FALSE)),"",VLOOKUP(MID($A55,8,1),Kanji_2_HanViet!$A:$C,2,FALSE))</f>
        <v/>
      </c>
      <c r="K55" s="15" t="str">
        <f>IF(ISNA(VLOOKUP(MID($A55,9,1),Kanji_2_HanViet!$A:$C,2,FALSE)),"",VLOOKUP(MID($A55,9,1),Kanji_2_HanViet!$A:$C,2,FALSE))</f>
        <v/>
      </c>
    </row>
    <row r="56" spans="1:11">
      <c r="A56" s="13" t="str">
        <f>Master!B62</f>
        <v>ことばを確かめよう</v>
      </c>
      <c r="B56" s="16" t="str">
        <f t="shared" si="0"/>
        <v>XÁC</v>
      </c>
      <c r="C56" s="15" t="str">
        <f>IF(ISNA(VLOOKUP(MID($A56,1,1),Kanji_2_HanViet!$A:$C,2,FALSE)),"",VLOOKUP(MID($A56,1,1),Kanji_2_HanViet!$A:$C,2,FALSE))</f>
        <v/>
      </c>
      <c r="D56" s="15" t="str">
        <f>IF(ISNA(VLOOKUP(MID($A56,2,1),Kanji_2_HanViet!$A:$C,2,FALSE)),"",VLOOKUP(MID($A56,2,1),Kanji_2_HanViet!$A:$C,2,FALSE))</f>
        <v/>
      </c>
      <c r="E56" s="15" t="str">
        <f>IF(ISNA(VLOOKUP(MID($A56,3,1),Kanji_2_HanViet!$A:$C,2,FALSE)),"",VLOOKUP(MID($A56,3,1),Kanji_2_HanViet!$A:$C,2,FALSE))</f>
        <v/>
      </c>
      <c r="F56" s="15" t="str">
        <f>IF(ISNA(VLOOKUP(MID($A56,4,1),Kanji_2_HanViet!$A:$C,2,FALSE)),"",VLOOKUP(MID($A56,4,1),Kanji_2_HanViet!$A:$C,2,FALSE))</f>
        <v/>
      </c>
      <c r="G56" s="15" t="str">
        <f>IF(ISNA(VLOOKUP(MID($A56,5,1),Kanji_2_HanViet!$A:$C,2,FALSE)),"",VLOOKUP(MID($A56,5,1),Kanji_2_HanViet!$A:$C,2,FALSE))</f>
        <v>XÁC</v>
      </c>
      <c r="H56" s="15" t="str">
        <f>IF(ISNA(VLOOKUP(MID($A56,6,1),Kanji_2_HanViet!$A:$C,2,FALSE)),"",VLOOKUP(MID($A56,6,1),Kanji_2_HanViet!$A:$C,2,FALSE))</f>
        <v/>
      </c>
      <c r="I56" s="15" t="str">
        <f>IF(ISNA(VLOOKUP(MID($A56,7,1),Kanji_2_HanViet!$A:$C,2,FALSE)),"",VLOOKUP(MID($A56,7,1),Kanji_2_HanViet!$A:$C,2,FALSE))</f>
        <v/>
      </c>
      <c r="J56" s="15" t="str">
        <f>IF(ISNA(VLOOKUP(MID($A56,8,1),Kanji_2_HanViet!$A:$C,2,FALSE)),"",VLOOKUP(MID($A56,8,1),Kanji_2_HanViet!$A:$C,2,FALSE))</f>
        <v/>
      </c>
      <c r="K56" s="15" t="str">
        <f>IF(ISNA(VLOOKUP(MID($A56,9,1),Kanji_2_HanViet!$A:$C,2,FALSE)),"",VLOOKUP(MID($A56,9,1),Kanji_2_HanViet!$A:$C,2,FALSE))</f>
        <v/>
      </c>
    </row>
    <row r="57" spans="1:11">
      <c r="A57" s="13" t="str">
        <f>Master!B63</f>
        <v>ペットボトル</v>
      </c>
      <c r="B57" s="16" t="str">
        <f t="shared" si="0"/>
        <v/>
      </c>
      <c r="C57" s="15" t="str">
        <f>IF(ISNA(VLOOKUP(MID($A57,1,1),Kanji_2_HanViet!$A:$C,2,FALSE)),"",VLOOKUP(MID($A57,1,1),Kanji_2_HanViet!$A:$C,2,FALSE))</f>
        <v/>
      </c>
      <c r="D57" s="15" t="str">
        <f>IF(ISNA(VLOOKUP(MID($A57,2,1),Kanji_2_HanViet!$A:$C,2,FALSE)),"",VLOOKUP(MID($A57,2,1),Kanji_2_HanViet!$A:$C,2,FALSE))</f>
        <v/>
      </c>
      <c r="E57" s="15" t="str">
        <f>IF(ISNA(VLOOKUP(MID($A57,3,1),Kanji_2_HanViet!$A:$C,2,FALSE)),"",VLOOKUP(MID($A57,3,1),Kanji_2_HanViet!$A:$C,2,FALSE))</f>
        <v/>
      </c>
      <c r="F57" s="15" t="str">
        <f>IF(ISNA(VLOOKUP(MID($A57,4,1),Kanji_2_HanViet!$A:$C,2,FALSE)),"",VLOOKUP(MID($A57,4,1),Kanji_2_HanViet!$A:$C,2,FALSE))</f>
        <v/>
      </c>
      <c r="G57" s="15" t="str">
        <f>IF(ISNA(VLOOKUP(MID($A57,5,1),Kanji_2_HanViet!$A:$C,2,FALSE)),"",VLOOKUP(MID($A57,5,1),Kanji_2_HanViet!$A:$C,2,FALSE))</f>
        <v/>
      </c>
      <c r="H57" s="15" t="str">
        <f>IF(ISNA(VLOOKUP(MID($A57,6,1),Kanji_2_HanViet!$A:$C,2,FALSE)),"",VLOOKUP(MID($A57,6,1),Kanji_2_HanViet!$A:$C,2,FALSE))</f>
        <v/>
      </c>
      <c r="I57" s="15" t="str">
        <f>IF(ISNA(VLOOKUP(MID($A57,7,1),Kanji_2_HanViet!$A:$C,2,FALSE)),"",VLOOKUP(MID($A57,7,1),Kanji_2_HanViet!$A:$C,2,FALSE))</f>
        <v/>
      </c>
      <c r="J57" s="15" t="str">
        <f>IF(ISNA(VLOOKUP(MID($A57,8,1),Kanji_2_HanViet!$A:$C,2,FALSE)),"",VLOOKUP(MID($A57,8,1),Kanji_2_HanViet!$A:$C,2,FALSE))</f>
        <v/>
      </c>
      <c r="K57" s="15" t="str">
        <f>IF(ISNA(VLOOKUP(MID($A57,9,1),Kanji_2_HanViet!$A:$C,2,FALSE)),"",VLOOKUP(MID($A57,9,1),Kanji_2_HanViet!$A:$C,2,FALSE))</f>
        <v/>
      </c>
    </row>
    <row r="58" spans="1:11">
      <c r="A58" s="13" t="str">
        <f>Master!B64</f>
        <v>持ち運ぶ</v>
      </c>
      <c r="B58" s="16" t="str">
        <f t="shared" si="0"/>
        <v>TRÌ VẬN</v>
      </c>
      <c r="C58" s="15" t="str">
        <f>IF(ISNA(VLOOKUP(MID($A58,1,1),Kanji_2_HanViet!$A:$C,2,FALSE)),"",VLOOKUP(MID($A58,1,1),Kanji_2_HanViet!$A:$C,2,FALSE))</f>
        <v>TRÌ</v>
      </c>
      <c r="D58" s="15" t="str">
        <f>IF(ISNA(VLOOKUP(MID($A58,2,1),Kanji_2_HanViet!$A:$C,2,FALSE)),"",VLOOKUP(MID($A58,2,1),Kanji_2_HanViet!$A:$C,2,FALSE))</f>
        <v/>
      </c>
      <c r="E58" s="15" t="str">
        <f>IF(ISNA(VLOOKUP(MID($A58,3,1),Kanji_2_HanViet!$A:$C,2,FALSE)),"",VLOOKUP(MID($A58,3,1),Kanji_2_HanViet!$A:$C,2,FALSE))</f>
        <v>VẬN</v>
      </c>
      <c r="F58" s="15" t="str">
        <f>IF(ISNA(VLOOKUP(MID($A58,4,1),Kanji_2_HanViet!$A:$C,2,FALSE)),"",VLOOKUP(MID($A58,4,1),Kanji_2_HanViet!$A:$C,2,FALSE))</f>
        <v/>
      </c>
      <c r="G58" s="15" t="str">
        <f>IF(ISNA(VLOOKUP(MID($A58,5,1),Kanji_2_HanViet!$A:$C,2,FALSE)),"",VLOOKUP(MID($A58,5,1),Kanji_2_HanViet!$A:$C,2,FALSE))</f>
        <v/>
      </c>
      <c r="H58" s="15" t="str">
        <f>IF(ISNA(VLOOKUP(MID($A58,6,1),Kanji_2_HanViet!$A:$C,2,FALSE)),"",VLOOKUP(MID($A58,6,1),Kanji_2_HanViet!$A:$C,2,FALSE))</f>
        <v/>
      </c>
      <c r="I58" s="15" t="str">
        <f>IF(ISNA(VLOOKUP(MID($A58,7,1),Kanji_2_HanViet!$A:$C,2,FALSE)),"",VLOOKUP(MID($A58,7,1),Kanji_2_HanViet!$A:$C,2,FALSE))</f>
        <v/>
      </c>
      <c r="J58" s="15" t="str">
        <f>IF(ISNA(VLOOKUP(MID($A58,8,1),Kanji_2_HanViet!$A:$C,2,FALSE)),"",VLOOKUP(MID($A58,8,1),Kanji_2_HanViet!$A:$C,2,FALSE))</f>
        <v/>
      </c>
      <c r="K58" s="15" t="str">
        <f>IF(ISNA(VLOOKUP(MID($A58,9,1),Kanji_2_HanViet!$A:$C,2,FALSE)),"",VLOOKUP(MID($A58,9,1),Kanji_2_HanViet!$A:$C,2,FALSE))</f>
        <v/>
      </c>
    </row>
    <row r="59" spans="1:11">
      <c r="A59" s="13" t="str">
        <f>Master!B65</f>
        <v>消費量</v>
      </c>
      <c r="B59" s="16" t="str">
        <f t="shared" si="0"/>
        <v>TIÊU PHÍ LƯỢNG</v>
      </c>
      <c r="C59" s="15" t="str">
        <f>IF(ISNA(VLOOKUP(MID($A59,1,1),Kanji_2_HanViet!$A:$C,2,FALSE)),"",VLOOKUP(MID($A59,1,1),Kanji_2_HanViet!$A:$C,2,FALSE))</f>
        <v>TIÊU</v>
      </c>
      <c r="D59" s="15" t="str">
        <f>IF(ISNA(VLOOKUP(MID($A59,2,1),Kanji_2_HanViet!$A:$C,2,FALSE)),"",VLOOKUP(MID($A59,2,1),Kanji_2_HanViet!$A:$C,2,FALSE))</f>
        <v>PHÍ</v>
      </c>
      <c r="E59" s="15" t="str">
        <f>IF(ISNA(VLOOKUP(MID($A59,3,1),Kanji_2_HanViet!$A:$C,2,FALSE)),"",VLOOKUP(MID($A59,3,1),Kanji_2_HanViet!$A:$C,2,FALSE))</f>
        <v>LƯỢNG</v>
      </c>
      <c r="F59" s="15" t="str">
        <f>IF(ISNA(VLOOKUP(MID($A59,4,1),Kanji_2_HanViet!$A:$C,2,FALSE)),"",VLOOKUP(MID($A59,4,1),Kanji_2_HanViet!$A:$C,2,FALSE))</f>
        <v/>
      </c>
      <c r="G59" s="15" t="str">
        <f>IF(ISNA(VLOOKUP(MID($A59,5,1),Kanji_2_HanViet!$A:$C,2,FALSE)),"",VLOOKUP(MID($A59,5,1),Kanji_2_HanViet!$A:$C,2,FALSE))</f>
        <v/>
      </c>
      <c r="H59" s="15" t="str">
        <f>IF(ISNA(VLOOKUP(MID($A59,6,1),Kanji_2_HanViet!$A:$C,2,FALSE)),"",VLOOKUP(MID($A59,6,1),Kanji_2_HanViet!$A:$C,2,FALSE))</f>
        <v/>
      </c>
      <c r="I59" s="15" t="str">
        <f>IF(ISNA(VLOOKUP(MID($A59,7,1),Kanji_2_HanViet!$A:$C,2,FALSE)),"",VLOOKUP(MID($A59,7,1),Kanji_2_HanViet!$A:$C,2,FALSE))</f>
        <v/>
      </c>
      <c r="J59" s="15" t="str">
        <f>IF(ISNA(VLOOKUP(MID($A59,8,1),Kanji_2_HanViet!$A:$C,2,FALSE)),"",VLOOKUP(MID($A59,8,1),Kanji_2_HanViet!$A:$C,2,FALSE))</f>
        <v/>
      </c>
      <c r="K59" s="15" t="str">
        <f>IF(ISNA(VLOOKUP(MID($A59,9,1),Kanji_2_HanViet!$A:$C,2,FALSE)),"",VLOOKUP(MID($A59,9,1),Kanji_2_HanViet!$A:$C,2,FALSE))</f>
        <v/>
      </c>
    </row>
    <row r="60" spans="1:11">
      <c r="A60" s="13" t="str">
        <f>Master!B66</f>
        <v>拡大する</v>
      </c>
      <c r="B60" s="16" t="str">
        <f t="shared" si="0"/>
        <v>KHUẾCH ĐẠI</v>
      </c>
      <c r="C60" s="15" t="str">
        <f>IF(ISNA(VLOOKUP(MID($A60,1,1),Kanji_2_HanViet!$A:$C,2,FALSE)),"",VLOOKUP(MID($A60,1,1),Kanji_2_HanViet!$A:$C,2,FALSE))</f>
        <v>KHUẾCH</v>
      </c>
      <c r="D60" s="15" t="str">
        <f>IF(ISNA(VLOOKUP(MID($A60,2,1),Kanji_2_HanViet!$A:$C,2,FALSE)),"",VLOOKUP(MID($A60,2,1),Kanji_2_HanViet!$A:$C,2,FALSE))</f>
        <v>ĐẠI</v>
      </c>
      <c r="E60" s="15" t="str">
        <f>IF(ISNA(VLOOKUP(MID($A60,3,1),Kanji_2_HanViet!$A:$C,2,FALSE)),"",VLOOKUP(MID($A60,3,1),Kanji_2_HanViet!$A:$C,2,FALSE))</f>
        <v/>
      </c>
      <c r="F60" s="15" t="str">
        <f>IF(ISNA(VLOOKUP(MID($A60,4,1),Kanji_2_HanViet!$A:$C,2,FALSE)),"",VLOOKUP(MID($A60,4,1),Kanji_2_HanViet!$A:$C,2,FALSE))</f>
        <v/>
      </c>
      <c r="G60" s="15" t="str">
        <f>IF(ISNA(VLOOKUP(MID($A60,5,1),Kanji_2_HanViet!$A:$C,2,FALSE)),"",VLOOKUP(MID($A60,5,1),Kanji_2_HanViet!$A:$C,2,FALSE))</f>
        <v/>
      </c>
      <c r="H60" s="15" t="str">
        <f>IF(ISNA(VLOOKUP(MID($A60,6,1),Kanji_2_HanViet!$A:$C,2,FALSE)),"",VLOOKUP(MID($A60,6,1),Kanji_2_HanViet!$A:$C,2,FALSE))</f>
        <v/>
      </c>
      <c r="I60" s="15" t="str">
        <f>IF(ISNA(VLOOKUP(MID($A60,7,1),Kanji_2_HanViet!$A:$C,2,FALSE)),"",VLOOKUP(MID($A60,7,1),Kanji_2_HanViet!$A:$C,2,FALSE))</f>
        <v/>
      </c>
      <c r="J60" s="15" t="str">
        <f>IF(ISNA(VLOOKUP(MID($A60,8,1),Kanji_2_HanViet!$A:$C,2,FALSE)),"",VLOOKUP(MID($A60,8,1),Kanji_2_HanViet!$A:$C,2,FALSE))</f>
        <v/>
      </c>
      <c r="K60" s="15" t="str">
        <f>IF(ISNA(VLOOKUP(MID($A60,9,1),Kanji_2_HanViet!$A:$C,2,FALSE)),"",VLOOKUP(MID($A60,9,1),Kanji_2_HanViet!$A:$C,2,FALSE))</f>
        <v/>
      </c>
    </row>
    <row r="61" spans="1:11">
      <c r="A61" s="13" t="str">
        <f>Master!B67</f>
        <v>重んじる</v>
      </c>
      <c r="B61" s="16" t="str">
        <f t="shared" si="0"/>
        <v>TRỌNG/TRÙNG</v>
      </c>
      <c r="C61" s="15" t="str">
        <f>IF(ISNA(VLOOKUP(MID($A61,1,1),Kanji_2_HanViet!$A:$C,2,FALSE)),"",VLOOKUP(MID($A61,1,1),Kanji_2_HanViet!$A:$C,2,FALSE))</f>
        <v>TRỌNG/TRÙNG</v>
      </c>
      <c r="D61" s="15" t="str">
        <f>IF(ISNA(VLOOKUP(MID($A61,2,1),Kanji_2_HanViet!$A:$C,2,FALSE)),"",VLOOKUP(MID($A61,2,1),Kanji_2_HanViet!$A:$C,2,FALSE))</f>
        <v/>
      </c>
      <c r="E61" s="15" t="str">
        <f>IF(ISNA(VLOOKUP(MID($A61,3,1),Kanji_2_HanViet!$A:$C,2,FALSE)),"",VLOOKUP(MID($A61,3,1),Kanji_2_HanViet!$A:$C,2,FALSE))</f>
        <v/>
      </c>
      <c r="F61" s="15" t="str">
        <f>IF(ISNA(VLOOKUP(MID($A61,4,1),Kanji_2_HanViet!$A:$C,2,FALSE)),"",VLOOKUP(MID($A61,4,1),Kanji_2_HanViet!$A:$C,2,FALSE))</f>
        <v/>
      </c>
      <c r="G61" s="15" t="str">
        <f>IF(ISNA(VLOOKUP(MID($A61,5,1),Kanji_2_HanViet!$A:$C,2,FALSE)),"",VLOOKUP(MID($A61,5,1),Kanji_2_HanViet!$A:$C,2,FALSE))</f>
        <v/>
      </c>
      <c r="H61" s="15" t="str">
        <f>IF(ISNA(VLOOKUP(MID($A61,6,1),Kanji_2_HanViet!$A:$C,2,FALSE)),"",VLOOKUP(MID($A61,6,1),Kanji_2_HanViet!$A:$C,2,FALSE))</f>
        <v/>
      </c>
      <c r="I61" s="15" t="str">
        <f>IF(ISNA(VLOOKUP(MID($A61,7,1),Kanji_2_HanViet!$A:$C,2,FALSE)),"",VLOOKUP(MID($A61,7,1),Kanji_2_HanViet!$A:$C,2,FALSE))</f>
        <v/>
      </c>
      <c r="J61" s="15" t="str">
        <f>IF(ISNA(VLOOKUP(MID($A61,8,1),Kanji_2_HanViet!$A:$C,2,FALSE)),"",VLOOKUP(MID($A61,8,1),Kanji_2_HanViet!$A:$C,2,FALSE))</f>
        <v/>
      </c>
      <c r="K61" s="15" t="str">
        <f>IF(ISNA(VLOOKUP(MID($A61,9,1),Kanji_2_HanViet!$A:$C,2,FALSE)),"",VLOOKUP(MID($A61,9,1),Kanji_2_HanViet!$A:$C,2,FALSE))</f>
        <v/>
      </c>
    </row>
    <row r="62" spans="1:11">
      <c r="A62" s="13" t="str">
        <f>Master!B68</f>
        <v>熱効率</v>
      </c>
      <c r="B62" s="16" t="str">
        <f t="shared" si="0"/>
        <v>NHIỆT HIỆU XUẤT</v>
      </c>
      <c r="C62" s="15" t="str">
        <f>IF(ISNA(VLOOKUP(MID($A62,1,1),Kanji_2_HanViet!$A:$C,2,FALSE)),"",VLOOKUP(MID($A62,1,1),Kanji_2_HanViet!$A:$C,2,FALSE))</f>
        <v>NHIỆT</v>
      </c>
      <c r="D62" s="15" t="str">
        <f>IF(ISNA(VLOOKUP(MID($A62,2,1),Kanji_2_HanViet!$A:$C,2,FALSE)),"",VLOOKUP(MID($A62,2,1),Kanji_2_HanViet!$A:$C,2,FALSE))</f>
        <v>HIỆU</v>
      </c>
      <c r="E62" s="15" t="str">
        <f>IF(ISNA(VLOOKUP(MID($A62,3,1),Kanji_2_HanViet!$A:$C,2,FALSE)),"",VLOOKUP(MID($A62,3,1),Kanji_2_HanViet!$A:$C,2,FALSE))</f>
        <v>XUẤT</v>
      </c>
      <c r="F62" s="15" t="str">
        <f>IF(ISNA(VLOOKUP(MID($A62,4,1),Kanji_2_HanViet!$A:$C,2,FALSE)),"",VLOOKUP(MID($A62,4,1),Kanji_2_HanViet!$A:$C,2,FALSE))</f>
        <v/>
      </c>
      <c r="G62" s="15" t="str">
        <f>IF(ISNA(VLOOKUP(MID($A62,5,1),Kanji_2_HanViet!$A:$C,2,FALSE)),"",VLOOKUP(MID($A62,5,1),Kanji_2_HanViet!$A:$C,2,FALSE))</f>
        <v/>
      </c>
      <c r="H62" s="15" t="str">
        <f>IF(ISNA(VLOOKUP(MID($A62,6,1),Kanji_2_HanViet!$A:$C,2,FALSE)),"",VLOOKUP(MID($A62,6,1),Kanji_2_HanViet!$A:$C,2,FALSE))</f>
        <v/>
      </c>
      <c r="I62" s="15" t="str">
        <f>IF(ISNA(VLOOKUP(MID($A62,7,1),Kanji_2_HanViet!$A:$C,2,FALSE)),"",VLOOKUP(MID($A62,7,1),Kanji_2_HanViet!$A:$C,2,FALSE))</f>
        <v/>
      </c>
      <c r="J62" s="15" t="str">
        <f>IF(ISNA(VLOOKUP(MID($A62,8,1),Kanji_2_HanViet!$A:$C,2,FALSE)),"",VLOOKUP(MID($A62,8,1),Kanji_2_HanViet!$A:$C,2,FALSE))</f>
        <v/>
      </c>
      <c r="K62" s="15" t="str">
        <f>IF(ISNA(VLOOKUP(MID($A62,9,1),Kanji_2_HanViet!$A:$C,2,FALSE)),"",VLOOKUP(MID($A62,9,1),Kanji_2_HanViet!$A:$C,2,FALSE))</f>
        <v/>
      </c>
    </row>
    <row r="63" spans="1:11">
      <c r="A63" s="13" t="str">
        <f>Master!B69</f>
        <v>乗用車</v>
      </c>
      <c r="B63" s="16" t="str">
        <f t="shared" si="0"/>
        <v>THỪA DỤNG XA</v>
      </c>
      <c r="C63" s="15" t="str">
        <f>IF(ISNA(VLOOKUP(MID($A63,1,1),Kanji_2_HanViet!$A:$C,2,FALSE)),"",VLOOKUP(MID($A63,1,1),Kanji_2_HanViet!$A:$C,2,FALSE))</f>
        <v>THỪA</v>
      </c>
      <c r="D63" s="15" t="str">
        <f>IF(ISNA(VLOOKUP(MID($A63,2,1),Kanji_2_HanViet!$A:$C,2,FALSE)),"",VLOOKUP(MID($A63,2,1),Kanji_2_HanViet!$A:$C,2,FALSE))</f>
        <v>DỤNG</v>
      </c>
      <c r="E63" s="15" t="str">
        <f>IF(ISNA(VLOOKUP(MID($A63,3,1),Kanji_2_HanViet!$A:$C,2,FALSE)),"",VLOOKUP(MID($A63,3,1),Kanji_2_HanViet!$A:$C,2,FALSE))</f>
        <v>XA</v>
      </c>
      <c r="F63" s="15" t="str">
        <f>IF(ISNA(VLOOKUP(MID($A63,4,1),Kanji_2_HanViet!$A:$C,2,FALSE)),"",VLOOKUP(MID($A63,4,1),Kanji_2_HanViet!$A:$C,2,FALSE))</f>
        <v/>
      </c>
      <c r="G63" s="15" t="str">
        <f>IF(ISNA(VLOOKUP(MID($A63,5,1),Kanji_2_HanViet!$A:$C,2,FALSE)),"",VLOOKUP(MID($A63,5,1),Kanji_2_HanViet!$A:$C,2,FALSE))</f>
        <v/>
      </c>
      <c r="H63" s="15" t="str">
        <f>IF(ISNA(VLOOKUP(MID($A63,6,1),Kanji_2_HanViet!$A:$C,2,FALSE)),"",VLOOKUP(MID($A63,6,1),Kanji_2_HanViet!$A:$C,2,FALSE))</f>
        <v/>
      </c>
      <c r="I63" s="15" t="str">
        <f>IF(ISNA(VLOOKUP(MID($A63,7,1),Kanji_2_HanViet!$A:$C,2,FALSE)),"",VLOOKUP(MID($A63,7,1),Kanji_2_HanViet!$A:$C,2,FALSE))</f>
        <v/>
      </c>
      <c r="J63" s="15" t="str">
        <f>IF(ISNA(VLOOKUP(MID($A63,8,1),Kanji_2_HanViet!$A:$C,2,FALSE)),"",VLOOKUP(MID($A63,8,1),Kanji_2_HanViet!$A:$C,2,FALSE))</f>
        <v/>
      </c>
      <c r="K63" s="15" t="str">
        <f>IF(ISNA(VLOOKUP(MID($A63,9,1),Kanji_2_HanViet!$A:$C,2,FALSE)),"",VLOOKUP(MID($A63,9,1),Kanji_2_HanViet!$A:$C,2,FALSE))</f>
        <v/>
      </c>
    </row>
    <row r="64" spans="1:11">
      <c r="A64" s="13" t="str">
        <f>Master!B70</f>
        <v>男女雇用機会均等法</v>
      </c>
      <c r="B64" s="16" t="str">
        <f t="shared" si="0"/>
        <v>NAM NỮ CỐ DỤNG CƠ/KY HỘI QUÂN ĐẲNG PHÁP</v>
      </c>
      <c r="C64" s="15" t="str">
        <f>IF(ISNA(VLOOKUP(MID($A64,1,1),Kanji_2_HanViet!$A:$C,2,FALSE)),"",VLOOKUP(MID($A64,1,1),Kanji_2_HanViet!$A:$C,2,FALSE))</f>
        <v>NAM</v>
      </c>
      <c r="D64" s="15" t="str">
        <f>IF(ISNA(VLOOKUP(MID($A64,2,1),Kanji_2_HanViet!$A:$C,2,FALSE)),"",VLOOKUP(MID($A64,2,1),Kanji_2_HanViet!$A:$C,2,FALSE))</f>
        <v>NỮ</v>
      </c>
      <c r="E64" s="15" t="str">
        <f>IF(ISNA(VLOOKUP(MID($A64,3,1),Kanji_2_HanViet!$A:$C,2,FALSE)),"",VLOOKUP(MID($A64,3,1),Kanji_2_HanViet!$A:$C,2,FALSE))</f>
        <v>CỐ</v>
      </c>
      <c r="F64" s="15" t="str">
        <f>IF(ISNA(VLOOKUP(MID($A64,4,1),Kanji_2_HanViet!$A:$C,2,FALSE)),"",VLOOKUP(MID($A64,4,1),Kanji_2_HanViet!$A:$C,2,FALSE))</f>
        <v>DỤNG</v>
      </c>
      <c r="G64" s="15" t="str">
        <f>IF(ISNA(VLOOKUP(MID($A64,5,1),Kanji_2_HanViet!$A:$C,2,FALSE)),"",VLOOKUP(MID($A64,5,1),Kanji_2_HanViet!$A:$C,2,FALSE))</f>
        <v>CƠ/KY</v>
      </c>
      <c r="H64" s="15" t="str">
        <f>IF(ISNA(VLOOKUP(MID($A64,6,1),Kanji_2_HanViet!$A:$C,2,FALSE)),"",VLOOKUP(MID($A64,6,1),Kanji_2_HanViet!$A:$C,2,FALSE))</f>
        <v>HỘI</v>
      </c>
      <c r="I64" s="15" t="str">
        <f>IF(ISNA(VLOOKUP(MID($A64,7,1),Kanji_2_HanViet!$A:$C,2,FALSE)),"",VLOOKUP(MID($A64,7,1),Kanji_2_HanViet!$A:$C,2,FALSE))</f>
        <v>QUÂN</v>
      </c>
      <c r="J64" s="15" t="str">
        <f>IF(ISNA(VLOOKUP(MID($A64,8,1),Kanji_2_HanViet!$A:$C,2,FALSE)),"",VLOOKUP(MID($A64,8,1),Kanji_2_HanViet!$A:$C,2,FALSE))</f>
        <v>ĐẲNG</v>
      </c>
      <c r="K64" s="15" t="str">
        <f>IF(ISNA(VLOOKUP(MID($A64,9,1),Kanji_2_HanViet!$A:$C,2,FALSE)),"",VLOOKUP(MID($A64,9,1),Kanji_2_HanViet!$A:$C,2,FALSE))</f>
        <v>PHÁP</v>
      </c>
    </row>
    <row r="65" spans="1:11">
      <c r="A65" s="13" t="str">
        <f>Master!B71</f>
        <v>配慮</v>
      </c>
      <c r="B65" s="16" t="str">
        <f t="shared" si="0"/>
        <v>PHỐI LỰ</v>
      </c>
      <c r="C65" s="15" t="str">
        <f>IF(ISNA(VLOOKUP(MID($A65,1,1),Kanji_2_HanViet!$A:$C,2,FALSE)),"",VLOOKUP(MID($A65,1,1),Kanji_2_HanViet!$A:$C,2,FALSE))</f>
        <v>PHỐI</v>
      </c>
      <c r="D65" s="15" t="str">
        <f>IF(ISNA(VLOOKUP(MID($A65,2,1),Kanji_2_HanViet!$A:$C,2,FALSE)),"",VLOOKUP(MID($A65,2,1),Kanji_2_HanViet!$A:$C,2,FALSE))</f>
        <v>LỰ</v>
      </c>
      <c r="E65" s="15" t="str">
        <f>IF(ISNA(VLOOKUP(MID($A65,3,1),Kanji_2_HanViet!$A:$C,2,FALSE)),"",VLOOKUP(MID($A65,3,1),Kanji_2_HanViet!$A:$C,2,FALSE))</f>
        <v/>
      </c>
      <c r="F65" s="15" t="str">
        <f>IF(ISNA(VLOOKUP(MID($A65,4,1),Kanji_2_HanViet!$A:$C,2,FALSE)),"",VLOOKUP(MID($A65,4,1),Kanji_2_HanViet!$A:$C,2,FALSE))</f>
        <v/>
      </c>
      <c r="G65" s="15" t="str">
        <f>IF(ISNA(VLOOKUP(MID($A65,5,1),Kanji_2_HanViet!$A:$C,2,FALSE)),"",VLOOKUP(MID($A65,5,1),Kanji_2_HanViet!$A:$C,2,FALSE))</f>
        <v/>
      </c>
      <c r="H65" s="15" t="str">
        <f>IF(ISNA(VLOOKUP(MID($A65,6,1),Kanji_2_HanViet!$A:$C,2,FALSE)),"",VLOOKUP(MID($A65,6,1),Kanji_2_HanViet!$A:$C,2,FALSE))</f>
        <v/>
      </c>
      <c r="I65" s="15" t="str">
        <f>IF(ISNA(VLOOKUP(MID($A65,7,1),Kanji_2_HanViet!$A:$C,2,FALSE)),"",VLOOKUP(MID($A65,7,1),Kanji_2_HanViet!$A:$C,2,FALSE))</f>
        <v/>
      </c>
      <c r="J65" s="15" t="str">
        <f>IF(ISNA(VLOOKUP(MID($A65,8,1),Kanji_2_HanViet!$A:$C,2,FALSE)),"",VLOOKUP(MID($A65,8,1),Kanji_2_HanViet!$A:$C,2,FALSE))</f>
        <v/>
      </c>
      <c r="K65" s="15" t="str">
        <f>IF(ISNA(VLOOKUP(MID($A65,9,1),Kanji_2_HanViet!$A:$C,2,FALSE)),"",VLOOKUP(MID($A65,9,1),Kanji_2_HanViet!$A:$C,2,FALSE))</f>
        <v/>
      </c>
    </row>
    <row r="66" spans="1:11">
      <c r="A66" s="13" t="str">
        <f>Master!B72</f>
        <v>内容を確かめよう</v>
      </c>
      <c r="B66" s="16" t="str">
        <f t="shared" si="0"/>
        <v>NỘI DUNG/DONG XÁC</v>
      </c>
      <c r="C66" s="15" t="str">
        <f>IF(ISNA(VLOOKUP(MID($A66,1,1),Kanji_2_HanViet!$A:$C,2,FALSE)),"",VLOOKUP(MID($A66,1,1),Kanji_2_HanViet!$A:$C,2,FALSE))</f>
        <v>NỘI</v>
      </c>
      <c r="D66" s="15" t="str">
        <f>IF(ISNA(VLOOKUP(MID($A66,2,1),Kanji_2_HanViet!$A:$C,2,FALSE)),"",VLOOKUP(MID($A66,2,1),Kanji_2_HanViet!$A:$C,2,FALSE))</f>
        <v>DUNG/DONG</v>
      </c>
      <c r="E66" s="15" t="str">
        <f>IF(ISNA(VLOOKUP(MID($A66,3,1),Kanji_2_HanViet!$A:$C,2,FALSE)),"",VLOOKUP(MID($A66,3,1),Kanji_2_HanViet!$A:$C,2,FALSE))</f>
        <v/>
      </c>
      <c r="F66" s="15" t="str">
        <f>IF(ISNA(VLOOKUP(MID($A66,4,1),Kanji_2_HanViet!$A:$C,2,FALSE)),"",VLOOKUP(MID($A66,4,1),Kanji_2_HanViet!$A:$C,2,FALSE))</f>
        <v>XÁC</v>
      </c>
      <c r="G66" s="15" t="str">
        <f>IF(ISNA(VLOOKUP(MID($A66,5,1),Kanji_2_HanViet!$A:$C,2,FALSE)),"",VLOOKUP(MID($A66,5,1),Kanji_2_HanViet!$A:$C,2,FALSE))</f>
        <v/>
      </c>
      <c r="H66" s="15" t="str">
        <f>IF(ISNA(VLOOKUP(MID($A66,6,1),Kanji_2_HanViet!$A:$C,2,FALSE)),"",VLOOKUP(MID($A66,6,1),Kanji_2_HanViet!$A:$C,2,FALSE))</f>
        <v/>
      </c>
      <c r="I66" s="15" t="str">
        <f>IF(ISNA(VLOOKUP(MID($A66,7,1),Kanji_2_HanViet!$A:$C,2,FALSE)),"",VLOOKUP(MID($A66,7,1),Kanji_2_HanViet!$A:$C,2,FALSE))</f>
        <v/>
      </c>
      <c r="J66" s="15" t="str">
        <f>IF(ISNA(VLOOKUP(MID($A66,8,1),Kanji_2_HanViet!$A:$C,2,FALSE)),"",VLOOKUP(MID($A66,8,1),Kanji_2_HanViet!$A:$C,2,FALSE))</f>
        <v/>
      </c>
      <c r="K66" s="15" t="str">
        <f>IF(ISNA(VLOOKUP(MID($A66,9,1),Kanji_2_HanViet!$A:$C,2,FALSE)),"",VLOOKUP(MID($A66,9,1),Kanji_2_HanViet!$A:$C,2,FALSE))</f>
        <v/>
      </c>
    </row>
    <row r="67" spans="1:11">
      <c r="A67" s="13" t="str">
        <f>Master!B73</f>
        <v>なし</v>
      </c>
      <c r="B67" s="16" t="str">
        <f t="shared" ref="B67:B130" si="1">TRIM(CONCATENATE($C67," ",$D67," ",$E67," ",$F67," ",$G67," ",$H67," ",$I67," ",$J67," ",$K67))</f>
        <v/>
      </c>
      <c r="C67" s="15" t="str">
        <f>IF(ISNA(VLOOKUP(MID($A67,1,1),Kanji_2_HanViet!$A:$C,2,FALSE)),"",VLOOKUP(MID($A67,1,1),Kanji_2_HanViet!$A:$C,2,FALSE))</f>
        <v/>
      </c>
      <c r="D67" s="15" t="str">
        <f>IF(ISNA(VLOOKUP(MID($A67,2,1),Kanji_2_HanViet!$A:$C,2,FALSE)),"",VLOOKUP(MID($A67,2,1),Kanji_2_HanViet!$A:$C,2,FALSE))</f>
        <v/>
      </c>
      <c r="E67" s="15" t="str">
        <f>IF(ISNA(VLOOKUP(MID($A67,3,1),Kanji_2_HanViet!$A:$C,2,FALSE)),"",VLOOKUP(MID($A67,3,1),Kanji_2_HanViet!$A:$C,2,FALSE))</f>
        <v/>
      </c>
      <c r="F67" s="15" t="str">
        <f>IF(ISNA(VLOOKUP(MID($A67,4,1),Kanji_2_HanViet!$A:$C,2,FALSE)),"",VLOOKUP(MID($A67,4,1),Kanji_2_HanViet!$A:$C,2,FALSE))</f>
        <v/>
      </c>
      <c r="G67" s="15" t="str">
        <f>IF(ISNA(VLOOKUP(MID($A67,5,1),Kanji_2_HanViet!$A:$C,2,FALSE)),"",VLOOKUP(MID($A67,5,1),Kanji_2_HanViet!$A:$C,2,FALSE))</f>
        <v/>
      </c>
      <c r="H67" s="15" t="str">
        <f>IF(ISNA(VLOOKUP(MID($A67,6,1),Kanji_2_HanViet!$A:$C,2,FALSE)),"",VLOOKUP(MID($A67,6,1),Kanji_2_HanViet!$A:$C,2,FALSE))</f>
        <v/>
      </c>
      <c r="I67" s="15" t="str">
        <f>IF(ISNA(VLOOKUP(MID($A67,7,1),Kanji_2_HanViet!$A:$C,2,FALSE)),"",VLOOKUP(MID($A67,7,1),Kanji_2_HanViet!$A:$C,2,FALSE))</f>
        <v/>
      </c>
      <c r="J67" s="15" t="str">
        <f>IF(ISNA(VLOOKUP(MID($A67,8,1),Kanji_2_HanViet!$A:$C,2,FALSE)),"",VLOOKUP(MID($A67,8,1),Kanji_2_HanViet!$A:$C,2,FALSE))</f>
        <v/>
      </c>
      <c r="K67" s="15" t="str">
        <f>IF(ISNA(VLOOKUP(MID($A67,9,1),Kanji_2_HanViet!$A:$C,2,FALSE)),"",VLOOKUP(MID($A67,9,1),Kanji_2_HanViet!$A:$C,2,FALSE))</f>
        <v/>
      </c>
    </row>
    <row r="68" spans="1:11">
      <c r="A68" s="13" t="str">
        <f>Master!B74</f>
        <v>学習項目</v>
      </c>
      <c r="B68" s="16" t="str">
        <f t="shared" si="1"/>
        <v>HỌC TẬP HẠNG MỤC</v>
      </c>
      <c r="C68" s="15" t="str">
        <f>IF(ISNA(VLOOKUP(MID($A68,1,1),Kanji_2_HanViet!$A:$C,2,FALSE)),"",VLOOKUP(MID($A68,1,1),Kanji_2_HanViet!$A:$C,2,FALSE))</f>
        <v>HỌC</v>
      </c>
      <c r="D68" s="15" t="str">
        <f>IF(ISNA(VLOOKUP(MID($A68,2,1),Kanji_2_HanViet!$A:$C,2,FALSE)),"",VLOOKUP(MID($A68,2,1),Kanji_2_HanViet!$A:$C,2,FALSE))</f>
        <v>TẬP</v>
      </c>
      <c r="E68" s="15" t="str">
        <f>IF(ISNA(VLOOKUP(MID($A68,3,1),Kanji_2_HanViet!$A:$C,2,FALSE)),"",VLOOKUP(MID($A68,3,1),Kanji_2_HanViet!$A:$C,2,FALSE))</f>
        <v>HẠNG</v>
      </c>
      <c r="F68" s="15" t="str">
        <f>IF(ISNA(VLOOKUP(MID($A68,4,1),Kanji_2_HanViet!$A:$C,2,FALSE)),"",VLOOKUP(MID($A68,4,1),Kanji_2_HanViet!$A:$C,2,FALSE))</f>
        <v>MỤC</v>
      </c>
      <c r="G68" s="15" t="str">
        <f>IF(ISNA(VLOOKUP(MID($A68,5,1),Kanji_2_HanViet!$A:$C,2,FALSE)),"",VLOOKUP(MID($A68,5,1),Kanji_2_HanViet!$A:$C,2,FALSE))</f>
        <v/>
      </c>
      <c r="H68" s="15" t="str">
        <f>IF(ISNA(VLOOKUP(MID($A68,6,1),Kanji_2_HanViet!$A:$C,2,FALSE)),"",VLOOKUP(MID($A68,6,1),Kanji_2_HanViet!$A:$C,2,FALSE))</f>
        <v/>
      </c>
      <c r="I68" s="15" t="str">
        <f>IF(ISNA(VLOOKUP(MID($A68,7,1),Kanji_2_HanViet!$A:$C,2,FALSE)),"",VLOOKUP(MID($A68,7,1),Kanji_2_HanViet!$A:$C,2,FALSE))</f>
        <v/>
      </c>
      <c r="J68" s="15" t="str">
        <f>IF(ISNA(VLOOKUP(MID($A68,8,1),Kanji_2_HanViet!$A:$C,2,FALSE)),"",VLOOKUP(MID($A68,8,1),Kanji_2_HanViet!$A:$C,2,FALSE))</f>
        <v/>
      </c>
      <c r="K68" s="15" t="str">
        <f>IF(ISNA(VLOOKUP(MID($A68,9,1),Kanji_2_HanViet!$A:$C,2,FALSE)),"",VLOOKUP(MID($A68,9,1),Kanji_2_HanViet!$A:$C,2,FALSE))</f>
        <v/>
      </c>
    </row>
    <row r="69" spans="1:11">
      <c r="A69" s="13" t="str">
        <f>Master!B75</f>
        <v>季節</v>
      </c>
      <c r="B69" s="16" t="str">
        <f t="shared" si="1"/>
        <v>TIẾT TIẾT</v>
      </c>
      <c r="C69" s="15" t="str">
        <f>IF(ISNA(VLOOKUP(MID($A69,1,1),Kanji_2_HanViet!$A:$C,2,FALSE)),"",VLOOKUP(MID($A69,1,1),Kanji_2_HanViet!$A:$C,2,FALSE))</f>
        <v>TIẾT</v>
      </c>
      <c r="D69" s="15" t="str">
        <f>IF(ISNA(VLOOKUP(MID($A69,2,1),Kanji_2_HanViet!$A:$C,2,FALSE)),"",VLOOKUP(MID($A69,2,1),Kanji_2_HanViet!$A:$C,2,FALSE))</f>
        <v>TIẾT</v>
      </c>
      <c r="E69" s="15" t="str">
        <f>IF(ISNA(VLOOKUP(MID($A69,3,1),Kanji_2_HanViet!$A:$C,2,FALSE)),"",VLOOKUP(MID($A69,3,1),Kanji_2_HanViet!$A:$C,2,FALSE))</f>
        <v/>
      </c>
      <c r="F69" s="15" t="str">
        <f>IF(ISNA(VLOOKUP(MID($A69,4,1),Kanji_2_HanViet!$A:$C,2,FALSE)),"",VLOOKUP(MID($A69,4,1),Kanji_2_HanViet!$A:$C,2,FALSE))</f>
        <v/>
      </c>
      <c r="G69" s="15" t="str">
        <f>IF(ISNA(VLOOKUP(MID($A69,5,1),Kanji_2_HanViet!$A:$C,2,FALSE)),"",VLOOKUP(MID($A69,5,1),Kanji_2_HanViet!$A:$C,2,FALSE))</f>
        <v/>
      </c>
      <c r="H69" s="15" t="str">
        <f>IF(ISNA(VLOOKUP(MID($A69,6,1),Kanji_2_HanViet!$A:$C,2,FALSE)),"",VLOOKUP(MID($A69,6,1),Kanji_2_HanViet!$A:$C,2,FALSE))</f>
        <v/>
      </c>
      <c r="I69" s="15" t="str">
        <f>IF(ISNA(VLOOKUP(MID($A69,7,1),Kanji_2_HanViet!$A:$C,2,FALSE)),"",VLOOKUP(MID($A69,7,1),Kanji_2_HanViet!$A:$C,2,FALSE))</f>
        <v/>
      </c>
      <c r="J69" s="15" t="str">
        <f>IF(ISNA(VLOOKUP(MID($A69,8,1),Kanji_2_HanViet!$A:$C,2,FALSE)),"",VLOOKUP(MID($A69,8,1),Kanji_2_HanViet!$A:$C,2,FALSE))</f>
        <v/>
      </c>
      <c r="K69" s="15" t="str">
        <f>IF(ISNA(VLOOKUP(MID($A69,9,1),Kanji_2_HanViet!$A:$C,2,FALSE)),"",VLOOKUP(MID($A69,9,1),Kanji_2_HanViet!$A:$C,2,FALSE))</f>
        <v/>
      </c>
    </row>
    <row r="70" spans="1:11">
      <c r="A70" s="13" t="str">
        <f>Master!B76</f>
        <v>いやす</v>
      </c>
      <c r="B70" s="16" t="str">
        <f t="shared" si="1"/>
        <v/>
      </c>
      <c r="C70" s="15" t="str">
        <f>IF(ISNA(VLOOKUP(MID($A70,1,1),Kanji_2_HanViet!$A:$C,2,FALSE)),"",VLOOKUP(MID($A70,1,1),Kanji_2_HanViet!$A:$C,2,FALSE))</f>
        <v/>
      </c>
      <c r="D70" s="15" t="str">
        <f>IF(ISNA(VLOOKUP(MID($A70,2,1),Kanji_2_HanViet!$A:$C,2,FALSE)),"",VLOOKUP(MID($A70,2,1),Kanji_2_HanViet!$A:$C,2,FALSE))</f>
        <v/>
      </c>
      <c r="E70" s="15" t="str">
        <f>IF(ISNA(VLOOKUP(MID($A70,3,1),Kanji_2_HanViet!$A:$C,2,FALSE)),"",VLOOKUP(MID($A70,3,1),Kanji_2_HanViet!$A:$C,2,FALSE))</f>
        <v/>
      </c>
      <c r="F70" s="15" t="str">
        <f>IF(ISNA(VLOOKUP(MID($A70,4,1),Kanji_2_HanViet!$A:$C,2,FALSE)),"",VLOOKUP(MID($A70,4,1),Kanji_2_HanViet!$A:$C,2,FALSE))</f>
        <v/>
      </c>
      <c r="G70" s="15" t="str">
        <f>IF(ISNA(VLOOKUP(MID($A70,5,1),Kanji_2_HanViet!$A:$C,2,FALSE)),"",VLOOKUP(MID($A70,5,1),Kanji_2_HanViet!$A:$C,2,FALSE))</f>
        <v/>
      </c>
      <c r="H70" s="15" t="str">
        <f>IF(ISNA(VLOOKUP(MID($A70,6,1),Kanji_2_HanViet!$A:$C,2,FALSE)),"",VLOOKUP(MID($A70,6,1),Kanji_2_HanViet!$A:$C,2,FALSE))</f>
        <v/>
      </c>
      <c r="I70" s="15" t="str">
        <f>IF(ISNA(VLOOKUP(MID($A70,7,1),Kanji_2_HanViet!$A:$C,2,FALSE)),"",VLOOKUP(MID($A70,7,1),Kanji_2_HanViet!$A:$C,2,FALSE))</f>
        <v/>
      </c>
      <c r="J70" s="15" t="str">
        <f>IF(ISNA(VLOOKUP(MID($A70,8,1),Kanji_2_HanViet!$A:$C,2,FALSE)),"",VLOOKUP(MID($A70,8,1),Kanji_2_HanViet!$A:$C,2,FALSE))</f>
        <v/>
      </c>
      <c r="K70" s="15" t="str">
        <f>IF(ISNA(VLOOKUP(MID($A70,9,1),Kanji_2_HanViet!$A:$C,2,FALSE)),"",VLOOKUP(MID($A70,9,1),Kanji_2_HanViet!$A:$C,2,FALSE))</f>
        <v/>
      </c>
    </row>
    <row r="71" spans="1:11">
      <c r="A71" s="13" t="str">
        <f>Master!B77</f>
        <v>経験</v>
      </c>
      <c r="B71" s="16" t="str">
        <f t="shared" si="1"/>
        <v>KINH NGHIỆM</v>
      </c>
      <c r="C71" s="15" t="str">
        <f>IF(ISNA(VLOOKUP(MID($A71,1,1),Kanji_2_HanViet!$A:$C,2,FALSE)),"",VLOOKUP(MID($A71,1,1),Kanji_2_HanViet!$A:$C,2,FALSE))</f>
        <v>KINH</v>
      </c>
      <c r="D71" s="15" t="str">
        <f>IF(ISNA(VLOOKUP(MID($A71,2,1),Kanji_2_HanViet!$A:$C,2,FALSE)),"",VLOOKUP(MID($A71,2,1),Kanji_2_HanViet!$A:$C,2,FALSE))</f>
        <v>NGHIỆM</v>
      </c>
      <c r="E71" s="15" t="str">
        <f>IF(ISNA(VLOOKUP(MID($A71,3,1),Kanji_2_HanViet!$A:$C,2,FALSE)),"",VLOOKUP(MID($A71,3,1),Kanji_2_HanViet!$A:$C,2,FALSE))</f>
        <v/>
      </c>
      <c r="F71" s="15" t="str">
        <f>IF(ISNA(VLOOKUP(MID($A71,4,1),Kanji_2_HanViet!$A:$C,2,FALSE)),"",VLOOKUP(MID($A71,4,1),Kanji_2_HanViet!$A:$C,2,FALSE))</f>
        <v/>
      </c>
      <c r="G71" s="15" t="str">
        <f>IF(ISNA(VLOOKUP(MID($A71,5,1),Kanji_2_HanViet!$A:$C,2,FALSE)),"",VLOOKUP(MID($A71,5,1),Kanji_2_HanViet!$A:$C,2,FALSE))</f>
        <v/>
      </c>
      <c r="H71" s="15" t="str">
        <f>IF(ISNA(VLOOKUP(MID($A71,6,1),Kanji_2_HanViet!$A:$C,2,FALSE)),"",VLOOKUP(MID($A71,6,1),Kanji_2_HanViet!$A:$C,2,FALSE))</f>
        <v/>
      </c>
      <c r="I71" s="15" t="str">
        <f>IF(ISNA(VLOOKUP(MID($A71,7,1),Kanji_2_HanViet!$A:$C,2,FALSE)),"",VLOOKUP(MID($A71,7,1),Kanji_2_HanViet!$A:$C,2,FALSE))</f>
        <v/>
      </c>
      <c r="J71" s="15" t="str">
        <f>IF(ISNA(VLOOKUP(MID($A71,8,1),Kanji_2_HanViet!$A:$C,2,FALSE)),"",VLOOKUP(MID($A71,8,1),Kanji_2_HanViet!$A:$C,2,FALSE))</f>
        <v/>
      </c>
      <c r="K71" s="15" t="str">
        <f>IF(ISNA(VLOOKUP(MID($A71,9,1),Kanji_2_HanViet!$A:$C,2,FALSE)),"",VLOOKUP(MID($A71,9,1),Kanji_2_HanViet!$A:$C,2,FALSE))</f>
        <v/>
      </c>
    </row>
    <row r="72" spans="1:11">
      <c r="A72" s="13" t="str">
        <f>Master!B78</f>
        <v>募集する</v>
      </c>
      <c r="B72" s="16" t="str">
        <f t="shared" si="1"/>
        <v>MỘ TẬP</v>
      </c>
      <c r="C72" s="15" t="str">
        <f>IF(ISNA(VLOOKUP(MID($A72,1,1),Kanji_2_HanViet!$A:$C,2,FALSE)),"",VLOOKUP(MID($A72,1,1),Kanji_2_HanViet!$A:$C,2,FALSE))</f>
        <v>MỘ</v>
      </c>
      <c r="D72" s="15" t="str">
        <f>IF(ISNA(VLOOKUP(MID($A72,2,1),Kanji_2_HanViet!$A:$C,2,FALSE)),"",VLOOKUP(MID($A72,2,1),Kanji_2_HanViet!$A:$C,2,FALSE))</f>
        <v>TẬP</v>
      </c>
      <c r="E72" s="15" t="str">
        <f>IF(ISNA(VLOOKUP(MID($A72,3,1),Kanji_2_HanViet!$A:$C,2,FALSE)),"",VLOOKUP(MID($A72,3,1),Kanji_2_HanViet!$A:$C,2,FALSE))</f>
        <v/>
      </c>
      <c r="F72" s="15" t="str">
        <f>IF(ISNA(VLOOKUP(MID($A72,4,1),Kanji_2_HanViet!$A:$C,2,FALSE)),"",VLOOKUP(MID($A72,4,1),Kanji_2_HanViet!$A:$C,2,FALSE))</f>
        <v/>
      </c>
      <c r="G72" s="15" t="str">
        <f>IF(ISNA(VLOOKUP(MID($A72,5,1),Kanji_2_HanViet!$A:$C,2,FALSE)),"",VLOOKUP(MID($A72,5,1),Kanji_2_HanViet!$A:$C,2,FALSE))</f>
        <v/>
      </c>
      <c r="H72" s="15" t="str">
        <f>IF(ISNA(VLOOKUP(MID($A72,6,1),Kanji_2_HanViet!$A:$C,2,FALSE)),"",VLOOKUP(MID($A72,6,1),Kanji_2_HanViet!$A:$C,2,FALSE))</f>
        <v/>
      </c>
      <c r="I72" s="15" t="str">
        <f>IF(ISNA(VLOOKUP(MID($A72,7,1),Kanji_2_HanViet!$A:$C,2,FALSE)),"",VLOOKUP(MID($A72,7,1),Kanji_2_HanViet!$A:$C,2,FALSE))</f>
        <v/>
      </c>
      <c r="J72" s="15" t="str">
        <f>IF(ISNA(VLOOKUP(MID($A72,8,1),Kanji_2_HanViet!$A:$C,2,FALSE)),"",VLOOKUP(MID($A72,8,1),Kanji_2_HanViet!$A:$C,2,FALSE))</f>
        <v/>
      </c>
      <c r="K72" s="15" t="str">
        <f>IF(ISNA(VLOOKUP(MID($A72,9,1),Kanji_2_HanViet!$A:$C,2,FALSE)),"",VLOOKUP(MID($A72,9,1),Kanji_2_HanViet!$A:$C,2,FALSE))</f>
        <v/>
      </c>
    </row>
    <row r="73" spans="1:11">
      <c r="A73" s="13" t="str">
        <f>Master!B79</f>
        <v>寄せる</v>
      </c>
      <c r="B73" s="16" t="str">
        <f t="shared" si="1"/>
        <v>KỲ</v>
      </c>
      <c r="C73" s="15" t="str">
        <f>IF(ISNA(VLOOKUP(MID($A73,1,1),Kanji_2_HanViet!$A:$C,2,FALSE)),"",VLOOKUP(MID($A73,1,1),Kanji_2_HanViet!$A:$C,2,FALSE))</f>
        <v>KỲ</v>
      </c>
      <c r="D73" s="15" t="str">
        <f>IF(ISNA(VLOOKUP(MID($A73,2,1),Kanji_2_HanViet!$A:$C,2,FALSE)),"",VLOOKUP(MID($A73,2,1),Kanji_2_HanViet!$A:$C,2,FALSE))</f>
        <v/>
      </c>
      <c r="E73" s="15" t="str">
        <f>IF(ISNA(VLOOKUP(MID($A73,3,1),Kanji_2_HanViet!$A:$C,2,FALSE)),"",VLOOKUP(MID($A73,3,1),Kanji_2_HanViet!$A:$C,2,FALSE))</f>
        <v/>
      </c>
      <c r="F73" s="15" t="str">
        <f>IF(ISNA(VLOOKUP(MID($A73,4,1),Kanji_2_HanViet!$A:$C,2,FALSE)),"",VLOOKUP(MID($A73,4,1),Kanji_2_HanViet!$A:$C,2,FALSE))</f>
        <v/>
      </c>
      <c r="G73" s="15" t="str">
        <f>IF(ISNA(VLOOKUP(MID($A73,5,1),Kanji_2_HanViet!$A:$C,2,FALSE)),"",VLOOKUP(MID($A73,5,1),Kanji_2_HanViet!$A:$C,2,FALSE))</f>
        <v/>
      </c>
      <c r="H73" s="15" t="str">
        <f>IF(ISNA(VLOOKUP(MID($A73,6,1),Kanji_2_HanViet!$A:$C,2,FALSE)),"",VLOOKUP(MID($A73,6,1),Kanji_2_HanViet!$A:$C,2,FALSE))</f>
        <v/>
      </c>
      <c r="I73" s="15" t="str">
        <f>IF(ISNA(VLOOKUP(MID($A73,7,1),Kanji_2_HanViet!$A:$C,2,FALSE)),"",VLOOKUP(MID($A73,7,1),Kanji_2_HanViet!$A:$C,2,FALSE))</f>
        <v/>
      </c>
      <c r="J73" s="15" t="str">
        <f>IF(ISNA(VLOOKUP(MID($A73,8,1),Kanji_2_HanViet!$A:$C,2,FALSE)),"",VLOOKUP(MID($A73,8,1),Kanji_2_HanViet!$A:$C,2,FALSE))</f>
        <v/>
      </c>
      <c r="K73" s="15" t="str">
        <f>IF(ISNA(VLOOKUP(MID($A73,9,1),Kanji_2_HanViet!$A:$C,2,FALSE)),"",VLOOKUP(MID($A73,9,1),Kanji_2_HanViet!$A:$C,2,FALSE))</f>
        <v/>
      </c>
    </row>
    <row r="74" spans="1:11">
      <c r="A74" s="13" t="str">
        <f>Master!B80</f>
        <v>新幹線</v>
      </c>
      <c r="B74" s="16" t="str">
        <f t="shared" si="1"/>
        <v>TÂN CÁN TUYẾN</v>
      </c>
      <c r="C74" s="15" t="str">
        <f>IF(ISNA(VLOOKUP(MID($A74,1,1),Kanji_2_HanViet!$A:$C,2,FALSE)),"",VLOOKUP(MID($A74,1,1),Kanji_2_HanViet!$A:$C,2,FALSE))</f>
        <v>TÂN</v>
      </c>
      <c r="D74" s="15" t="str">
        <f>IF(ISNA(VLOOKUP(MID($A74,2,1),Kanji_2_HanViet!$A:$C,2,FALSE)),"",VLOOKUP(MID($A74,2,1),Kanji_2_HanViet!$A:$C,2,FALSE))</f>
        <v>CÁN</v>
      </c>
      <c r="E74" s="15" t="str">
        <f>IF(ISNA(VLOOKUP(MID($A74,3,1),Kanji_2_HanViet!$A:$C,2,FALSE)),"",VLOOKUP(MID($A74,3,1),Kanji_2_HanViet!$A:$C,2,FALSE))</f>
        <v>TUYẾN</v>
      </c>
      <c r="F74" s="15" t="str">
        <f>IF(ISNA(VLOOKUP(MID($A74,4,1),Kanji_2_HanViet!$A:$C,2,FALSE)),"",VLOOKUP(MID($A74,4,1),Kanji_2_HanViet!$A:$C,2,FALSE))</f>
        <v/>
      </c>
      <c r="G74" s="15" t="str">
        <f>IF(ISNA(VLOOKUP(MID($A74,5,1),Kanji_2_HanViet!$A:$C,2,FALSE)),"",VLOOKUP(MID($A74,5,1),Kanji_2_HanViet!$A:$C,2,FALSE))</f>
        <v/>
      </c>
      <c r="H74" s="15" t="str">
        <f>IF(ISNA(VLOOKUP(MID($A74,6,1),Kanji_2_HanViet!$A:$C,2,FALSE)),"",VLOOKUP(MID($A74,6,1),Kanji_2_HanViet!$A:$C,2,FALSE))</f>
        <v/>
      </c>
      <c r="I74" s="15" t="str">
        <f>IF(ISNA(VLOOKUP(MID($A74,7,1),Kanji_2_HanViet!$A:$C,2,FALSE)),"",VLOOKUP(MID($A74,7,1),Kanji_2_HanViet!$A:$C,2,FALSE))</f>
        <v/>
      </c>
      <c r="J74" s="15" t="str">
        <f>IF(ISNA(VLOOKUP(MID($A74,8,1),Kanji_2_HanViet!$A:$C,2,FALSE)),"",VLOOKUP(MID($A74,8,1),Kanji_2_HanViet!$A:$C,2,FALSE))</f>
        <v/>
      </c>
      <c r="K74" s="15" t="str">
        <f>IF(ISNA(VLOOKUP(MID($A74,9,1),Kanji_2_HanViet!$A:$C,2,FALSE)),"",VLOOKUP(MID($A74,9,1),Kanji_2_HanViet!$A:$C,2,FALSE))</f>
        <v/>
      </c>
    </row>
    <row r="75" spans="1:11">
      <c r="A75" s="13" t="str">
        <f>Master!B81</f>
        <v>誘致</v>
      </c>
      <c r="B75" s="16" t="str">
        <f t="shared" si="1"/>
        <v>DỤ TRÍ</v>
      </c>
      <c r="C75" s="15" t="str">
        <f>IF(ISNA(VLOOKUP(MID($A75,1,1),Kanji_2_HanViet!$A:$C,2,FALSE)),"",VLOOKUP(MID($A75,1,1),Kanji_2_HanViet!$A:$C,2,FALSE))</f>
        <v>DỤ</v>
      </c>
      <c r="D75" s="15" t="str">
        <f>IF(ISNA(VLOOKUP(MID($A75,2,1),Kanji_2_HanViet!$A:$C,2,FALSE)),"",VLOOKUP(MID($A75,2,1),Kanji_2_HanViet!$A:$C,2,FALSE))</f>
        <v>TRÍ</v>
      </c>
      <c r="E75" s="15" t="str">
        <f>IF(ISNA(VLOOKUP(MID($A75,3,1),Kanji_2_HanViet!$A:$C,2,FALSE)),"",VLOOKUP(MID($A75,3,1),Kanji_2_HanViet!$A:$C,2,FALSE))</f>
        <v/>
      </c>
      <c r="F75" s="15" t="str">
        <f>IF(ISNA(VLOOKUP(MID($A75,4,1),Kanji_2_HanViet!$A:$C,2,FALSE)),"",VLOOKUP(MID($A75,4,1),Kanji_2_HanViet!$A:$C,2,FALSE))</f>
        <v/>
      </c>
      <c r="G75" s="15" t="str">
        <f>IF(ISNA(VLOOKUP(MID($A75,5,1),Kanji_2_HanViet!$A:$C,2,FALSE)),"",VLOOKUP(MID($A75,5,1),Kanji_2_HanViet!$A:$C,2,FALSE))</f>
        <v/>
      </c>
      <c r="H75" s="15" t="str">
        <f>IF(ISNA(VLOOKUP(MID($A75,6,1),Kanji_2_HanViet!$A:$C,2,FALSE)),"",VLOOKUP(MID($A75,6,1),Kanji_2_HanViet!$A:$C,2,FALSE))</f>
        <v/>
      </c>
      <c r="I75" s="15" t="str">
        <f>IF(ISNA(VLOOKUP(MID($A75,7,1),Kanji_2_HanViet!$A:$C,2,FALSE)),"",VLOOKUP(MID($A75,7,1),Kanji_2_HanViet!$A:$C,2,FALSE))</f>
        <v/>
      </c>
      <c r="J75" s="15" t="str">
        <f>IF(ISNA(VLOOKUP(MID($A75,8,1),Kanji_2_HanViet!$A:$C,2,FALSE)),"",VLOOKUP(MID($A75,8,1),Kanji_2_HanViet!$A:$C,2,FALSE))</f>
        <v/>
      </c>
      <c r="K75" s="15" t="str">
        <f>IF(ISNA(VLOOKUP(MID($A75,9,1),Kanji_2_HanViet!$A:$C,2,FALSE)),"",VLOOKUP(MID($A75,9,1),Kanji_2_HanViet!$A:$C,2,FALSE))</f>
        <v/>
      </c>
    </row>
    <row r="76" spans="1:11">
      <c r="A76" s="13" t="str">
        <f>Master!B82</f>
        <v>議論</v>
      </c>
      <c r="B76" s="16" t="str">
        <f t="shared" si="1"/>
        <v>NGHỊ LUẬN</v>
      </c>
      <c r="C76" s="15" t="str">
        <f>IF(ISNA(VLOOKUP(MID($A76,1,1),Kanji_2_HanViet!$A:$C,2,FALSE)),"",VLOOKUP(MID($A76,1,1),Kanji_2_HanViet!$A:$C,2,FALSE))</f>
        <v>NGHỊ</v>
      </c>
      <c r="D76" s="15" t="str">
        <f>IF(ISNA(VLOOKUP(MID($A76,2,1),Kanji_2_HanViet!$A:$C,2,FALSE)),"",VLOOKUP(MID($A76,2,1),Kanji_2_HanViet!$A:$C,2,FALSE))</f>
        <v>LUẬN</v>
      </c>
      <c r="E76" s="15" t="str">
        <f>IF(ISNA(VLOOKUP(MID($A76,3,1),Kanji_2_HanViet!$A:$C,2,FALSE)),"",VLOOKUP(MID($A76,3,1),Kanji_2_HanViet!$A:$C,2,FALSE))</f>
        <v/>
      </c>
      <c r="F76" s="15" t="str">
        <f>IF(ISNA(VLOOKUP(MID($A76,4,1),Kanji_2_HanViet!$A:$C,2,FALSE)),"",VLOOKUP(MID($A76,4,1),Kanji_2_HanViet!$A:$C,2,FALSE))</f>
        <v/>
      </c>
      <c r="G76" s="15" t="str">
        <f>IF(ISNA(VLOOKUP(MID($A76,5,1),Kanji_2_HanViet!$A:$C,2,FALSE)),"",VLOOKUP(MID($A76,5,1),Kanji_2_HanViet!$A:$C,2,FALSE))</f>
        <v/>
      </c>
      <c r="H76" s="15" t="str">
        <f>IF(ISNA(VLOOKUP(MID($A76,6,1),Kanji_2_HanViet!$A:$C,2,FALSE)),"",VLOOKUP(MID($A76,6,1),Kanji_2_HanViet!$A:$C,2,FALSE))</f>
        <v/>
      </c>
      <c r="I76" s="15" t="str">
        <f>IF(ISNA(VLOOKUP(MID($A76,7,1),Kanji_2_HanViet!$A:$C,2,FALSE)),"",VLOOKUP(MID($A76,7,1),Kanji_2_HanViet!$A:$C,2,FALSE))</f>
        <v/>
      </c>
      <c r="J76" s="15" t="str">
        <f>IF(ISNA(VLOOKUP(MID($A76,8,1),Kanji_2_HanViet!$A:$C,2,FALSE)),"",VLOOKUP(MID($A76,8,1),Kanji_2_HanViet!$A:$C,2,FALSE))</f>
        <v/>
      </c>
      <c r="K76" s="15" t="str">
        <f>IF(ISNA(VLOOKUP(MID($A76,9,1),Kanji_2_HanViet!$A:$C,2,FALSE)),"",VLOOKUP(MID($A76,9,1),Kanji_2_HanViet!$A:$C,2,FALSE))</f>
        <v/>
      </c>
    </row>
    <row r="77" spans="1:11">
      <c r="A77" s="13" t="str">
        <f>Master!B83</f>
        <v>交わす</v>
      </c>
      <c r="B77" s="16" t="str">
        <f t="shared" si="1"/>
        <v>GIAO</v>
      </c>
      <c r="C77" s="15" t="str">
        <f>IF(ISNA(VLOOKUP(MID($A77,1,1),Kanji_2_HanViet!$A:$C,2,FALSE)),"",VLOOKUP(MID($A77,1,1),Kanji_2_HanViet!$A:$C,2,FALSE))</f>
        <v>GIAO</v>
      </c>
      <c r="D77" s="15" t="str">
        <f>IF(ISNA(VLOOKUP(MID($A77,2,1),Kanji_2_HanViet!$A:$C,2,FALSE)),"",VLOOKUP(MID($A77,2,1),Kanji_2_HanViet!$A:$C,2,FALSE))</f>
        <v/>
      </c>
      <c r="E77" s="15" t="str">
        <f>IF(ISNA(VLOOKUP(MID($A77,3,1),Kanji_2_HanViet!$A:$C,2,FALSE)),"",VLOOKUP(MID($A77,3,1),Kanji_2_HanViet!$A:$C,2,FALSE))</f>
        <v/>
      </c>
      <c r="F77" s="15" t="str">
        <f>IF(ISNA(VLOOKUP(MID($A77,4,1),Kanji_2_HanViet!$A:$C,2,FALSE)),"",VLOOKUP(MID($A77,4,1),Kanji_2_HanViet!$A:$C,2,FALSE))</f>
        <v/>
      </c>
      <c r="G77" s="15" t="str">
        <f>IF(ISNA(VLOOKUP(MID($A77,5,1),Kanji_2_HanViet!$A:$C,2,FALSE)),"",VLOOKUP(MID($A77,5,1),Kanji_2_HanViet!$A:$C,2,FALSE))</f>
        <v/>
      </c>
      <c r="H77" s="15" t="str">
        <f>IF(ISNA(VLOOKUP(MID($A77,6,1),Kanji_2_HanViet!$A:$C,2,FALSE)),"",VLOOKUP(MID($A77,6,1),Kanji_2_HanViet!$A:$C,2,FALSE))</f>
        <v/>
      </c>
      <c r="I77" s="15" t="str">
        <f>IF(ISNA(VLOOKUP(MID($A77,7,1),Kanji_2_HanViet!$A:$C,2,FALSE)),"",VLOOKUP(MID($A77,7,1),Kanji_2_HanViet!$A:$C,2,FALSE))</f>
        <v/>
      </c>
      <c r="J77" s="15" t="str">
        <f>IF(ISNA(VLOOKUP(MID($A77,8,1),Kanji_2_HanViet!$A:$C,2,FALSE)),"",VLOOKUP(MID($A77,8,1),Kanji_2_HanViet!$A:$C,2,FALSE))</f>
        <v/>
      </c>
      <c r="K77" s="15" t="str">
        <f>IF(ISNA(VLOOKUP(MID($A77,9,1),Kanji_2_HanViet!$A:$C,2,FALSE)),"",VLOOKUP(MID($A77,9,1),Kanji_2_HanViet!$A:$C,2,FALSE))</f>
        <v/>
      </c>
    </row>
    <row r="78" spans="1:11">
      <c r="A78" s="13" t="str">
        <f>Master!B84</f>
        <v>相談する</v>
      </c>
      <c r="B78" s="16" t="str">
        <f t="shared" si="1"/>
        <v>TƯƠNG/TƯỚNG ĐÀM</v>
      </c>
      <c r="C78" s="15" t="str">
        <f>IF(ISNA(VLOOKUP(MID($A78,1,1),Kanji_2_HanViet!$A:$C,2,FALSE)),"",VLOOKUP(MID($A78,1,1),Kanji_2_HanViet!$A:$C,2,FALSE))</f>
        <v>TƯƠNG/TƯỚNG</v>
      </c>
      <c r="D78" s="15" t="str">
        <f>IF(ISNA(VLOOKUP(MID($A78,2,1),Kanji_2_HanViet!$A:$C,2,FALSE)),"",VLOOKUP(MID($A78,2,1),Kanji_2_HanViet!$A:$C,2,FALSE))</f>
        <v>ĐÀM</v>
      </c>
      <c r="E78" s="15" t="str">
        <f>IF(ISNA(VLOOKUP(MID($A78,3,1),Kanji_2_HanViet!$A:$C,2,FALSE)),"",VLOOKUP(MID($A78,3,1),Kanji_2_HanViet!$A:$C,2,FALSE))</f>
        <v/>
      </c>
      <c r="F78" s="15" t="str">
        <f>IF(ISNA(VLOOKUP(MID($A78,4,1),Kanji_2_HanViet!$A:$C,2,FALSE)),"",VLOOKUP(MID($A78,4,1),Kanji_2_HanViet!$A:$C,2,FALSE))</f>
        <v/>
      </c>
      <c r="G78" s="15" t="str">
        <f>IF(ISNA(VLOOKUP(MID($A78,5,1),Kanji_2_HanViet!$A:$C,2,FALSE)),"",VLOOKUP(MID($A78,5,1),Kanji_2_HanViet!$A:$C,2,FALSE))</f>
        <v/>
      </c>
      <c r="H78" s="15" t="str">
        <f>IF(ISNA(VLOOKUP(MID($A78,6,1),Kanji_2_HanViet!$A:$C,2,FALSE)),"",VLOOKUP(MID($A78,6,1),Kanji_2_HanViet!$A:$C,2,FALSE))</f>
        <v/>
      </c>
      <c r="I78" s="15" t="str">
        <f>IF(ISNA(VLOOKUP(MID($A78,7,1),Kanji_2_HanViet!$A:$C,2,FALSE)),"",VLOOKUP(MID($A78,7,1),Kanji_2_HanViet!$A:$C,2,FALSE))</f>
        <v/>
      </c>
      <c r="J78" s="15" t="str">
        <f>IF(ISNA(VLOOKUP(MID($A78,8,1),Kanji_2_HanViet!$A:$C,2,FALSE)),"",VLOOKUP(MID($A78,8,1),Kanji_2_HanViet!$A:$C,2,FALSE))</f>
        <v/>
      </c>
      <c r="K78" s="15" t="str">
        <f>IF(ISNA(VLOOKUP(MID($A78,9,1),Kanji_2_HanViet!$A:$C,2,FALSE)),"",VLOOKUP(MID($A78,9,1),Kanji_2_HanViet!$A:$C,2,FALSE))</f>
        <v/>
      </c>
    </row>
    <row r="79" spans="1:11">
      <c r="A79" s="13" t="str">
        <f>Master!B85</f>
        <v>留学</v>
      </c>
      <c r="B79" s="16" t="str">
        <f t="shared" si="1"/>
        <v>LƯU HỌC</v>
      </c>
      <c r="C79" s="15" t="str">
        <f>IF(ISNA(VLOOKUP(MID($A79,1,1),Kanji_2_HanViet!$A:$C,2,FALSE)),"",VLOOKUP(MID($A79,1,1),Kanji_2_HanViet!$A:$C,2,FALSE))</f>
        <v>LƯU</v>
      </c>
      <c r="D79" s="15" t="str">
        <f>IF(ISNA(VLOOKUP(MID($A79,2,1),Kanji_2_HanViet!$A:$C,2,FALSE)),"",VLOOKUP(MID($A79,2,1),Kanji_2_HanViet!$A:$C,2,FALSE))</f>
        <v>HỌC</v>
      </c>
      <c r="E79" s="15" t="str">
        <f>IF(ISNA(VLOOKUP(MID($A79,3,1),Kanji_2_HanViet!$A:$C,2,FALSE)),"",VLOOKUP(MID($A79,3,1),Kanji_2_HanViet!$A:$C,2,FALSE))</f>
        <v/>
      </c>
      <c r="F79" s="15" t="str">
        <f>IF(ISNA(VLOOKUP(MID($A79,4,1),Kanji_2_HanViet!$A:$C,2,FALSE)),"",VLOOKUP(MID($A79,4,1),Kanji_2_HanViet!$A:$C,2,FALSE))</f>
        <v/>
      </c>
      <c r="G79" s="15" t="str">
        <f>IF(ISNA(VLOOKUP(MID($A79,5,1),Kanji_2_HanViet!$A:$C,2,FALSE)),"",VLOOKUP(MID($A79,5,1),Kanji_2_HanViet!$A:$C,2,FALSE))</f>
        <v/>
      </c>
      <c r="H79" s="15" t="str">
        <f>IF(ISNA(VLOOKUP(MID($A79,6,1),Kanji_2_HanViet!$A:$C,2,FALSE)),"",VLOOKUP(MID($A79,6,1),Kanji_2_HanViet!$A:$C,2,FALSE))</f>
        <v/>
      </c>
      <c r="I79" s="15" t="str">
        <f>IF(ISNA(VLOOKUP(MID($A79,7,1),Kanji_2_HanViet!$A:$C,2,FALSE)),"",VLOOKUP(MID($A79,7,1),Kanji_2_HanViet!$A:$C,2,FALSE))</f>
        <v/>
      </c>
      <c r="J79" s="15" t="str">
        <f>IF(ISNA(VLOOKUP(MID($A79,8,1),Kanji_2_HanViet!$A:$C,2,FALSE)),"",VLOOKUP(MID($A79,8,1),Kanji_2_HanViet!$A:$C,2,FALSE))</f>
        <v/>
      </c>
      <c r="K79" s="15" t="str">
        <f>IF(ISNA(VLOOKUP(MID($A79,9,1),Kanji_2_HanViet!$A:$C,2,FALSE)),"",VLOOKUP(MID($A79,9,1),Kanji_2_HanViet!$A:$C,2,FALSE))</f>
        <v/>
      </c>
    </row>
    <row r="80" spans="1:11">
      <c r="A80" s="13" t="str">
        <f>Master!B86</f>
        <v>忘年会</v>
      </c>
      <c r="B80" s="16" t="str">
        <f t="shared" si="1"/>
        <v>VONG NIÊN HỘI</v>
      </c>
      <c r="C80" s="15" t="str">
        <f>IF(ISNA(VLOOKUP(MID($A80,1,1),Kanji_2_HanViet!$A:$C,2,FALSE)),"",VLOOKUP(MID($A80,1,1),Kanji_2_HanViet!$A:$C,2,FALSE))</f>
        <v>VONG</v>
      </c>
      <c r="D80" s="15" t="str">
        <f>IF(ISNA(VLOOKUP(MID($A80,2,1),Kanji_2_HanViet!$A:$C,2,FALSE)),"",VLOOKUP(MID($A80,2,1),Kanji_2_HanViet!$A:$C,2,FALSE))</f>
        <v>NIÊN</v>
      </c>
      <c r="E80" s="15" t="str">
        <f>IF(ISNA(VLOOKUP(MID($A80,3,1),Kanji_2_HanViet!$A:$C,2,FALSE)),"",VLOOKUP(MID($A80,3,1),Kanji_2_HanViet!$A:$C,2,FALSE))</f>
        <v>HỘI</v>
      </c>
      <c r="F80" s="15" t="str">
        <f>IF(ISNA(VLOOKUP(MID($A80,4,1),Kanji_2_HanViet!$A:$C,2,FALSE)),"",VLOOKUP(MID($A80,4,1),Kanji_2_HanViet!$A:$C,2,FALSE))</f>
        <v/>
      </c>
      <c r="G80" s="15" t="str">
        <f>IF(ISNA(VLOOKUP(MID($A80,5,1),Kanji_2_HanViet!$A:$C,2,FALSE)),"",VLOOKUP(MID($A80,5,1),Kanji_2_HanViet!$A:$C,2,FALSE))</f>
        <v/>
      </c>
      <c r="H80" s="15" t="str">
        <f>IF(ISNA(VLOOKUP(MID($A80,6,1),Kanji_2_HanViet!$A:$C,2,FALSE)),"",VLOOKUP(MID($A80,6,1),Kanji_2_HanViet!$A:$C,2,FALSE))</f>
        <v/>
      </c>
      <c r="I80" s="15" t="str">
        <f>IF(ISNA(VLOOKUP(MID($A80,7,1),Kanji_2_HanViet!$A:$C,2,FALSE)),"",VLOOKUP(MID($A80,7,1),Kanji_2_HanViet!$A:$C,2,FALSE))</f>
        <v/>
      </c>
      <c r="J80" s="15" t="str">
        <f>IF(ISNA(VLOOKUP(MID($A80,8,1),Kanji_2_HanViet!$A:$C,2,FALSE)),"",VLOOKUP(MID($A80,8,1),Kanji_2_HanViet!$A:$C,2,FALSE))</f>
        <v/>
      </c>
      <c r="K80" s="15" t="str">
        <f>IF(ISNA(VLOOKUP(MID($A80,9,1),Kanji_2_HanViet!$A:$C,2,FALSE)),"",VLOOKUP(MID($A80,9,1),Kanji_2_HanViet!$A:$C,2,FALSE))</f>
        <v/>
      </c>
    </row>
    <row r="81" spans="1:11">
      <c r="A81" s="13" t="str">
        <f>Master!B87</f>
        <v>中華料理</v>
      </c>
      <c r="B81" s="16" t="str">
        <f t="shared" si="1"/>
        <v>TRUNG HOA LIỆU LÝ</v>
      </c>
      <c r="C81" s="15" t="str">
        <f>IF(ISNA(VLOOKUP(MID($A81,1,1),Kanji_2_HanViet!$A:$C,2,FALSE)),"",VLOOKUP(MID($A81,1,1),Kanji_2_HanViet!$A:$C,2,FALSE))</f>
        <v>TRUNG</v>
      </c>
      <c r="D81" s="15" t="str">
        <f>IF(ISNA(VLOOKUP(MID($A81,2,1),Kanji_2_HanViet!$A:$C,2,FALSE)),"",VLOOKUP(MID($A81,2,1),Kanji_2_HanViet!$A:$C,2,FALSE))</f>
        <v>HOA</v>
      </c>
      <c r="E81" s="15" t="str">
        <f>IF(ISNA(VLOOKUP(MID($A81,3,1),Kanji_2_HanViet!$A:$C,2,FALSE)),"",VLOOKUP(MID($A81,3,1),Kanji_2_HanViet!$A:$C,2,FALSE))</f>
        <v>LIỆU</v>
      </c>
      <c r="F81" s="15" t="str">
        <f>IF(ISNA(VLOOKUP(MID($A81,4,1),Kanji_2_HanViet!$A:$C,2,FALSE)),"",VLOOKUP(MID($A81,4,1),Kanji_2_HanViet!$A:$C,2,FALSE))</f>
        <v>LÝ</v>
      </c>
      <c r="G81" s="15" t="str">
        <f>IF(ISNA(VLOOKUP(MID($A81,5,1),Kanji_2_HanViet!$A:$C,2,FALSE)),"",VLOOKUP(MID($A81,5,1),Kanji_2_HanViet!$A:$C,2,FALSE))</f>
        <v/>
      </c>
      <c r="H81" s="15" t="str">
        <f>IF(ISNA(VLOOKUP(MID($A81,6,1),Kanji_2_HanViet!$A:$C,2,FALSE)),"",VLOOKUP(MID($A81,6,1),Kanji_2_HanViet!$A:$C,2,FALSE))</f>
        <v/>
      </c>
      <c r="I81" s="15" t="str">
        <f>IF(ISNA(VLOOKUP(MID($A81,7,1),Kanji_2_HanViet!$A:$C,2,FALSE)),"",VLOOKUP(MID($A81,7,1),Kanji_2_HanViet!$A:$C,2,FALSE))</f>
        <v/>
      </c>
      <c r="J81" s="15" t="str">
        <f>IF(ISNA(VLOOKUP(MID($A81,8,1),Kanji_2_HanViet!$A:$C,2,FALSE)),"",VLOOKUP(MID($A81,8,1),Kanji_2_HanViet!$A:$C,2,FALSE))</f>
        <v/>
      </c>
      <c r="K81" s="15" t="str">
        <f>IF(ISNA(VLOOKUP(MID($A81,9,1),Kanji_2_HanViet!$A:$C,2,FALSE)),"",VLOOKUP(MID($A81,9,1),Kanji_2_HanViet!$A:$C,2,FALSE))</f>
        <v/>
      </c>
    </row>
    <row r="82" spans="1:11">
      <c r="A82" s="13" t="str">
        <f>Master!B88</f>
        <v>希望</v>
      </c>
      <c r="B82" s="16" t="str">
        <f t="shared" si="1"/>
        <v>HY VỌNG</v>
      </c>
      <c r="C82" s="15" t="str">
        <f>IF(ISNA(VLOOKUP(MID($A82,1,1),Kanji_2_HanViet!$A:$C,2,FALSE)),"",VLOOKUP(MID($A82,1,1),Kanji_2_HanViet!$A:$C,2,FALSE))</f>
        <v>HY</v>
      </c>
      <c r="D82" s="15" t="str">
        <f>IF(ISNA(VLOOKUP(MID($A82,2,1),Kanji_2_HanViet!$A:$C,2,FALSE)),"",VLOOKUP(MID($A82,2,1),Kanji_2_HanViet!$A:$C,2,FALSE))</f>
        <v>VỌNG</v>
      </c>
      <c r="E82" s="15" t="str">
        <f>IF(ISNA(VLOOKUP(MID($A82,3,1),Kanji_2_HanViet!$A:$C,2,FALSE)),"",VLOOKUP(MID($A82,3,1),Kanji_2_HanViet!$A:$C,2,FALSE))</f>
        <v/>
      </c>
      <c r="F82" s="15" t="str">
        <f>IF(ISNA(VLOOKUP(MID($A82,4,1),Kanji_2_HanViet!$A:$C,2,FALSE)),"",VLOOKUP(MID($A82,4,1),Kanji_2_HanViet!$A:$C,2,FALSE))</f>
        <v/>
      </c>
      <c r="G82" s="15" t="str">
        <f>IF(ISNA(VLOOKUP(MID($A82,5,1),Kanji_2_HanViet!$A:$C,2,FALSE)),"",VLOOKUP(MID($A82,5,1),Kanji_2_HanViet!$A:$C,2,FALSE))</f>
        <v/>
      </c>
      <c r="H82" s="15" t="str">
        <f>IF(ISNA(VLOOKUP(MID($A82,6,1),Kanji_2_HanViet!$A:$C,2,FALSE)),"",VLOOKUP(MID($A82,6,1),Kanji_2_HanViet!$A:$C,2,FALSE))</f>
        <v/>
      </c>
      <c r="I82" s="15" t="str">
        <f>IF(ISNA(VLOOKUP(MID($A82,7,1),Kanji_2_HanViet!$A:$C,2,FALSE)),"",VLOOKUP(MID($A82,7,1),Kanji_2_HanViet!$A:$C,2,FALSE))</f>
        <v/>
      </c>
      <c r="J82" s="15" t="str">
        <f>IF(ISNA(VLOOKUP(MID($A82,8,1),Kanji_2_HanViet!$A:$C,2,FALSE)),"",VLOOKUP(MID($A82,8,1),Kanji_2_HanViet!$A:$C,2,FALSE))</f>
        <v/>
      </c>
      <c r="K82" s="15" t="str">
        <f>IF(ISNA(VLOOKUP(MID($A82,9,1),Kanji_2_HanViet!$A:$C,2,FALSE)),"",VLOOKUP(MID($A82,9,1),Kanji_2_HanViet!$A:$C,2,FALSE))</f>
        <v/>
      </c>
    </row>
    <row r="83" spans="1:11">
      <c r="A83" s="13" t="str">
        <f>Master!B89</f>
        <v>泉</v>
      </c>
      <c r="B83" s="16" t="str">
        <f t="shared" si="1"/>
        <v>TUYỀN</v>
      </c>
      <c r="C83" s="15" t="str">
        <f>IF(ISNA(VLOOKUP(MID($A83,1,1),Kanji_2_HanViet!$A:$C,2,FALSE)),"",VLOOKUP(MID($A83,1,1),Kanji_2_HanViet!$A:$C,2,FALSE))</f>
        <v>TUYỀN</v>
      </c>
      <c r="D83" s="15" t="str">
        <f>IF(ISNA(VLOOKUP(MID($A83,2,1),Kanji_2_HanViet!$A:$C,2,FALSE)),"",VLOOKUP(MID($A83,2,1),Kanji_2_HanViet!$A:$C,2,FALSE))</f>
        <v/>
      </c>
      <c r="E83" s="15" t="str">
        <f>IF(ISNA(VLOOKUP(MID($A83,3,1),Kanji_2_HanViet!$A:$C,2,FALSE)),"",VLOOKUP(MID($A83,3,1),Kanji_2_HanViet!$A:$C,2,FALSE))</f>
        <v/>
      </c>
      <c r="F83" s="15" t="str">
        <f>IF(ISNA(VLOOKUP(MID($A83,4,1),Kanji_2_HanViet!$A:$C,2,FALSE)),"",VLOOKUP(MID($A83,4,1),Kanji_2_HanViet!$A:$C,2,FALSE))</f>
        <v/>
      </c>
      <c r="G83" s="15" t="str">
        <f>IF(ISNA(VLOOKUP(MID($A83,5,1),Kanji_2_HanViet!$A:$C,2,FALSE)),"",VLOOKUP(MID($A83,5,1),Kanji_2_HanViet!$A:$C,2,FALSE))</f>
        <v/>
      </c>
      <c r="H83" s="15" t="str">
        <f>IF(ISNA(VLOOKUP(MID($A83,6,1),Kanji_2_HanViet!$A:$C,2,FALSE)),"",VLOOKUP(MID($A83,6,1),Kanji_2_HanViet!$A:$C,2,FALSE))</f>
        <v/>
      </c>
      <c r="I83" s="15" t="str">
        <f>IF(ISNA(VLOOKUP(MID($A83,7,1),Kanji_2_HanViet!$A:$C,2,FALSE)),"",VLOOKUP(MID($A83,7,1),Kanji_2_HanViet!$A:$C,2,FALSE))</f>
        <v/>
      </c>
      <c r="J83" s="15" t="str">
        <f>IF(ISNA(VLOOKUP(MID($A83,8,1),Kanji_2_HanViet!$A:$C,2,FALSE)),"",VLOOKUP(MID($A83,8,1),Kanji_2_HanViet!$A:$C,2,FALSE))</f>
        <v/>
      </c>
      <c r="K83" s="15" t="str">
        <f>IF(ISNA(VLOOKUP(MID($A83,9,1),Kanji_2_HanViet!$A:$C,2,FALSE)),"",VLOOKUP(MID($A83,9,1),Kanji_2_HanViet!$A:$C,2,FALSE))</f>
        <v/>
      </c>
    </row>
    <row r="84" spans="1:11">
      <c r="A84" s="13" t="str">
        <f>Master!B90</f>
        <v>絶える</v>
      </c>
      <c r="B84" s="16" t="str">
        <f t="shared" si="1"/>
        <v>TUYỆT</v>
      </c>
      <c r="C84" s="15" t="str">
        <f>IF(ISNA(VLOOKUP(MID($A84,1,1),Kanji_2_HanViet!$A:$C,2,FALSE)),"",VLOOKUP(MID($A84,1,1),Kanji_2_HanViet!$A:$C,2,FALSE))</f>
        <v>TUYỆT</v>
      </c>
      <c r="D84" s="15" t="str">
        <f>IF(ISNA(VLOOKUP(MID($A84,2,1),Kanji_2_HanViet!$A:$C,2,FALSE)),"",VLOOKUP(MID($A84,2,1),Kanji_2_HanViet!$A:$C,2,FALSE))</f>
        <v/>
      </c>
      <c r="E84" s="15" t="str">
        <f>IF(ISNA(VLOOKUP(MID($A84,3,1),Kanji_2_HanViet!$A:$C,2,FALSE)),"",VLOOKUP(MID($A84,3,1),Kanji_2_HanViet!$A:$C,2,FALSE))</f>
        <v/>
      </c>
      <c r="F84" s="15" t="str">
        <f>IF(ISNA(VLOOKUP(MID($A84,4,1),Kanji_2_HanViet!$A:$C,2,FALSE)),"",VLOOKUP(MID($A84,4,1),Kanji_2_HanViet!$A:$C,2,FALSE))</f>
        <v/>
      </c>
      <c r="G84" s="15" t="str">
        <f>IF(ISNA(VLOOKUP(MID($A84,5,1),Kanji_2_HanViet!$A:$C,2,FALSE)),"",VLOOKUP(MID($A84,5,1),Kanji_2_HanViet!$A:$C,2,FALSE))</f>
        <v/>
      </c>
      <c r="H84" s="15" t="str">
        <f>IF(ISNA(VLOOKUP(MID($A84,6,1),Kanji_2_HanViet!$A:$C,2,FALSE)),"",VLOOKUP(MID($A84,6,1),Kanji_2_HanViet!$A:$C,2,FALSE))</f>
        <v/>
      </c>
      <c r="I84" s="15" t="str">
        <f>IF(ISNA(VLOOKUP(MID($A84,7,1),Kanji_2_HanViet!$A:$C,2,FALSE)),"",VLOOKUP(MID($A84,7,1),Kanji_2_HanViet!$A:$C,2,FALSE))</f>
        <v/>
      </c>
      <c r="J84" s="15" t="str">
        <f>IF(ISNA(VLOOKUP(MID($A84,8,1),Kanji_2_HanViet!$A:$C,2,FALSE)),"",VLOOKUP(MID($A84,8,1),Kanji_2_HanViet!$A:$C,2,FALSE))</f>
        <v/>
      </c>
      <c r="K84" s="15" t="str">
        <f>IF(ISNA(VLOOKUP(MID($A84,9,1),Kanji_2_HanViet!$A:$C,2,FALSE)),"",VLOOKUP(MID($A84,9,1),Kanji_2_HanViet!$A:$C,2,FALSE))</f>
        <v/>
      </c>
    </row>
    <row r="85" spans="1:11">
      <c r="A85" s="13" t="str">
        <f>Master!B91</f>
        <v>わき出る</v>
      </c>
      <c r="B85" s="16" t="str">
        <f t="shared" si="1"/>
        <v>XUẤT</v>
      </c>
      <c r="C85" s="15" t="str">
        <f>IF(ISNA(VLOOKUP(MID($A85,1,1),Kanji_2_HanViet!$A:$C,2,FALSE)),"",VLOOKUP(MID($A85,1,1),Kanji_2_HanViet!$A:$C,2,FALSE))</f>
        <v/>
      </c>
      <c r="D85" s="15" t="str">
        <f>IF(ISNA(VLOOKUP(MID($A85,2,1),Kanji_2_HanViet!$A:$C,2,FALSE)),"",VLOOKUP(MID($A85,2,1),Kanji_2_HanViet!$A:$C,2,FALSE))</f>
        <v/>
      </c>
      <c r="E85" s="15" t="str">
        <f>IF(ISNA(VLOOKUP(MID($A85,3,1),Kanji_2_HanViet!$A:$C,2,FALSE)),"",VLOOKUP(MID($A85,3,1),Kanji_2_HanViet!$A:$C,2,FALSE))</f>
        <v>XUẤT</v>
      </c>
      <c r="F85" s="15" t="str">
        <f>IF(ISNA(VLOOKUP(MID($A85,4,1),Kanji_2_HanViet!$A:$C,2,FALSE)),"",VLOOKUP(MID($A85,4,1),Kanji_2_HanViet!$A:$C,2,FALSE))</f>
        <v/>
      </c>
      <c r="G85" s="15" t="str">
        <f>IF(ISNA(VLOOKUP(MID($A85,5,1),Kanji_2_HanViet!$A:$C,2,FALSE)),"",VLOOKUP(MID($A85,5,1),Kanji_2_HanViet!$A:$C,2,FALSE))</f>
        <v/>
      </c>
      <c r="H85" s="15" t="str">
        <f>IF(ISNA(VLOOKUP(MID($A85,6,1),Kanji_2_HanViet!$A:$C,2,FALSE)),"",VLOOKUP(MID($A85,6,1),Kanji_2_HanViet!$A:$C,2,FALSE))</f>
        <v/>
      </c>
      <c r="I85" s="15" t="str">
        <f>IF(ISNA(VLOOKUP(MID($A85,7,1),Kanji_2_HanViet!$A:$C,2,FALSE)),"",VLOOKUP(MID($A85,7,1),Kanji_2_HanViet!$A:$C,2,FALSE))</f>
        <v/>
      </c>
      <c r="J85" s="15" t="str">
        <f>IF(ISNA(VLOOKUP(MID($A85,8,1),Kanji_2_HanViet!$A:$C,2,FALSE)),"",VLOOKUP(MID($A85,8,1),Kanji_2_HanViet!$A:$C,2,FALSE))</f>
        <v/>
      </c>
      <c r="K85" s="15" t="str">
        <f>IF(ISNA(VLOOKUP(MID($A85,9,1),Kanji_2_HanViet!$A:$C,2,FALSE)),"",VLOOKUP(MID($A85,9,1),Kanji_2_HanViet!$A:$C,2,FALSE))</f>
        <v/>
      </c>
    </row>
    <row r="86" spans="1:11">
      <c r="A86" s="13" t="str">
        <f>Master!B92</f>
        <v>適す</v>
      </c>
      <c r="B86" s="16" t="str">
        <f t="shared" si="1"/>
        <v>THÍCH</v>
      </c>
      <c r="C86" s="15" t="str">
        <f>IF(ISNA(VLOOKUP(MID($A86,1,1),Kanji_2_HanViet!$A:$C,2,FALSE)),"",VLOOKUP(MID($A86,1,1),Kanji_2_HanViet!$A:$C,2,FALSE))</f>
        <v>THÍCH</v>
      </c>
      <c r="D86" s="15" t="str">
        <f>IF(ISNA(VLOOKUP(MID($A86,2,1),Kanji_2_HanViet!$A:$C,2,FALSE)),"",VLOOKUP(MID($A86,2,1),Kanji_2_HanViet!$A:$C,2,FALSE))</f>
        <v/>
      </c>
      <c r="E86" s="15" t="str">
        <f>IF(ISNA(VLOOKUP(MID($A86,3,1),Kanji_2_HanViet!$A:$C,2,FALSE)),"",VLOOKUP(MID($A86,3,1),Kanji_2_HanViet!$A:$C,2,FALSE))</f>
        <v/>
      </c>
      <c r="F86" s="15" t="str">
        <f>IF(ISNA(VLOOKUP(MID($A86,4,1),Kanji_2_HanViet!$A:$C,2,FALSE)),"",VLOOKUP(MID($A86,4,1),Kanji_2_HanViet!$A:$C,2,FALSE))</f>
        <v/>
      </c>
      <c r="G86" s="15" t="str">
        <f>IF(ISNA(VLOOKUP(MID($A86,5,1),Kanji_2_HanViet!$A:$C,2,FALSE)),"",VLOOKUP(MID($A86,5,1),Kanji_2_HanViet!$A:$C,2,FALSE))</f>
        <v/>
      </c>
      <c r="H86" s="15" t="str">
        <f>IF(ISNA(VLOOKUP(MID($A86,6,1),Kanji_2_HanViet!$A:$C,2,FALSE)),"",VLOOKUP(MID($A86,6,1),Kanji_2_HanViet!$A:$C,2,FALSE))</f>
        <v/>
      </c>
      <c r="I86" s="15" t="str">
        <f>IF(ISNA(VLOOKUP(MID($A86,7,1),Kanji_2_HanViet!$A:$C,2,FALSE)),"",VLOOKUP(MID($A86,7,1),Kanji_2_HanViet!$A:$C,2,FALSE))</f>
        <v/>
      </c>
      <c r="J86" s="15" t="str">
        <f>IF(ISNA(VLOOKUP(MID($A86,8,1),Kanji_2_HanViet!$A:$C,2,FALSE)),"",VLOOKUP(MID($A86,8,1),Kanji_2_HanViet!$A:$C,2,FALSE))</f>
        <v/>
      </c>
      <c r="K86" s="15" t="str">
        <f>IF(ISNA(VLOOKUP(MID($A86,9,1),Kanji_2_HanViet!$A:$C,2,FALSE)),"",VLOOKUP(MID($A86,9,1),Kanji_2_HanViet!$A:$C,2,FALSE))</f>
        <v/>
      </c>
    </row>
    <row r="87" spans="1:11">
      <c r="A87" s="13" t="str">
        <f>Master!B93</f>
        <v>アルコール入り</v>
      </c>
      <c r="B87" s="16" t="str">
        <f t="shared" si="1"/>
        <v>NHẬP</v>
      </c>
      <c r="C87" s="15" t="str">
        <f>IF(ISNA(VLOOKUP(MID($A87,1,1),Kanji_2_HanViet!$A:$C,2,FALSE)),"",VLOOKUP(MID($A87,1,1),Kanji_2_HanViet!$A:$C,2,FALSE))</f>
        <v/>
      </c>
      <c r="D87" s="15" t="str">
        <f>IF(ISNA(VLOOKUP(MID($A87,2,1),Kanji_2_HanViet!$A:$C,2,FALSE)),"",VLOOKUP(MID($A87,2,1),Kanji_2_HanViet!$A:$C,2,FALSE))</f>
        <v/>
      </c>
      <c r="E87" s="15" t="str">
        <f>IF(ISNA(VLOOKUP(MID($A87,3,1),Kanji_2_HanViet!$A:$C,2,FALSE)),"",VLOOKUP(MID($A87,3,1),Kanji_2_HanViet!$A:$C,2,FALSE))</f>
        <v/>
      </c>
      <c r="F87" s="15" t="str">
        <f>IF(ISNA(VLOOKUP(MID($A87,4,1),Kanji_2_HanViet!$A:$C,2,FALSE)),"",VLOOKUP(MID($A87,4,1),Kanji_2_HanViet!$A:$C,2,FALSE))</f>
        <v/>
      </c>
      <c r="G87" s="15" t="str">
        <f>IF(ISNA(VLOOKUP(MID($A87,5,1),Kanji_2_HanViet!$A:$C,2,FALSE)),"",VLOOKUP(MID($A87,5,1),Kanji_2_HanViet!$A:$C,2,FALSE))</f>
        <v/>
      </c>
      <c r="H87" s="15" t="str">
        <f>IF(ISNA(VLOOKUP(MID($A87,6,1),Kanji_2_HanViet!$A:$C,2,FALSE)),"",VLOOKUP(MID($A87,6,1),Kanji_2_HanViet!$A:$C,2,FALSE))</f>
        <v>NHẬP</v>
      </c>
      <c r="I87" s="15" t="str">
        <f>IF(ISNA(VLOOKUP(MID($A87,7,1),Kanji_2_HanViet!$A:$C,2,FALSE)),"",VLOOKUP(MID($A87,7,1),Kanji_2_HanViet!$A:$C,2,FALSE))</f>
        <v/>
      </c>
      <c r="J87" s="15" t="str">
        <f>IF(ISNA(VLOOKUP(MID($A87,8,1),Kanji_2_HanViet!$A:$C,2,FALSE)),"",VLOOKUP(MID($A87,8,1),Kanji_2_HanViet!$A:$C,2,FALSE))</f>
        <v/>
      </c>
      <c r="K87" s="15" t="str">
        <f>IF(ISNA(VLOOKUP(MID($A87,9,1),Kanji_2_HanViet!$A:$C,2,FALSE)),"",VLOOKUP(MID($A87,9,1),Kanji_2_HanViet!$A:$C,2,FALSE))</f>
        <v/>
      </c>
    </row>
    <row r="88" spans="1:11">
      <c r="A88" s="13" t="str">
        <f>Master!B94</f>
        <v>マンション</v>
      </c>
      <c r="B88" s="16" t="str">
        <f t="shared" si="1"/>
        <v/>
      </c>
      <c r="C88" s="15" t="str">
        <f>IF(ISNA(VLOOKUP(MID($A88,1,1),Kanji_2_HanViet!$A:$C,2,FALSE)),"",VLOOKUP(MID($A88,1,1),Kanji_2_HanViet!$A:$C,2,FALSE))</f>
        <v/>
      </c>
      <c r="D88" s="15" t="str">
        <f>IF(ISNA(VLOOKUP(MID($A88,2,1),Kanji_2_HanViet!$A:$C,2,FALSE)),"",VLOOKUP(MID($A88,2,1),Kanji_2_HanViet!$A:$C,2,FALSE))</f>
        <v/>
      </c>
      <c r="E88" s="15" t="str">
        <f>IF(ISNA(VLOOKUP(MID($A88,3,1),Kanji_2_HanViet!$A:$C,2,FALSE)),"",VLOOKUP(MID($A88,3,1),Kanji_2_HanViet!$A:$C,2,FALSE))</f>
        <v/>
      </c>
      <c r="F88" s="15" t="str">
        <f>IF(ISNA(VLOOKUP(MID($A88,4,1),Kanji_2_HanViet!$A:$C,2,FALSE)),"",VLOOKUP(MID($A88,4,1),Kanji_2_HanViet!$A:$C,2,FALSE))</f>
        <v/>
      </c>
      <c r="G88" s="15" t="str">
        <f>IF(ISNA(VLOOKUP(MID($A88,5,1),Kanji_2_HanViet!$A:$C,2,FALSE)),"",VLOOKUP(MID($A88,5,1),Kanji_2_HanViet!$A:$C,2,FALSE))</f>
        <v/>
      </c>
      <c r="H88" s="15" t="str">
        <f>IF(ISNA(VLOOKUP(MID($A88,6,1),Kanji_2_HanViet!$A:$C,2,FALSE)),"",VLOOKUP(MID($A88,6,1),Kanji_2_HanViet!$A:$C,2,FALSE))</f>
        <v/>
      </c>
      <c r="I88" s="15" t="str">
        <f>IF(ISNA(VLOOKUP(MID($A88,7,1),Kanji_2_HanViet!$A:$C,2,FALSE)),"",VLOOKUP(MID($A88,7,1),Kanji_2_HanViet!$A:$C,2,FALSE))</f>
        <v/>
      </c>
      <c r="J88" s="15" t="str">
        <f>IF(ISNA(VLOOKUP(MID($A88,8,1),Kanji_2_HanViet!$A:$C,2,FALSE)),"",VLOOKUP(MID($A88,8,1),Kanji_2_HanViet!$A:$C,2,FALSE))</f>
        <v/>
      </c>
      <c r="K88" s="15" t="str">
        <f>IF(ISNA(VLOOKUP(MID($A88,9,1),Kanji_2_HanViet!$A:$C,2,FALSE)),"",VLOOKUP(MID($A88,9,1),Kanji_2_HanViet!$A:$C,2,FALSE))</f>
        <v/>
      </c>
    </row>
    <row r="89" spans="1:11">
      <c r="A89" s="13" t="str">
        <f>Master!B95</f>
        <v>ワンルーム</v>
      </c>
      <c r="B89" s="16" t="str">
        <f t="shared" si="1"/>
        <v/>
      </c>
      <c r="C89" s="15" t="str">
        <f>IF(ISNA(VLOOKUP(MID($A89,1,1),Kanji_2_HanViet!$A:$C,2,FALSE)),"",VLOOKUP(MID($A89,1,1),Kanji_2_HanViet!$A:$C,2,FALSE))</f>
        <v/>
      </c>
      <c r="D89" s="15" t="str">
        <f>IF(ISNA(VLOOKUP(MID($A89,2,1),Kanji_2_HanViet!$A:$C,2,FALSE)),"",VLOOKUP(MID($A89,2,1),Kanji_2_HanViet!$A:$C,2,FALSE))</f>
        <v/>
      </c>
      <c r="E89" s="15" t="str">
        <f>IF(ISNA(VLOOKUP(MID($A89,3,1),Kanji_2_HanViet!$A:$C,2,FALSE)),"",VLOOKUP(MID($A89,3,1),Kanji_2_HanViet!$A:$C,2,FALSE))</f>
        <v/>
      </c>
      <c r="F89" s="15" t="str">
        <f>IF(ISNA(VLOOKUP(MID($A89,4,1),Kanji_2_HanViet!$A:$C,2,FALSE)),"",VLOOKUP(MID($A89,4,1),Kanji_2_HanViet!$A:$C,2,FALSE))</f>
        <v/>
      </c>
      <c r="G89" s="15" t="str">
        <f>IF(ISNA(VLOOKUP(MID($A89,5,1),Kanji_2_HanViet!$A:$C,2,FALSE)),"",VLOOKUP(MID($A89,5,1),Kanji_2_HanViet!$A:$C,2,FALSE))</f>
        <v/>
      </c>
      <c r="H89" s="15" t="str">
        <f>IF(ISNA(VLOOKUP(MID($A89,6,1),Kanji_2_HanViet!$A:$C,2,FALSE)),"",VLOOKUP(MID($A89,6,1),Kanji_2_HanViet!$A:$C,2,FALSE))</f>
        <v/>
      </c>
      <c r="I89" s="15" t="str">
        <f>IF(ISNA(VLOOKUP(MID($A89,7,1),Kanji_2_HanViet!$A:$C,2,FALSE)),"",VLOOKUP(MID($A89,7,1),Kanji_2_HanViet!$A:$C,2,FALSE))</f>
        <v/>
      </c>
      <c r="J89" s="15" t="str">
        <f>IF(ISNA(VLOOKUP(MID($A89,8,1),Kanji_2_HanViet!$A:$C,2,FALSE)),"",VLOOKUP(MID($A89,8,1),Kanji_2_HanViet!$A:$C,2,FALSE))</f>
        <v/>
      </c>
      <c r="K89" s="15" t="str">
        <f>IF(ISNA(VLOOKUP(MID($A89,9,1),Kanji_2_HanViet!$A:$C,2,FALSE)),"",VLOOKUP(MID($A89,9,1),Kanji_2_HanViet!$A:$C,2,FALSE))</f>
        <v/>
      </c>
    </row>
    <row r="90" spans="1:11">
      <c r="A90" s="13" t="str">
        <f>Master!B96</f>
        <v>単身赴任者</v>
      </c>
      <c r="B90" s="16" t="str">
        <f t="shared" si="1"/>
        <v>ĐƠN THÂN PHÓ NHIỆM GIẢ</v>
      </c>
      <c r="C90" s="15" t="str">
        <f>IF(ISNA(VLOOKUP(MID($A90,1,1),Kanji_2_HanViet!$A:$C,2,FALSE)),"",VLOOKUP(MID($A90,1,1),Kanji_2_HanViet!$A:$C,2,FALSE))</f>
        <v>ĐƠN</v>
      </c>
      <c r="D90" s="15" t="str">
        <f>IF(ISNA(VLOOKUP(MID($A90,2,1),Kanji_2_HanViet!$A:$C,2,FALSE)),"",VLOOKUP(MID($A90,2,1),Kanji_2_HanViet!$A:$C,2,FALSE))</f>
        <v>THÂN</v>
      </c>
      <c r="E90" s="15" t="str">
        <f>IF(ISNA(VLOOKUP(MID($A90,3,1),Kanji_2_HanViet!$A:$C,2,FALSE)),"",VLOOKUP(MID($A90,3,1),Kanji_2_HanViet!$A:$C,2,FALSE))</f>
        <v>PHÓ</v>
      </c>
      <c r="F90" s="15" t="str">
        <f>IF(ISNA(VLOOKUP(MID($A90,4,1),Kanji_2_HanViet!$A:$C,2,FALSE)),"",VLOOKUP(MID($A90,4,1),Kanji_2_HanViet!$A:$C,2,FALSE))</f>
        <v>NHIỆM</v>
      </c>
      <c r="G90" s="15" t="str">
        <f>IF(ISNA(VLOOKUP(MID($A90,5,1),Kanji_2_HanViet!$A:$C,2,FALSE)),"",VLOOKUP(MID($A90,5,1),Kanji_2_HanViet!$A:$C,2,FALSE))</f>
        <v>GIẢ</v>
      </c>
      <c r="H90" s="15" t="str">
        <f>IF(ISNA(VLOOKUP(MID($A90,6,1),Kanji_2_HanViet!$A:$C,2,FALSE)),"",VLOOKUP(MID($A90,6,1),Kanji_2_HanViet!$A:$C,2,FALSE))</f>
        <v/>
      </c>
      <c r="I90" s="15" t="str">
        <f>IF(ISNA(VLOOKUP(MID($A90,7,1),Kanji_2_HanViet!$A:$C,2,FALSE)),"",VLOOKUP(MID($A90,7,1),Kanji_2_HanViet!$A:$C,2,FALSE))</f>
        <v/>
      </c>
      <c r="J90" s="15" t="str">
        <f>IF(ISNA(VLOOKUP(MID($A90,8,1),Kanji_2_HanViet!$A:$C,2,FALSE)),"",VLOOKUP(MID($A90,8,1),Kanji_2_HanViet!$A:$C,2,FALSE))</f>
        <v/>
      </c>
      <c r="K90" s="15" t="str">
        <f>IF(ISNA(VLOOKUP(MID($A90,9,1),Kanji_2_HanViet!$A:$C,2,FALSE)),"",VLOOKUP(MID($A90,9,1),Kanji_2_HanViet!$A:$C,2,FALSE))</f>
        <v/>
      </c>
    </row>
    <row r="91" spans="1:11">
      <c r="A91" s="13" t="str">
        <f>Master!B97</f>
        <v>わが社</v>
      </c>
      <c r="B91" s="16" t="str">
        <f t="shared" si="1"/>
        <v>XÃ</v>
      </c>
      <c r="C91" s="15" t="str">
        <f>IF(ISNA(VLOOKUP(MID($A91,1,1),Kanji_2_HanViet!$A:$C,2,FALSE)),"",VLOOKUP(MID($A91,1,1),Kanji_2_HanViet!$A:$C,2,FALSE))</f>
        <v/>
      </c>
      <c r="D91" s="15" t="str">
        <f>IF(ISNA(VLOOKUP(MID($A91,2,1),Kanji_2_HanViet!$A:$C,2,FALSE)),"",VLOOKUP(MID($A91,2,1),Kanji_2_HanViet!$A:$C,2,FALSE))</f>
        <v/>
      </c>
      <c r="E91" s="15" t="str">
        <f>IF(ISNA(VLOOKUP(MID($A91,3,1),Kanji_2_HanViet!$A:$C,2,FALSE)),"",VLOOKUP(MID($A91,3,1),Kanji_2_HanViet!$A:$C,2,FALSE))</f>
        <v>XÃ</v>
      </c>
      <c r="F91" s="15" t="str">
        <f>IF(ISNA(VLOOKUP(MID($A91,4,1),Kanji_2_HanViet!$A:$C,2,FALSE)),"",VLOOKUP(MID($A91,4,1),Kanji_2_HanViet!$A:$C,2,FALSE))</f>
        <v/>
      </c>
      <c r="G91" s="15" t="str">
        <f>IF(ISNA(VLOOKUP(MID($A91,5,1),Kanji_2_HanViet!$A:$C,2,FALSE)),"",VLOOKUP(MID($A91,5,1),Kanji_2_HanViet!$A:$C,2,FALSE))</f>
        <v/>
      </c>
      <c r="H91" s="15" t="str">
        <f>IF(ISNA(VLOOKUP(MID($A91,6,1),Kanji_2_HanViet!$A:$C,2,FALSE)),"",VLOOKUP(MID($A91,6,1),Kanji_2_HanViet!$A:$C,2,FALSE))</f>
        <v/>
      </c>
      <c r="I91" s="15" t="str">
        <f>IF(ISNA(VLOOKUP(MID($A91,7,1),Kanji_2_HanViet!$A:$C,2,FALSE)),"",VLOOKUP(MID($A91,7,1),Kanji_2_HanViet!$A:$C,2,FALSE))</f>
        <v/>
      </c>
      <c r="J91" s="15" t="str">
        <f>IF(ISNA(VLOOKUP(MID($A91,8,1),Kanji_2_HanViet!$A:$C,2,FALSE)),"",VLOOKUP(MID($A91,8,1),Kanji_2_HanViet!$A:$C,2,FALSE))</f>
        <v/>
      </c>
      <c r="K91" s="15" t="str">
        <f>IF(ISNA(VLOOKUP(MID($A91,9,1),Kanji_2_HanViet!$A:$C,2,FALSE)),"",VLOOKUP(MID($A91,9,1),Kanji_2_HanViet!$A:$C,2,FALSE))</f>
        <v/>
      </c>
    </row>
    <row r="92" spans="1:11">
      <c r="A92" s="13" t="str">
        <f>Master!B98</f>
        <v>ゲーム好き</v>
      </c>
      <c r="B92" s="16" t="str">
        <f t="shared" si="1"/>
        <v>HẢO</v>
      </c>
      <c r="C92" s="15" t="str">
        <f>IF(ISNA(VLOOKUP(MID($A92,1,1),Kanji_2_HanViet!$A:$C,2,FALSE)),"",VLOOKUP(MID($A92,1,1),Kanji_2_HanViet!$A:$C,2,FALSE))</f>
        <v/>
      </c>
      <c r="D92" s="15" t="str">
        <f>IF(ISNA(VLOOKUP(MID($A92,2,1),Kanji_2_HanViet!$A:$C,2,FALSE)),"",VLOOKUP(MID($A92,2,1),Kanji_2_HanViet!$A:$C,2,FALSE))</f>
        <v/>
      </c>
      <c r="E92" s="15" t="str">
        <f>IF(ISNA(VLOOKUP(MID($A92,3,1),Kanji_2_HanViet!$A:$C,2,FALSE)),"",VLOOKUP(MID($A92,3,1),Kanji_2_HanViet!$A:$C,2,FALSE))</f>
        <v/>
      </c>
      <c r="F92" s="15" t="str">
        <f>IF(ISNA(VLOOKUP(MID($A92,4,1),Kanji_2_HanViet!$A:$C,2,FALSE)),"",VLOOKUP(MID($A92,4,1),Kanji_2_HanViet!$A:$C,2,FALSE))</f>
        <v>HẢO</v>
      </c>
      <c r="G92" s="15" t="str">
        <f>IF(ISNA(VLOOKUP(MID($A92,5,1),Kanji_2_HanViet!$A:$C,2,FALSE)),"",VLOOKUP(MID($A92,5,1),Kanji_2_HanViet!$A:$C,2,FALSE))</f>
        <v/>
      </c>
      <c r="H92" s="15" t="str">
        <f>IF(ISNA(VLOOKUP(MID($A92,6,1),Kanji_2_HanViet!$A:$C,2,FALSE)),"",VLOOKUP(MID($A92,6,1),Kanji_2_HanViet!$A:$C,2,FALSE))</f>
        <v/>
      </c>
      <c r="I92" s="15" t="str">
        <f>IF(ISNA(VLOOKUP(MID($A92,7,1),Kanji_2_HanViet!$A:$C,2,FALSE)),"",VLOOKUP(MID($A92,7,1),Kanji_2_HanViet!$A:$C,2,FALSE))</f>
        <v/>
      </c>
      <c r="J92" s="15" t="str">
        <f>IF(ISNA(VLOOKUP(MID($A92,8,1),Kanji_2_HanViet!$A:$C,2,FALSE)),"",VLOOKUP(MID($A92,8,1),Kanji_2_HanViet!$A:$C,2,FALSE))</f>
        <v/>
      </c>
      <c r="K92" s="15" t="str">
        <f>IF(ISNA(VLOOKUP(MID($A92,9,1),Kanji_2_HanViet!$A:$C,2,FALSE)),"",VLOOKUP(MID($A92,9,1),Kanji_2_HanViet!$A:$C,2,FALSE))</f>
        <v/>
      </c>
    </row>
    <row r="93" spans="1:11">
      <c r="A93" s="13" t="str">
        <f>Master!B99</f>
        <v>若者</v>
      </c>
      <c r="B93" s="16" t="str">
        <f t="shared" si="1"/>
        <v>NHƯỢC GIẢ</v>
      </c>
      <c r="C93" s="15" t="str">
        <f>IF(ISNA(VLOOKUP(MID($A93,1,1),Kanji_2_HanViet!$A:$C,2,FALSE)),"",VLOOKUP(MID($A93,1,1),Kanji_2_HanViet!$A:$C,2,FALSE))</f>
        <v>NHƯỢC</v>
      </c>
      <c r="D93" s="15" t="str">
        <f>IF(ISNA(VLOOKUP(MID($A93,2,1),Kanji_2_HanViet!$A:$C,2,FALSE)),"",VLOOKUP(MID($A93,2,1),Kanji_2_HanViet!$A:$C,2,FALSE))</f>
        <v>GIẢ</v>
      </c>
      <c r="E93" s="15" t="str">
        <f>IF(ISNA(VLOOKUP(MID($A93,3,1),Kanji_2_HanViet!$A:$C,2,FALSE)),"",VLOOKUP(MID($A93,3,1),Kanji_2_HanViet!$A:$C,2,FALSE))</f>
        <v/>
      </c>
      <c r="F93" s="15" t="str">
        <f>IF(ISNA(VLOOKUP(MID($A93,4,1),Kanji_2_HanViet!$A:$C,2,FALSE)),"",VLOOKUP(MID($A93,4,1),Kanji_2_HanViet!$A:$C,2,FALSE))</f>
        <v/>
      </c>
      <c r="G93" s="15" t="str">
        <f>IF(ISNA(VLOOKUP(MID($A93,5,1),Kanji_2_HanViet!$A:$C,2,FALSE)),"",VLOOKUP(MID($A93,5,1),Kanji_2_HanViet!$A:$C,2,FALSE))</f>
        <v/>
      </c>
      <c r="H93" s="15" t="str">
        <f>IF(ISNA(VLOOKUP(MID($A93,6,1),Kanji_2_HanViet!$A:$C,2,FALSE)),"",VLOOKUP(MID($A93,6,1),Kanji_2_HanViet!$A:$C,2,FALSE))</f>
        <v/>
      </c>
      <c r="I93" s="15" t="str">
        <f>IF(ISNA(VLOOKUP(MID($A93,7,1),Kanji_2_HanViet!$A:$C,2,FALSE)),"",VLOOKUP(MID($A93,7,1),Kanji_2_HanViet!$A:$C,2,FALSE))</f>
        <v/>
      </c>
      <c r="J93" s="15" t="str">
        <f>IF(ISNA(VLOOKUP(MID($A93,8,1),Kanji_2_HanViet!$A:$C,2,FALSE)),"",VLOOKUP(MID($A93,8,1),Kanji_2_HanViet!$A:$C,2,FALSE))</f>
        <v/>
      </c>
      <c r="K93" s="15" t="str">
        <f>IF(ISNA(VLOOKUP(MID($A93,9,1),Kanji_2_HanViet!$A:$C,2,FALSE)),"",VLOOKUP(MID($A93,9,1),Kanji_2_HanViet!$A:$C,2,FALSE))</f>
        <v/>
      </c>
    </row>
    <row r="94" spans="1:11">
      <c r="A94" s="13" t="str">
        <f>Master!B100</f>
        <v>出版する</v>
      </c>
      <c r="B94" s="16" t="str">
        <f t="shared" si="1"/>
        <v>XUẤT PHẢN</v>
      </c>
      <c r="C94" s="15" t="str">
        <f>IF(ISNA(VLOOKUP(MID($A94,1,1),Kanji_2_HanViet!$A:$C,2,FALSE)),"",VLOOKUP(MID($A94,1,1),Kanji_2_HanViet!$A:$C,2,FALSE))</f>
        <v>XUẤT</v>
      </c>
      <c r="D94" s="15" t="str">
        <f>IF(ISNA(VLOOKUP(MID($A94,2,1),Kanji_2_HanViet!$A:$C,2,FALSE)),"",VLOOKUP(MID($A94,2,1),Kanji_2_HanViet!$A:$C,2,FALSE))</f>
        <v>PHẢN</v>
      </c>
      <c r="E94" s="15" t="str">
        <f>IF(ISNA(VLOOKUP(MID($A94,3,1),Kanji_2_HanViet!$A:$C,2,FALSE)),"",VLOOKUP(MID($A94,3,1),Kanji_2_HanViet!$A:$C,2,FALSE))</f>
        <v/>
      </c>
      <c r="F94" s="15" t="str">
        <f>IF(ISNA(VLOOKUP(MID($A94,4,1),Kanji_2_HanViet!$A:$C,2,FALSE)),"",VLOOKUP(MID($A94,4,1),Kanji_2_HanViet!$A:$C,2,FALSE))</f>
        <v/>
      </c>
      <c r="G94" s="15" t="str">
        <f>IF(ISNA(VLOOKUP(MID($A94,5,1),Kanji_2_HanViet!$A:$C,2,FALSE)),"",VLOOKUP(MID($A94,5,1),Kanji_2_HanViet!$A:$C,2,FALSE))</f>
        <v/>
      </c>
      <c r="H94" s="15" t="str">
        <f>IF(ISNA(VLOOKUP(MID($A94,6,1),Kanji_2_HanViet!$A:$C,2,FALSE)),"",VLOOKUP(MID($A94,6,1),Kanji_2_HanViet!$A:$C,2,FALSE))</f>
        <v/>
      </c>
      <c r="I94" s="15" t="str">
        <f>IF(ISNA(VLOOKUP(MID($A94,7,1),Kanji_2_HanViet!$A:$C,2,FALSE)),"",VLOOKUP(MID($A94,7,1),Kanji_2_HanViet!$A:$C,2,FALSE))</f>
        <v/>
      </c>
      <c r="J94" s="15" t="str">
        <f>IF(ISNA(VLOOKUP(MID($A94,8,1),Kanji_2_HanViet!$A:$C,2,FALSE)),"",VLOOKUP(MID($A94,8,1),Kanji_2_HanViet!$A:$C,2,FALSE))</f>
        <v/>
      </c>
      <c r="K94" s="15" t="str">
        <f>IF(ISNA(VLOOKUP(MID($A94,9,1),Kanji_2_HanViet!$A:$C,2,FALSE)),"",VLOOKUP(MID($A94,9,1),Kanji_2_HanViet!$A:$C,2,FALSE))</f>
        <v/>
      </c>
    </row>
    <row r="95" spans="1:11">
      <c r="A95" s="13" t="str">
        <f>Master!B101</f>
        <v>内</v>
      </c>
      <c r="B95" s="16" t="str">
        <f t="shared" si="1"/>
        <v>NỘI</v>
      </c>
      <c r="C95" s="15" t="str">
        <f>IF(ISNA(VLOOKUP(MID($A95,1,1),Kanji_2_HanViet!$A:$C,2,FALSE)),"",VLOOKUP(MID($A95,1,1),Kanji_2_HanViet!$A:$C,2,FALSE))</f>
        <v>NỘI</v>
      </c>
      <c r="D95" s="15" t="str">
        <f>IF(ISNA(VLOOKUP(MID($A95,2,1),Kanji_2_HanViet!$A:$C,2,FALSE)),"",VLOOKUP(MID($A95,2,1),Kanji_2_HanViet!$A:$C,2,FALSE))</f>
        <v/>
      </c>
      <c r="E95" s="15" t="str">
        <f>IF(ISNA(VLOOKUP(MID($A95,3,1),Kanji_2_HanViet!$A:$C,2,FALSE)),"",VLOOKUP(MID($A95,3,1),Kanji_2_HanViet!$A:$C,2,FALSE))</f>
        <v/>
      </c>
      <c r="F95" s="15" t="str">
        <f>IF(ISNA(VLOOKUP(MID($A95,4,1),Kanji_2_HanViet!$A:$C,2,FALSE)),"",VLOOKUP(MID($A95,4,1),Kanji_2_HanViet!$A:$C,2,FALSE))</f>
        <v/>
      </c>
      <c r="G95" s="15" t="str">
        <f>IF(ISNA(VLOOKUP(MID($A95,5,1),Kanji_2_HanViet!$A:$C,2,FALSE)),"",VLOOKUP(MID($A95,5,1),Kanji_2_HanViet!$A:$C,2,FALSE))</f>
        <v/>
      </c>
      <c r="H95" s="15" t="str">
        <f>IF(ISNA(VLOOKUP(MID($A95,6,1),Kanji_2_HanViet!$A:$C,2,FALSE)),"",VLOOKUP(MID($A95,6,1),Kanji_2_HanViet!$A:$C,2,FALSE))</f>
        <v/>
      </c>
      <c r="I95" s="15" t="str">
        <f>IF(ISNA(VLOOKUP(MID($A95,7,1),Kanji_2_HanViet!$A:$C,2,FALSE)),"",VLOOKUP(MID($A95,7,1),Kanji_2_HanViet!$A:$C,2,FALSE))</f>
        <v/>
      </c>
      <c r="J95" s="15" t="str">
        <f>IF(ISNA(VLOOKUP(MID($A95,8,1),Kanji_2_HanViet!$A:$C,2,FALSE)),"",VLOOKUP(MID($A95,8,1),Kanji_2_HanViet!$A:$C,2,FALSE))</f>
        <v/>
      </c>
      <c r="K95" s="15" t="str">
        <f>IF(ISNA(VLOOKUP(MID($A95,9,1),Kanji_2_HanViet!$A:$C,2,FALSE)),"",VLOOKUP(MID($A95,9,1),Kanji_2_HanViet!$A:$C,2,FALSE))</f>
        <v/>
      </c>
    </row>
    <row r="96" spans="1:11">
      <c r="A96" s="13" t="str">
        <f>Master!B102</f>
        <v>受賞式</v>
      </c>
      <c r="B96" s="16" t="str">
        <f t="shared" si="1"/>
        <v>THỤ/THỌ THƯỞNG THỨC</v>
      </c>
      <c r="C96" s="15" t="str">
        <f>IF(ISNA(VLOOKUP(MID($A96,1,1),Kanji_2_HanViet!$A:$C,2,FALSE)),"",VLOOKUP(MID($A96,1,1),Kanji_2_HanViet!$A:$C,2,FALSE))</f>
        <v>THỤ/THỌ</v>
      </c>
      <c r="D96" s="15" t="str">
        <f>IF(ISNA(VLOOKUP(MID($A96,2,1),Kanji_2_HanViet!$A:$C,2,FALSE)),"",VLOOKUP(MID($A96,2,1),Kanji_2_HanViet!$A:$C,2,FALSE))</f>
        <v>THƯỞNG</v>
      </c>
      <c r="E96" s="15" t="str">
        <f>IF(ISNA(VLOOKUP(MID($A96,3,1),Kanji_2_HanViet!$A:$C,2,FALSE)),"",VLOOKUP(MID($A96,3,1),Kanji_2_HanViet!$A:$C,2,FALSE))</f>
        <v>THỨC</v>
      </c>
      <c r="F96" s="15" t="str">
        <f>IF(ISNA(VLOOKUP(MID($A96,4,1),Kanji_2_HanViet!$A:$C,2,FALSE)),"",VLOOKUP(MID($A96,4,1),Kanji_2_HanViet!$A:$C,2,FALSE))</f>
        <v/>
      </c>
      <c r="G96" s="15" t="str">
        <f>IF(ISNA(VLOOKUP(MID($A96,5,1),Kanji_2_HanViet!$A:$C,2,FALSE)),"",VLOOKUP(MID($A96,5,1),Kanji_2_HanViet!$A:$C,2,FALSE))</f>
        <v/>
      </c>
      <c r="H96" s="15" t="str">
        <f>IF(ISNA(VLOOKUP(MID($A96,6,1),Kanji_2_HanViet!$A:$C,2,FALSE)),"",VLOOKUP(MID($A96,6,1),Kanji_2_HanViet!$A:$C,2,FALSE))</f>
        <v/>
      </c>
      <c r="I96" s="15" t="str">
        <f>IF(ISNA(VLOOKUP(MID($A96,7,1),Kanji_2_HanViet!$A:$C,2,FALSE)),"",VLOOKUP(MID($A96,7,1),Kanji_2_HanViet!$A:$C,2,FALSE))</f>
        <v/>
      </c>
      <c r="J96" s="15" t="str">
        <f>IF(ISNA(VLOOKUP(MID($A96,8,1),Kanji_2_HanViet!$A:$C,2,FALSE)),"",VLOOKUP(MID($A96,8,1),Kanji_2_HanViet!$A:$C,2,FALSE))</f>
        <v/>
      </c>
      <c r="K96" s="15" t="str">
        <f>IF(ISNA(VLOOKUP(MID($A96,9,1),Kanji_2_HanViet!$A:$C,2,FALSE)),"",VLOOKUP(MID($A96,9,1),Kanji_2_HanViet!$A:$C,2,FALSE))</f>
        <v/>
      </c>
    </row>
    <row r="97" spans="1:11">
      <c r="A97" s="13" t="str">
        <f>Master!B103</f>
        <v>人生</v>
      </c>
      <c r="B97" s="16" t="str">
        <f t="shared" si="1"/>
        <v>NHÂN SINH</v>
      </c>
      <c r="C97" s="15" t="str">
        <f>IF(ISNA(VLOOKUP(MID($A97,1,1),Kanji_2_HanViet!$A:$C,2,FALSE)),"",VLOOKUP(MID($A97,1,1),Kanji_2_HanViet!$A:$C,2,FALSE))</f>
        <v>NHÂN</v>
      </c>
      <c r="D97" s="15" t="str">
        <f>IF(ISNA(VLOOKUP(MID($A97,2,1),Kanji_2_HanViet!$A:$C,2,FALSE)),"",VLOOKUP(MID($A97,2,1),Kanji_2_HanViet!$A:$C,2,FALSE))</f>
        <v>SINH</v>
      </c>
      <c r="E97" s="15" t="str">
        <f>IF(ISNA(VLOOKUP(MID($A97,3,1),Kanji_2_HanViet!$A:$C,2,FALSE)),"",VLOOKUP(MID($A97,3,1),Kanji_2_HanViet!$A:$C,2,FALSE))</f>
        <v/>
      </c>
      <c r="F97" s="15" t="str">
        <f>IF(ISNA(VLOOKUP(MID($A97,4,1),Kanji_2_HanViet!$A:$C,2,FALSE)),"",VLOOKUP(MID($A97,4,1),Kanji_2_HanViet!$A:$C,2,FALSE))</f>
        <v/>
      </c>
      <c r="G97" s="15" t="str">
        <f>IF(ISNA(VLOOKUP(MID($A97,5,1),Kanji_2_HanViet!$A:$C,2,FALSE)),"",VLOOKUP(MID($A97,5,1),Kanji_2_HanViet!$A:$C,2,FALSE))</f>
        <v/>
      </c>
      <c r="H97" s="15" t="str">
        <f>IF(ISNA(VLOOKUP(MID($A97,6,1),Kanji_2_HanViet!$A:$C,2,FALSE)),"",VLOOKUP(MID($A97,6,1),Kanji_2_HanViet!$A:$C,2,FALSE))</f>
        <v/>
      </c>
      <c r="I97" s="15" t="str">
        <f>IF(ISNA(VLOOKUP(MID($A97,7,1),Kanji_2_HanViet!$A:$C,2,FALSE)),"",VLOOKUP(MID($A97,7,1),Kanji_2_HanViet!$A:$C,2,FALSE))</f>
        <v/>
      </c>
      <c r="J97" s="15" t="str">
        <f>IF(ISNA(VLOOKUP(MID($A97,8,1),Kanji_2_HanViet!$A:$C,2,FALSE)),"",VLOOKUP(MID($A97,8,1),Kanji_2_HanViet!$A:$C,2,FALSE))</f>
        <v/>
      </c>
      <c r="K97" s="15" t="str">
        <f>IF(ISNA(VLOOKUP(MID($A97,9,1),Kanji_2_HanViet!$A:$C,2,FALSE)),"",VLOOKUP(MID($A97,9,1),Kanji_2_HanViet!$A:$C,2,FALSE))</f>
        <v/>
      </c>
    </row>
    <row r="98" spans="1:11">
      <c r="A98" s="13" t="str">
        <f>Master!B104</f>
        <v>輝かしい</v>
      </c>
      <c r="B98" s="16" t="str">
        <f t="shared" si="1"/>
        <v>HUY</v>
      </c>
      <c r="C98" s="15" t="str">
        <f>IF(ISNA(VLOOKUP(MID($A98,1,1),Kanji_2_HanViet!$A:$C,2,FALSE)),"",VLOOKUP(MID($A98,1,1),Kanji_2_HanViet!$A:$C,2,FALSE))</f>
        <v>HUY</v>
      </c>
      <c r="D98" s="15" t="str">
        <f>IF(ISNA(VLOOKUP(MID($A98,2,1),Kanji_2_HanViet!$A:$C,2,FALSE)),"",VLOOKUP(MID($A98,2,1),Kanji_2_HanViet!$A:$C,2,FALSE))</f>
        <v/>
      </c>
      <c r="E98" s="15" t="str">
        <f>IF(ISNA(VLOOKUP(MID($A98,3,1),Kanji_2_HanViet!$A:$C,2,FALSE)),"",VLOOKUP(MID($A98,3,1),Kanji_2_HanViet!$A:$C,2,FALSE))</f>
        <v/>
      </c>
      <c r="F98" s="15" t="str">
        <f>IF(ISNA(VLOOKUP(MID($A98,4,1),Kanji_2_HanViet!$A:$C,2,FALSE)),"",VLOOKUP(MID($A98,4,1),Kanji_2_HanViet!$A:$C,2,FALSE))</f>
        <v/>
      </c>
      <c r="G98" s="15" t="str">
        <f>IF(ISNA(VLOOKUP(MID($A98,5,1),Kanji_2_HanViet!$A:$C,2,FALSE)),"",VLOOKUP(MID($A98,5,1),Kanji_2_HanViet!$A:$C,2,FALSE))</f>
        <v/>
      </c>
      <c r="H98" s="15" t="str">
        <f>IF(ISNA(VLOOKUP(MID($A98,6,1),Kanji_2_HanViet!$A:$C,2,FALSE)),"",VLOOKUP(MID($A98,6,1),Kanji_2_HanViet!$A:$C,2,FALSE))</f>
        <v/>
      </c>
      <c r="I98" s="15" t="str">
        <f>IF(ISNA(VLOOKUP(MID($A98,7,1),Kanji_2_HanViet!$A:$C,2,FALSE)),"",VLOOKUP(MID($A98,7,1),Kanji_2_HanViet!$A:$C,2,FALSE))</f>
        <v/>
      </c>
      <c r="J98" s="15" t="str">
        <f>IF(ISNA(VLOOKUP(MID($A98,8,1),Kanji_2_HanViet!$A:$C,2,FALSE)),"",VLOOKUP(MID($A98,8,1),Kanji_2_HanViet!$A:$C,2,FALSE))</f>
        <v/>
      </c>
      <c r="K98" s="15" t="str">
        <f>IF(ISNA(VLOOKUP(MID($A98,9,1),Kanji_2_HanViet!$A:$C,2,FALSE)),"",VLOOKUP(MID($A98,9,1),Kanji_2_HanViet!$A:$C,2,FALSE))</f>
        <v/>
      </c>
    </row>
    <row r="99" spans="1:11">
      <c r="A99" s="13" t="str">
        <f>Master!B105</f>
        <v>瞬間</v>
      </c>
      <c r="B99" s="16" t="str">
        <f t="shared" si="1"/>
        <v>THUẤN GIAN</v>
      </c>
      <c r="C99" s="15" t="str">
        <f>IF(ISNA(VLOOKUP(MID($A99,1,1),Kanji_2_HanViet!$A:$C,2,FALSE)),"",VLOOKUP(MID($A99,1,1),Kanji_2_HanViet!$A:$C,2,FALSE))</f>
        <v>THUẤN</v>
      </c>
      <c r="D99" s="15" t="str">
        <f>IF(ISNA(VLOOKUP(MID($A99,2,1),Kanji_2_HanViet!$A:$C,2,FALSE)),"",VLOOKUP(MID($A99,2,1),Kanji_2_HanViet!$A:$C,2,FALSE))</f>
        <v>GIAN</v>
      </c>
      <c r="E99" s="15" t="str">
        <f>IF(ISNA(VLOOKUP(MID($A99,3,1),Kanji_2_HanViet!$A:$C,2,FALSE)),"",VLOOKUP(MID($A99,3,1),Kanji_2_HanViet!$A:$C,2,FALSE))</f>
        <v/>
      </c>
      <c r="F99" s="15" t="str">
        <f>IF(ISNA(VLOOKUP(MID($A99,4,1),Kanji_2_HanViet!$A:$C,2,FALSE)),"",VLOOKUP(MID($A99,4,1),Kanji_2_HanViet!$A:$C,2,FALSE))</f>
        <v/>
      </c>
      <c r="G99" s="15" t="str">
        <f>IF(ISNA(VLOOKUP(MID($A99,5,1),Kanji_2_HanViet!$A:$C,2,FALSE)),"",VLOOKUP(MID($A99,5,1),Kanji_2_HanViet!$A:$C,2,FALSE))</f>
        <v/>
      </c>
      <c r="H99" s="15" t="str">
        <f>IF(ISNA(VLOOKUP(MID($A99,6,1),Kanji_2_HanViet!$A:$C,2,FALSE)),"",VLOOKUP(MID($A99,6,1),Kanji_2_HanViet!$A:$C,2,FALSE))</f>
        <v/>
      </c>
      <c r="I99" s="15" t="str">
        <f>IF(ISNA(VLOOKUP(MID($A99,7,1),Kanji_2_HanViet!$A:$C,2,FALSE)),"",VLOOKUP(MID($A99,7,1),Kanji_2_HanViet!$A:$C,2,FALSE))</f>
        <v/>
      </c>
      <c r="J99" s="15" t="str">
        <f>IF(ISNA(VLOOKUP(MID($A99,8,1),Kanji_2_HanViet!$A:$C,2,FALSE)),"",VLOOKUP(MID($A99,8,1),Kanji_2_HanViet!$A:$C,2,FALSE))</f>
        <v/>
      </c>
      <c r="K99" s="15" t="str">
        <f>IF(ISNA(VLOOKUP(MID($A99,9,1),Kanji_2_HanViet!$A:$C,2,FALSE)),"",VLOOKUP(MID($A99,9,1),Kanji_2_HanViet!$A:$C,2,FALSE))</f>
        <v/>
      </c>
    </row>
    <row r="100" spans="1:11">
      <c r="A100" s="13" t="str">
        <f>Master!B106</f>
        <v>ゲームセンター</v>
      </c>
      <c r="B100" s="16" t="str">
        <f t="shared" si="1"/>
        <v/>
      </c>
      <c r="C100" s="15" t="str">
        <f>IF(ISNA(VLOOKUP(MID($A100,1,1),Kanji_2_HanViet!$A:$C,2,FALSE)),"",VLOOKUP(MID($A100,1,1),Kanji_2_HanViet!$A:$C,2,FALSE))</f>
        <v/>
      </c>
      <c r="D100" s="15" t="str">
        <f>IF(ISNA(VLOOKUP(MID($A100,2,1),Kanji_2_HanViet!$A:$C,2,FALSE)),"",VLOOKUP(MID($A100,2,1),Kanji_2_HanViet!$A:$C,2,FALSE))</f>
        <v/>
      </c>
      <c r="E100" s="15" t="str">
        <f>IF(ISNA(VLOOKUP(MID($A100,3,1),Kanji_2_HanViet!$A:$C,2,FALSE)),"",VLOOKUP(MID($A100,3,1),Kanji_2_HanViet!$A:$C,2,FALSE))</f>
        <v/>
      </c>
      <c r="F100" s="15" t="str">
        <f>IF(ISNA(VLOOKUP(MID($A100,4,1),Kanji_2_HanViet!$A:$C,2,FALSE)),"",VLOOKUP(MID($A100,4,1),Kanji_2_HanViet!$A:$C,2,FALSE))</f>
        <v/>
      </c>
      <c r="G100" s="15" t="str">
        <f>IF(ISNA(VLOOKUP(MID($A100,5,1),Kanji_2_HanViet!$A:$C,2,FALSE)),"",VLOOKUP(MID($A100,5,1),Kanji_2_HanViet!$A:$C,2,FALSE))</f>
        <v/>
      </c>
      <c r="H100" s="15" t="str">
        <f>IF(ISNA(VLOOKUP(MID($A100,6,1),Kanji_2_HanViet!$A:$C,2,FALSE)),"",VLOOKUP(MID($A100,6,1),Kanji_2_HanViet!$A:$C,2,FALSE))</f>
        <v/>
      </c>
      <c r="I100" s="15" t="str">
        <f>IF(ISNA(VLOOKUP(MID($A100,7,1),Kanji_2_HanViet!$A:$C,2,FALSE)),"",VLOOKUP(MID($A100,7,1),Kanji_2_HanViet!$A:$C,2,FALSE))</f>
        <v/>
      </c>
      <c r="J100" s="15" t="str">
        <f>IF(ISNA(VLOOKUP(MID($A100,8,1),Kanji_2_HanViet!$A:$C,2,FALSE)),"",VLOOKUP(MID($A100,8,1),Kanji_2_HanViet!$A:$C,2,FALSE))</f>
        <v/>
      </c>
      <c r="K100" s="15" t="str">
        <f>IF(ISNA(VLOOKUP(MID($A100,9,1),Kanji_2_HanViet!$A:$C,2,FALSE)),"",VLOOKUP(MID($A100,9,1),Kanji_2_HanViet!$A:$C,2,FALSE))</f>
        <v/>
      </c>
    </row>
    <row r="101" spans="1:11">
      <c r="A101" s="13" t="str">
        <f>Master!B107</f>
        <v>教育</v>
      </c>
      <c r="B101" s="16" t="str">
        <f t="shared" si="1"/>
        <v>GIÁO DỤC</v>
      </c>
      <c r="C101" s="15" t="str">
        <f>IF(ISNA(VLOOKUP(MID($A101,1,1),Kanji_2_HanViet!$A:$C,2,FALSE)),"",VLOOKUP(MID($A101,1,1),Kanji_2_HanViet!$A:$C,2,FALSE))</f>
        <v>GIÁO</v>
      </c>
      <c r="D101" s="15" t="str">
        <f>IF(ISNA(VLOOKUP(MID($A101,2,1),Kanji_2_HanViet!$A:$C,2,FALSE)),"",VLOOKUP(MID($A101,2,1),Kanji_2_HanViet!$A:$C,2,FALSE))</f>
        <v>DỤC</v>
      </c>
      <c r="E101" s="15" t="str">
        <f>IF(ISNA(VLOOKUP(MID($A101,3,1),Kanji_2_HanViet!$A:$C,2,FALSE)),"",VLOOKUP(MID($A101,3,1),Kanji_2_HanViet!$A:$C,2,FALSE))</f>
        <v/>
      </c>
      <c r="F101" s="15" t="str">
        <f>IF(ISNA(VLOOKUP(MID($A101,4,1),Kanji_2_HanViet!$A:$C,2,FALSE)),"",VLOOKUP(MID($A101,4,1),Kanji_2_HanViet!$A:$C,2,FALSE))</f>
        <v/>
      </c>
      <c r="G101" s="15" t="str">
        <f>IF(ISNA(VLOOKUP(MID($A101,5,1),Kanji_2_HanViet!$A:$C,2,FALSE)),"",VLOOKUP(MID($A101,5,1),Kanji_2_HanViet!$A:$C,2,FALSE))</f>
        <v/>
      </c>
      <c r="H101" s="15" t="str">
        <f>IF(ISNA(VLOOKUP(MID($A101,6,1),Kanji_2_HanViet!$A:$C,2,FALSE)),"",VLOOKUP(MID($A101,6,1),Kanji_2_HanViet!$A:$C,2,FALSE))</f>
        <v/>
      </c>
      <c r="I101" s="15" t="str">
        <f>IF(ISNA(VLOOKUP(MID($A101,7,1),Kanji_2_HanViet!$A:$C,2,FALSE)),"",VLOOKUP(MID($A101,7,1),Kanji_2_HanViet!$A:$C,2,FALSE))</f>
        <v/>
      </c>
      <c r="J101" s="15" t="str">
        <f>IF(ISNA(VLOOKUP(MID($A101,8,1),Kanji_2_HanViet!$A:$C,2,FALSE)),"",VLOOKUP(MID($A101,8,1),Kanji_2_HanViet!$A:$C,2,FALSE))</f>
        <v/>
      </c>
      <c r="K101" s="15" t="str">
        <f>IF(ISNA(VLOOKUP(MID($A101,9,1),Kanji_2_HanViet!$A:$C,2,FALSE)),"",VLOOKUP(MID($A101,9,1),Kanji_2_HanViet!$A:$C,2,FALSE))</f>
        <v/>
      </c>
    </row>
    <row r="102" spans="1:11">
      <c r="A102" s="13" t="str">
        <f>Master!B108</f>
        <v>辞める（会社を～）</v>
      </c>
      <c r="B102" s="16" t="str">
        <f t="shared" si="1"/>
        <v>TỪ HỘI XÃ</v>
      </c>
      <c r="C102" s="15" t="str">
        <f>IF(ISNA(VLOOKUP(MID($A102,1,1),Kanji_2_HanViet!$A:$C,2,FALSE)),"",VLOOKUP(MID($A102,1,1),Kanji_2_HanViet!$A:$C,2,FALSE))</f>
        <v>TỪ</v>
      </c>
      <c r="D102" s="15" t="str">
        <f>IF(ISNA(VLOOKUP(MID($A102,2,1),Kanji_2_HanViet!$A:$C,2,FALSE)),"",VLOOKUP(MID($A102,2,1),Kanji_2_HanViet!$A:$C,2,FALSE))</f>
        <v/>
      </c>
      <c r="E102" s="15" t="str">
        <f>IF(ISNA(VLOOKUP(MID($A102,3,1),Kanji_2_HanViet!$A:$C,2,FALSE)),"",VLOOKUP(MID($A102,3,1),Kanji_2_HanViet!$A:$C,2,FALSE))</f>
        <v/>
      </c>
      <c r="F102" s="15" t="str">
        <f>IF(ISNA(VLOOKUP(MID($A102,4,1),Kanji_2_HanViet!$A:$C,2,FALSE)),"",VLOOKUP(MID($A102,4,1),Kanji_2_HanViet!$A:$C,2,FALSE))</f>
        <v/>
      </c>
      <c r="G102" s="15" t="str">
        <f>IF(ISNA(VLOOKUP(MID($A102,5,1),Kanji_2_HanViet!$A:$C,2,FALSE)),"",VLOOKUP(MID($A102,5,1),Kanji_2_HanViet!$A:$C,2,FALSE))</f>
        <v>HỘI</v>
      </c>
      <c r="H102" s="15" t="str">
        <f>IF(ISNA(VLOOKUP(MID($A102,6,1),Kanji_2_HanViet!$A:$C,2,FALSE)),"",VLOOKUP(MID($A102,6,1),Kanji_2_HanViet!$A:$C,2,FALSE))</f>
        <v>XÃ</v>
      </c>
      <c r="I102" s="15" t="str">
        <f>IF(ISNA(VLOOKUP(MID($A102,7,1),Kanji_2_HanViet!$A:$C,2,FALSE)),"",VLOOKUP(MID($A102,7,1),Kanji_2_HanViet!$A:$C,2,FALSE))</f>
        <v/>
      </c>
      <c r="J102" s="15" t="str">
        <f>IF(ISNA(VLOOKUP(MID($A102,8,1),Kanji_2_HanViet!$A:$C,2,FALSE)),"",VLOOKUP(MID($A102,8,1),Kanji_2_HanViet!$A:$C,2,FALSE))</f>
        <v/>
      </c>
      <c r="K102" s="15" t="str">
        <f>IF(ISNA(VLOOKUP(MID($A102,9,1),Kanji_2_HanViet!$A:$C,2,FALSE)),"",VLOOKUP(MID($A102,9,1),Kanji_2_HanViet!$A:$C,2,FALSE))</f>
        <v/>
      </c>
    </row>
    <row r="103" spans="1:11">
      <c r="A103" s="13">
        <f>Master!B109</f>
        <v>0</v>
      </c>
      <c r="B103" s="16" t="str">
        <f t="shared" si="1"/>
        <v/>
      </c>
      <c r="C103" s="15" t="str">
        <f>IF(ISNA(VLOOKUP(MID($A103,1,1),Kanji_2_HanViet!$A:$C,2,FALSE)),"",VLOOKUP(MID($A103,1,1),Kanji_2_HanViet!$A:$C,2,FALSE))</f>
        <v/>
      </c>
      <c r="D103" s="15" t="str">
        <f>IF(ISNA(VLOOKUP(MID($A103,2,1),Kanji_2_HanViet!$A:$C,2,FALSE)),"",VLOOKUP(MID($A103,2,1),Kanji_2_HanViet!$A:$C,2,FALSE))</f>
        <v/>
      </c>
      <c r="E103" s="15" t="str">
        <f>IF(ISNA(VLOOKUP(MID($A103,3,1),Kanji_2_HanViet!$A:$C,2,FALSE)),"",VLOOKUP(MID($A103,3,1),Kanji_2_HanViet!$A:$C,2,FALSE))</f>
        <v/>
      </c>
      <c r="F103" s="15" t="str">
        <f>IF(ISNA(VLOOKUP(MID($A103,4,1),Kanji_2_HanViet!$A:$C,2,FALSE)),"",VLOOKUP(MID($A103,4,1),Kanji_2_HanViet!$A:$C,2,FALSE))</f>
        <v/>
      </c>
      <c r="G103" s="15" t="str">
        <f>IF(ISNA(VLOOKUP(MID($A103,5,1),Kanji_2_HanViet!$A:$C,2,FALSE)),"",VLOOKUP(MID($A103,5,1),Kanji_2_HanViet!$A:$C,2,FALSE))</f>
        <v/>
      </c>
      <c r="H103" s="15" t="str">
        <f>IF(ISNA(VLOOKUP(MID($A103,6,1),Kanji_2_HanViet!$A:$C,2,FALSE)),"",VLOOKUP(MID($A103,6,1),Kanji_2_HanViet!$A:$C,2,FALSE))</f>
        <v/>
      </c>
      <c r="I103" s="15" t="str">
        <f>IF(ISNA(VLOOKUP(MID($A103,7,1),Kanji_2_HanViet!$A:$C,2,FALSE)),"",VLOOKUP(MID($A103,7,1),Kanji_2_HanViet!$A:$C,2,FALSE))</f>
        <v/>
      </c>
      <c r="J103" s="15" t="str">
        <f>IF(ISNA(VLOOKUP(MID($A103,8,1),Kanji_2_HanViet!$A:$C,2,FALSE)),"",VLOOKUP(MID($A103,8,1),Kanji_2_HanViet!$A:$C,2,FALSE))</f>
        <v/>
      </c>
      <c r="K103" s="15" t="str">
        <f>IF(ISNA(VLOOKUP(MID($A103,9,1),Kanji_2_HanViet!$A:$C,2,FALSE)),"",VLOOKUP(MID($A103,9,1),Kanji_2_HanViet!$A:$C,2,FALSE))</f>
        <v/>
      </c>
    </row>
    <row r="104" spans="1:11">
      <c r="A104" s="13">
        <f>Master!B110</f>
        <v>0</v>
      </c>
      <c r="B104" s="16" t="str">
        <f t="shared" si="1"/>
        <v/>
      </c>
      <c r="C104" s="15" t="str">
        <f>IF(ISNA(VLOOKUP(MID($A104,1,1),Kanji_2_HanViet!$A:$C,2,FALSE)),"",VLOOKUP(MID($A104,1,1),Kanji_2_HanViet!$A:$C,2,FALSE))</f>
        <v/>
      </c>
      <c r="D104" s="15" t="str">
        <f>IF(ISNA(VLOOKUP(MID($A104,2,1),Kanji_2_HanViet!$A:$C,2,FALSE)),"",VLOOKUP(MID($A104,2,1),Kanji_2_HanViet!$A:$C,2,FALSE))</f>
        <v/>
      </c>
      <c r="E104" s="15" t="str">
        <f>IF(ISNA(VLOOKUP(MID($A104,3,1),Kanji_2_HanViet!$A:$C,2,FALSE)),"",VLOOKUP(MID($A104,3,1),Kanji_2_HanViet!$A:$C,2,FALSE))</f>
        <v/>
      </c>
      <c r="F104" s="15" t="str">
        <f>IF(ISNA(VLOOKUP(MID($A104,4,1),Kanji_2_HanViet!$A:$C,2,FALSE)),"",VLOOKUP(MID($A104,4,1),Kanji_2_HanViet!$A:$C,2,FALSE))</f>
        <v/>
      </c>
      <c r="G104" s="15" t="str">
        <f>IF(ISNA(VLOOKUP(MID($A104,5,1),Kanji_2_HanViet!$A:$C,2,FALSE)),"",VLOOKUP(MID($A104,5,1),Kanji_2_HanViet!$A:$C,2,FALSE))</f>
        <v/>
      </c>
      <c r="H104" s="15" t="str">
        <f>IF(ISNA(VLOOKUP(MID($A104,6,1),Kanji_2_HanViet!$A:$C,2,FALSE)),"",VLOOKUP(MID($A104,6,1),Kanji_2_HanViet!$A:$C,2,FALSE))</f>
        <v/>
      </c>
      <c r="I104" s="15" t="str">
        <f>IF(ISNA(VLOOKUP(MID($A104,7,1),Kanji_2_HanViet!$A:$C,2,FALSE)),"",VLOOKUP(MID($A104,7,1),Kanji_2_HanViet!$A:$C,2,FALSE))</f>
        <v/>
      </c>
      <c r="J104" s="15" t="str">
        <f>IF(ISNA(VLOOKUP(MID($A104,8,1),Kanji_2_HanViet!$A:$C,2,FALSE)),"",VLOOKUP(MID($A104,8,1),Kanji_2_HanViet!$A:$C,2,FALSE))</f>
        <v/>
      </c>
      <c r="K104" s="15" t="str">
        <f>IF(ISNA(VLOOKUP(MID($A104,9,1),Kanji_2_HanViet!$A:$C,2,FALSE)),"",VLOOKUP(MID($A104,9,1),Kanji_2_HanViet!$A:$C,2,FALSE))</f>
        <v/>
      </c>
    </row>
    <row r="105" spans="1:11">
      <c r="A105" s="13">
        <f>Master!B111</f>
        <v>0</v>
      </c>
      <c r="B105" s="16" t="str">
        <f t="shared" si="1"/>
        <v/>
      </c>
      <c r="C105" s="15" t="str">
        <f>IF(ISNA(VLOOKUP(MID($A105,1,1),Kanji_2_HanViet!$A:$C,2,FALSE)),"",VLOOKUP(MID($A105,1,1),Kanji_2_HanViet!$A:$C,2,FALSE))</f>
        <v/>
      </c>
      <c r="D105" s="15" t="str">
        <f>IF(ISNA(VLOOKUP(MID($A105,2,1),Kanji_2_HanViet!$A:$C,2,FALSE)),"",VLOOKUP(MID($A105,2,1),Kanji_2_HanViet!$A:$C,2,FALSE))</f>
        <v/>
      </c>
      <c r="E105" s="15" t="str">
        <f>IF(ISNA(VLOOKUP(MID($A105,3,1),Kanji_2_HanViet!$A:$C,2,FALSE)),"",VLOOKUP(MID($A105,3,1),Kanji_2_HanViet!$A:$C,2,FALSE))</f>
        <v/>
      </c>
      <c r="F105" s="15" t="str">
        <f>IF(ISNA(VLOOKUP(MID($A105,4,1),Kanji_2_HanViet!$A:$C,2,FALSE)),"",VLOOKUP(MID($A105,4,1),Kanji_2_HanViet!$A:$C,2,FALSE))</f>
        <v/>
      </c>
      <c r="G105" s="15" t="str">
        <f>IF(ISNA(VLOOKUP(MID($A105,5,1),Kanji_2_HanViet!$A:$C,2,FALSE)),"",VLOOKUP(MID($A105,5,1),Kanji_2_HanViet!$A:$C,2,FALSE))</f>
        <v/>
      </c>
      <c r="H105" s="15" t="str">
        <f>IF(ISNA(VLOOKUP(MID($A105,6,1),Kanji_2_HanViet!$A:$C,2,FALSE)),"",VLOOKUP(MID($A105,6,1),Kanji_2_HanViet!$A:$C,2,FALSE))</f>
        <v/>
      </c>
      <c r="I105" s="15" t="str">
        <f>IF(ISNA(VLOOKUP(MID($A105,7,1),Kanji_2_HanViet!$A:$C,2,FALSE)),"",VLOOKUP(MID($A105,7,1),Kanji_2_HanViet!$A:$C,2,FALSE))</f>
        <v/>
      </c>
      <c r="J105" s="15" t="str">
        <f>IF(ISNA(VLOOKUP(MID($A105,8,1),Kanji_2_HanViet!$A:$C,2,FALSE)),"",VLOOKUP(MID($A105,8,1),Kanji_2_HanViet!$A:$C,2,FALSE))</f>
        <v/>
      </c>
      <c r="K105" s="15" t="str">
        <f>IF(ISNA(VLOOKUP(MID($A105,9,1),Kanji_2_HanViet!$A:$C,2,FALSE)),"",VLOOKUP(MID($A105,9,1),Kanji_2_HanViet!$A:$C,2,FALSE))</f>
        <v/>
      </c>
    </row>
    <row r="106" spans="1:11">
      <c r="A106" s="13">
        <f>Master!B112</f>
        <v>0</v>
      </c>
      <c r="B106" s="16" t="str">
        <f t="shared" si="1"/>
        <v/>
      </c>
      <c r="C106" s="15" t="str">
        <f>IF(ISNA(VLOOKUP(MID($A106,1,1),Kanji_2_HanViet!$A:$C,2,FALSE)),"",VLOOKUP(MID($A106,1,1),Kanji_2_HanViet!$A:$C,2,FALSE))</f>
        <v/>
      </c>
      <c r="D106" s="15" t="str">
        <f>IF(ISNA(VLOOKUP(MID($A106,2,1),Kanji_2_HanViet!$A:$C,2,FALSE)),"",VLOOKUP(MID($A106,2,1),Kanji_2_HanViet!$A:$C,2,FALSE))</f>
        <v/>
      </c>
      <c r="E106" s="15" t="str">
        <f>IF(ISNA(VLOOKUP(MID($A106,3,1),Kanji_2_HanViet!$A:$C,2,FALSE)),"",VLOOKUP(MID($A106,3,1),Kanji_2_HanViet!$A:$C,2,FALSE))</f>
        <v/>
      </c>
      <c r="F106" s="15" t="str">
        <f>IF(ISNA(VLOOKUP(MID($A106,4,1),Kanji_2_HanViet!$A:$C,2,FALSE)),"",VLOOKUP(MID($A106,4,1),Kanji_2_HanViet!$A:$C,2,FALSE))</f>
        <v/>
      </c>
      <c r="G106" s="15" t="str">
        <f>IF(ISNA(VLOOKUP(MID($A106,5,1),Kanji_2_HanViet!$A:$C,2,FALSE)),"",VLOOKUP(MID($A106,5,1),Kanji_2_HanViet!$A:$C,2,FALSE))</f>
        <v/>
      </c>
      <c r="H106" s="15" t="str">
        <f>IF(ISNA(VLOOKUP(MID($A106,6,1),Kanji_2_HanViet!$A:$C,2,FALSE)),"",VLOOKUP(MID($A106,6,1),Kanji_2_HanViet!$A:$C,2,FALSE))</f>
        <v/>
      </c>
      <c r="I106" s="15" t="str">
        <f>IF(ISNA(VLOOKUP(MID($A106,7,1),Kanji_2_HanViet!$A:$C,2,FALSE)),"",VLOOKUP(MID($A106,7,1),Kanji_2_HanViet!$A:$C,2,FALSE))</f>
        <v/>
      </c>
      <c r="J106" s="15" t="str">
        <f>IF(ISNA(VLOOKUP(MID($A106,8,1),Kanji_2_HanViet!$A:$C,2,FALSE)),"",VLOOKUP(MID($A106,8,1),Kanji_2_HanViet!$A:$C,2,FALSE))</f>
        <v/>
      </c>
      <c r="K106" s="15" t="str">
        <f>IF(ISNA(VLOOKUP(MID($A106,9,1),Kanji_2_HanViet!$A:$C,2,FALSE)),"",VLOOKUP(MID($A106,9,1),Kanji_2_HanViet!$A:$C,2,FALSE))</f>
        <v/>
      </c>
    </row>
    <row r="107" spans="1:11">
      <c r="A107" s="13">
        <f>Master!B113</f>
        <v>0</v>
      </c>
      <c r="B107" s="16" t="str">
        <f t="shared" si="1"/>
        <v/>
      </c>
      <c r="C107" s="15" t="str">
        <f>IF(ISNA(VLOOKUP(MID($A107,1,1),Kanji_2_HanViet!$A:$C,2,FALSE)),"",VLOOKUP(MID($A107,1,1),Kanji_2_HanViet!$A:$C,2,FALSE))</f>
        <v/>
      </c>
      <c r="D107" s="15" t="str">
        <f>IF(ISNA(VLOOKUP(MID($A107,2,1),Kanji_2_HanViet!$A:$C,2,FALSE)),"",VLOOKUP(MID($A107,2,1),Kanji_2_HanViet!$A:$C,2,FALSE))</f>
        <v/>
      </c>
      <c r="E107" s="15" t="str">
        <f>IF(ISNA(VLOOKUP(MID($A107,3,1),Kanji_2_HanViet!$A:$C,2,FALSE)),"",VLOOKUP(MID($A107,3,1),Kanji_2_HanViet!$A:$C,2,FALSE))</f>
        <v/>
      </c>
      <c r="F107" s="15" t="str">
        <f>IF(ISNA(VLOOKUP(MID($A107,4,1),Kanji_2_HanViet!$A:$C,2,FALSE)),"",VLOOKUP(MID($A107,4,1),Kanji_2_HanViet!$A:$C,2,FALSE))</f>
        <v/>
      </c>
      <c r="G107" s="15" t="str">
        <f>IF(ISNA(VLOOKUP(MID($A107,5,1),Kanji_2_HanViet!$A:$C,2,FALSE)),"",VLOOKUP(MID($A107,5,1),Kanji_2_HanViet!$A:$C,2,FALSE))</f>
        <v/>
      </c>
      <c r="H107" s="15" t="str">
        <f>IF(ISNA(VLOOKUP(MID($A107,6,1),Kanji_2_HanViet!$A:$C,2,FALSE)),"",VLOOKUP(MID($A107,6,1),Kanji_2_HanViet!$A:$C,2,FALSE))</f>
        <v/>
      </c>
      <c r="I107" s="15" t="str">
        <f>IF(ISNA(VLOOKUP(MID($A107,7,1),Kanji_2_HanViet!$A:$C,2,FALSE)),"",VLOOKUP(MID($A107,7,1),Kanji_2_HanViet!$A:$C,2,FALSE))</f>
        <v/>
      </c>
      <c r="J107" s="15" t="str">
        <f>IF(ISNA(VLOOKUP(MID($A107,8,1),Kanji_2_HanViet!$A:$C,2,FALSE)),"",VLOOKUP(MID($A107,8,1),Kanji_2_HanViet!$A:$C,2,FALSE))</f>
        <v/>
      </c>
      <c r="K107" s="15" t="str">
        <f>IF(ISNA(VLOOKUP(MID($A107,9,1),Kanji_2_HanViet!$A:$C,2,FALSE)),"",VLOOKUP(MID($A107,9,1),Kanji_2_HanViet!$A:$C,2,FALSE))</f>
        <v/>
      </c>
    </row>
    <row r="108" spans="1:11">
      <c r="A108" s="13">
        <f>Master!B114</f>
        <v>0</v>
      </c>
      <c r="B108" s="16" t="str">
        <f t="shared" si="1"/>
        <v/>
      </c>
      <c r="C108" s="15" t="str">
        <f>IF(ISNA(VLOOKUP(MID($A108,1,1),Kanji_2_HanViet!$A:$C,2,FALSE)),"",VLOOKUP(MID($A108,1,1),Kanji_2_HanViet!$A:$C,2,FALSE))</f>
        <v/>
      </c>
      <c r="D108" s="15" t="str">
        <f>IF(ISNA(VLOOKUP(MID($A108,2,1),Kanji_2_HanViet!$A:$C,2,FALSE)),"",VLOOKUP(MID($A108,2,1),Kanji_2_HanViet!$A:$C,2,FALSE))</f>
        <v/>
      </c>
      <c r="E108" s="15" t="str">
        <f>IF(ISNA(VLOOKUP(MID($A108,3,1),Kanji_2_HanViet!$A:$C,2,FALSE)),"",VLOOKUP(MID($A108,3,1),Kanji_2_HanViet!$A:$C,2,FALSE))</f>
        <v/>
      </c>
      <c r="F108" s="15" t="str">
        <f>IF(ISNA(VLOOKUP(MID($A108,4,1),Kanji_2_HanViet!$A:$C,2,FALSE)),"",VLOOKUP(MID($A108,4,1),Kanji_2_HanViet!$A:$C,2,FALSE))</f>
        <v/>
      </c>
      <c r="G108" s="15" t="str">
        <f>IF(ISNA(VLOOKUP(MID($A108,5,1),Kanji_2_HanViet!$A:$C,2,FALSE)),"",VLOOKUP(MID($A108,5,1),Kanji_2_HanViet!$A:$C,2,FALSE))</f>
        <v/>
      </c>
      <c r="H108" s="15" t="str">
        <f>IF(ISNA(VLOOKUP(MID($A108,6,1),Kanji_2_HanViet!$A:$C,2,FALSE)),"",VLOOKUP(MID($A108,6,1),Kanji_2_HanViet!$A:$C,2,FALSE))</f>
        <v/>
      </c>
      <c r="I108" s="15" t="str">
        <f>IF(ISNA(VLOOKUP(MID($A108,7,1),Kanji_2_HanViet!$A:$C,2,FALSE)),"",VLOOKUP(MID($A108,7,1),Kanji_2_HanViet!$A:$C,2,FALSE))</f>
        <v/>
      </c>
      <c r="J108" s="15" t="str">
        <f>IF(ISNA(VLOOKUP(MID($A108,8,1),Kanji_2_HanViet!$A:$C,2,FALSE)),"",VLOOKUP(MID($A108,8,1),Kanji_2_HanViet!$A:$C,2,FALSE))</f>
        <v/>
      </c>
      <c r="K108" s="15" t="str">
        <f>IF(ISNA(VLOOKUP(MID($A108,9,1),Kanji_2_HanViet!$A:$C,2,FALSE)),"",VLOOKUP(MID($A108,9,1),Kanji_2_HanViet!$A:$C,2,FALSE))</f>
        <v/>
      </c>
    </row>
    <row r="109" spans="1:11">
      <c r="A109" s="13">
        <f>Master!B115</f>
        <v>0</v>
      </c>
      <c r="B109" s="16" t="str">
        <f t="shared" si="1"/>
        <v/>
      </c>
      <c r="C109" s="15" t="str">
        <f>IF(ISNA(VLOOKUP(MID($A109,1,1),Kanji_2_HanViet!$A:$C,2,FALSE)),"",VLOOKUP(MID($A109,1,1),Kanji_2_HanViet!$A:$C,2,FALSE))</f>
        <v/>
      </c>
      <c r="D109" s="15" t="str">
        <f>IF(ISNA(VLOOKUP(MID($A109,2,1),Kanji_2_HanViet!$A:$C,2,FALSE)),"",VLOOKUP(MID($A109,2,1),Kanji_2_HanViet!$A:$C,2,FALSE))</f>
        <v/>
      </c>
      <c r="E109" s="15" t="str">
        <f>IF(ISNA(VLOOKUP(MID($A109,3,1),Kanji_2_HanViet!$A:$C,2,FALSE)),"",VLOOKUP(MID($A109,3,1),Kanji_2_HanViet!$A:$C,2,FALSE))</f>
        <v/>
      </c>
      <c r="F109" s="15" t="str">
        <f>IF(ISNA(VLOOKUP(MID($A109,4,1),Kanji_2_HanViet!$A:$C,2,FALSE)),"",VLOOKUP(MID($A109,4,1),Kanji_2_HanViet!$A:$C,2,FALSE))</f>
        <v/>
      </c>
      <c r="G109" s="15" t="str">
        <f>IF(ISNA(VLOOKUP(MID($A109,5,1),Kanji_2_HanViet!$A:$C,2,FALSE)),"",VLOOKUP(MID($A109,5,1),Kanji_2_HanViet!$A:$C,2,FALSE))</f>
        <v/>
      </c>
      <c r="H109" s="15" t="str">
        <f>IF(ISNA(VLOOKUP(MID($A109,6,1),Kanji_2_HanViet!$A:$C,2,FALSE)),"",VLOOKUP(MID($A109,6,1),Kanji_2_HanViet!$A:$C,2,FALSE))</f>
        <v/>
      </c>
      <c r="I109" s="15" t="str">
        <f>IF(ISNA(VLOOKUP(MID($A109,7,1),Kanji_2_HanViet!$A:$C,2,FALSE)),"",VLOOKUP(MID($A109,7,1),Kanji_2_HanViet!$A:$C,2,FALSE))</f>
        <v/>
      </c>
      <c r="J109" s="15" t="str">
        <f>IF(ISNA(VLOOKUP(MID($A109,8,1),Kanji_2_HanViet!$A:$C,2,FALSE)),"",VLOOKUP(MID($A109,8,1),Kanji_2_HanViet!$A:$C,2,FALSE))</f>
        <v/>
      </c>
      <c r="K109" s="15" t="str">
        <f>IF(ISNA(VLOOKUP(MID($A109,9,1),Kanji_2_HanViet!$A:$C,2,FALSE)),"",VLOOKUP(MID($A109,9,1),Kanji_2_HanViet!$A:$C,2,FALSE))</f>
        <v/>
      </c>
    </row>
    <row r="110" spans="1:11">
      <c r="A110" s="13">
        <f>Master!B116</f>
        <v>0</v>
      </c>
      <c r="B110" s="16" t="str">
        <f t="shared" si="1"/>
        <v/>
      </c>
      <c r="C110" s="15" t="str">
        <f>IF(ISNA(VLOOKUP(MID($A110,1,1),Kanji_2_HanViet!$A:$C,2,FALSE)),"",VLOOKUP(MID($A110,1,1),Kanji_2_HanViet!$A:$C,2,FALSE))</f>
        <v/>
      </c>
      <c r="D110" s="15" t="str">
        <f>IF(ISNA(VLOOKUP(MID($A110,2,1),Kanji_2_HanViet!$A:$C,2,FALSE)),"",VLOOKUP(MID($A110,2,1),Kanji_2_HanViet!$A:$C,2,FALSE))</f>
        <v/>
      </c>
      <c r="E110" s="15" t="str">
        <f>IF(ISNA(VLOOKUP(MID($A110,3,1),Kanji_2_HanViet!$A:$C,2,FALSE)),"",VLOOKUP(MID($A110,3,1),Kanji_2_HanViet!$A:$C,2,FALSE))</f>
        <v/>
      </c>
      <c r="F110" s="15" t="str">
        <f>IF(ISNA(VLOOKUP(MID($A110,4,1),Kanji_2_HanViet!$A:$C,2,FALSE)),"",VLOOKUP(MID($A110,4,1),Kanji_2_HanViet!$A:$C,2,FALSE))</f>
        <v/>
      </c>
      <c r="G110" s="15" t="str">
        <f>IF(ISNA(VLOOKUP(MID($A110,5,1),Kanji_2_HanViet!$A:$C,2,FALSE)),"",VLOOKUP(MID($A110,5,1),Kanji_2_HanViet!$A:$C,2,FALSE))</f>
        <v/>
      </c>
      <c r="H110" s="15" t="str">
        <f>IF(ISNA(VLOOKUP(MID($A110,6,1),Kanji_2_HanViet!$A:$C,2,FALSE)),"",VLOOKUP(MID($A110,6,1),Kanji_2_HanViet!$A:$C,2,FALSE))</f>
        <v/>
      </c>
      <c r="I110" s="15" t="str">
        <f>IF(ISNA(VLOOKUP(MID($A110,7,1),Kanji_2_HanViet!$A:$C,2,FALSE)),"",VLOOKUP(MID($A110,7,1),Kanji_2_HanViet!$A:$C,2,FALSE))</f>
        <v/>
      </c>
      <c r="J110" s="15" t="str">
        <f>IF(ISNA(VLOOKUP(MID($A110,8,1),Kanji_2_HanViet!$A:$C,2,FALSE)),"",VLOOKUP(MID($A110,8,1),Kanji_2_HanViet!$A:$C,2,FALSE))</f>
        <v/>
      </c>
      <c r="K110" s="15" t="str">
        <f>IF(ISNA(VLOOKUP(MID($A110,9,1),Kanji_2_HanViet!$A:$C,2,FALSE)),"",VLOOKUP(MID($A110,9,1),Kanji_2_HanViet!$A:$C,2,FALSE))</f>
        <v/>
      </c>
    </row>
    <row r="111" spans="1:11">
      <c r="A111" s="13">
        <f>Master!B117</f>
        <v>0</v>
      </c>
      <c r="B111" s="16" t="str">
        <f t="shared" si="1"/>
        <v/>
      </c>
      <c r="C111" s="15" t="str">
        <f>IF(ISNA(VLOOKUP(MID($A111,1,1),Kanji_2_HanViet!$A:$C,2,FALSE)),"",VLOOKUP(MID($A111,1,1),Kanji_2_HanViet!$A:$C,2,FALSE))</f>
        <v/>
      </c>
      <c r="D111" s="15" t="str">
        <f>IF(ISNA(VLOOKUP(MID($A111,2,1),Kanji_2_HanViet!$A:$C,2,FALSE)),"",VLOOKUP(MID($A111,2,1),Kanji_2_HanViet!$A:$C,2,FALSE))</f>
        <v/>
      </c>
      <c r="E111" s="15" t="str">
        <f>IF(ISNA(VLOOKUP(MID($A111,3,1),Kanji_2_HanViet!$A:$C,2,FALSE)),"",VLOOKUP(MID($A111,3,1),Kanji_2_HanViet!$A:$C,2,FALSE))</f>
        <v/>
      </c>
      <c r="F111" s="15" t="str">
        <f>IF(ISNA(VLOOKUP(MID($A111,4,1),Kanji_2_HanViet!$A:$C,2,FALSE)),"",VLOOKUP(MID($A111,4,1),Kanji_2_HanViet!$A:$C,2,FALSE))</f>
        <v/>
      </c>
      <c r="G111" s="15" t="str">
        <f>IF(ISNA(VLOOKUP(MID($A111,5,1),Kanji_2_HanViet!$A:$C,2,FALSE)),"",VLOOKUP(MID($A111,5,1),Kanji_2_HanViet!$A:$C,2,FALSE))</f>
        <v/>
      </c>
      <c r="H111" s="15" t="str">
        <f>IF(ISNA(VLOOKUP(MID($A111,6,1),Kanji_2_HanViet!$A:$C,2,FALSE)),"",VLOOKUP(MID($A111,6,1),Kanji_2_HanViet!$A:$C,2,FALSE))</f>
        <v/>
      </c>
      <c r="I111" s="15" t="str">
        <f>IF(ISNA(VLOOKUP(MID($A111,7,1),Kanji_2_HanViet!$A:$C,2,FALSE)),"",VLOOKUP(MID($A111,7,1),Kanji_2_HanViet!$A:$C,2,FALSE))</f>
        <v/>
      </c>
      <c r="J111" s="15" t="str">
        <f>IF(ISNA(VLOOKUP(MID($A111,8,1),Kanji_2_HanViet!$A:$C,2,FALSE)),"",VLOOKUP(MID($A111,8,1),Kanji_2_HanViet!$A:$C,2,FALSE))</f>
        <v/>
      </c>
      <c r="K111" s="15" t="str">
        <f>IF(ISNA(VLOOKUP(MID($A111,9,1),Kanji_2_HanViet!$A:$C,2,FALSE)),"",VLOOKUP(MID($A111,9,1),Kanji_2_HanViet!$A:$C,2,FALSE))</f>
        <v/>
      </c>
    </row>
    <row r="112" spans="1:11">
      <c r="A112" s="13">
        <f>Master!B118</f>
        <v>0</v>
      </c>
      <c r="B112" s="16" t="str">
        <f t="shared" si="1"/>
        <v/>
      </c>
      <c r="C112" s="15" t="str">
        <f>IF(ISNA(VLOOKUP(MID($A112,1,1),Kanji_2_HanViet!$A:$C,2,FALSE)),"",VLOOKUP(MID($A112,1,1),Kanji_2_HanViet!$A:$C,2,FALSE))</f>
        <v/>
      </c>
      <c r="D112" s="15" t="str">
        <f>IF(ISNA(VLOOKUP(MID($A112,2,1),Kanji_2_HanViet!$A:$C,2,FALSE)),"",VLOOKUP(MID($A112,2,1),Kanji_2_HanViet!$A:$C,2,FALSE))</f>
        <v/>
      </c>
      <c r="E112" s="15" t="str">
        <f>IF(ISNA(VLOOKUP(MID($A112,3,1),Kanji_2_HanViet!$A:$C,2,FALSE)),"",VLOOKUP(MID($A112,3,1),Kanji_2_HanViet!$A:$C,2,FALSE))</f>
        <v/>
      </c>
      <c r="F112" s="15" t="str">
        <f>IF(ISNA(VLOOKUP(MID($A112,4,1),Kanji_2_HanViet!$A:$C,2,FALSE)),"",VLOOKUP(MID($A112,4,1),Kanji_2_HanViet!$A:$C,2,FALSE))</f>
        <v/>
      </c>
      <c r="G112" s="15" t="str">
        <f>IF(ISNA(VLOOKUP(MID($A112,5,1),Kanji_2_HanViet!$A:$C,2,FALSE)),"",VLOOKUP(MID($A112,5,1),Kanji_2_HanViet!$A:$C,2,FALSE))</f>
        <v/>
      </c>
      <c r="H112" s="15" t="str">
        <f>IF(ISNA(VLOOKUP(MID($A112,6,1),Kanji_2_HanViet!$A:$C,2,FALSE)),"",VLOOKUP(MID($A112,6,1),Kanji_2_HanViet!$A:$C,2,FALSE))</f>
        <v/>
      </c>
      <c r="I112" s="15" t="str">
        <f>IF(ISNA(VLOOKUP(MID($A112,7,1),Kanji_2_HanViet!$A:$C,2,FALSE)),"",VLOOKUP(MID($A112,7,1),Kanji_2_HanViet!$A:$C,2,FALSE))</f>
        <v/>
      </c>
      <c r="J112" s="15" t="str">
        <f>IF(ISNA(VLOOKUP(MID($A112,8,1),Kanji_2_HanViet!$A:$C,2,FALSE)),"",VLOOKUP(MID($A112,8,1),Kanji_2_HanViet!$A:$C,2,FALSE))</f>
        <v/>
      </c>
      <c r="K112" s="15" t="str">
        <f>IF(ISNA(VLOOKUP(MID($A112,9,1),Kanji_2_HanViet!$A:$C,2,FALSE)),"",VLOOKUP(MID($A112,9,1),Kanji_2_HanViet!$A:$C,2,FALSE))</f>
        <v/>
      </c>
    </row>
    <row r="113" spans="1:11">
      <c r="A113" s="13">
        <f>Master!B119</f>
        <v>0</v>
      </c>
      <c r="B113" s="16" t="str">
        <f t="shared" si="1"/>
        <v/>
      </c>
      <c r="C113" s="15" t="str">
        <f>IF(ISNA(VLOOKUP(MID($A113,1,1),Kanji_2_HanViet!$A:$C,2,FALSE)),"",VLOOKUP(MID($A113,1,1),Kanji_2_HanViet!$A:$C,2,FALSE))</f>
        <v/>
      </c>
      <c r="D113" s="15" t="str">
        <f>IF(ISNA(VLOOKUP(MID($A113,2,1),Kanji_2_HanViet!$A:$C,2,FALSE)),"",VLOOKUP(MID($A113,2,1),Kanji_2_HanViet!$A:$C,2,FALSE))</f>
        <v/>
      </c>
      <c r="E113" s="15" t="str">
        <f>IF(ISNA(VLOOKUP(MID($A113,3,1),Kanji_2_HanViet!$A:$C,2,FALSE)),"",VLOOKUP(MID($A113,3,1),Kanji_2_HanViet!$A:$C,2,FALSE))</f>
        <v/>
      </c>
      <c r="F113" s="15" t="str">
        <f>IF(ISNA(VLOOKUP(MID($A113,4,1),Kanji_2_HanViet!$A:$C,2,FALSE)),"",VLOOKUP(MID($A113,4,1),Kanji_2_HanViet!$A:$C,2,FALSE))</f>
        <v/>
      </c>
      <c r="G113" s="15" t="str">
        <f>IF(ISNA(VLOOKUP(MID($A113,5,1),Kanji_2_HanViet!$A:$C,2,FALSE)),"",VLOOKUP(MID($A113,5,1),Kanji_2_HanViet!$A:$C,2,FALSE))</f>
        <v/>
      </c>
      <c r="H113" s="15" t="str">
        <f>IF(ISNA(VLOOKUP(MID($A113,6,1),Kanji_2_HanViet!$A:$C,2,FALSE)),"",VLOOKUP(MID($A113,6,1),Kanji_2_HanViet!$A:$C,2,FALSE))</f>
        <v/>
      </c>
      <c r="I113" s="15" t="str">
        <f>IF(ISNA(VLOOKUP(MID($A113,7,1),Kanji_2_HanViet!$A:$C,2,FALSE)),"",VLOOKUP(MID($A113,7,1),Kanji_2_HanViet!$A:$C,2,FALSE))</f>
        <v/>
      </c>
      <c r="J113" s="15" t="str">
        <f>IF(ISNA(VLOOKUP(MID($A113,8,1),Kanji_2_HanViet!$A:$C,2,FALSE)),"",VLOOKUP(MID($A113,8,1),Kanji_2_HanViet!$A:$C,2,FALSE))</f>
        <v/>
      </c>
      <c r="K113" s="15" t="str">
        <f>IF(ISNA(VLOOKUP(MID($A113,9,1),Kanji_2_HanViet!$A:$C,2,FALSE)),"",VLOOKUP(MID($A113,9,1),Kanji_2_HanViet!$A:$C,2,FALSE))</f>
        <v/>
      </c>
    </row>
    <row r="114" spans="1:11">
      <c r="A114" s="13">
        <f>Master!B120</f>
        <v>0</v>
      </c>
      <c r="B114" s="16" t="str">
        <f t="shared" si="1"/>
        <v/>
      </c>
      <c r="C114" s="15" t="str">
        <f>IF(ISNA(VLOOKUP(MID($A114,1,1),Kanji_2_HanViet!$A:$C,2,FALSE)),"",VLOOKUP(MID($A114,1,1),Kanji_2_HanViet!$A:$C,2,FALSE))</f>
        <v/>
      </c>
      <c r="D114" s="15" t="str">
        <f>IF(ISNA(VLOOKUP(MID($A114,2,1),Kanji_2_HanViet!$A:$C,2,FALSE)),"",VLOOKUP(MID($A114,2,1),Kanji_2_HanViet!$A:$C,2,FALSE))</f>
        <v/>
      </c>
      <c r="E114" s="15" t="str">
        <f>IF(ISNA(VLOOKUP(MID($A114,3,1),Kanji_2_HanViet!$A:$C,2,FALSE)),"",VLOOKUP(MID($A114,3,1),Kanji_2_HanViet!$A:$C,2,FALSE))</f>
        <v/>
      </c>
      <c r="F114" s="15" t="str">
        <f>IF(ISNA(VLOOKUP(MID($A114,4,1),Kanji_2_HanViet!$A:$C,2,FALSE)),"",VLOOKUP(MID($A114,4,1),Kanji_2_HanViet!$A:$C,2,FALSE))</f>
        <v/>
      </c>
      <c r="G114" s="15" t="str">
        <f>IF(ISNA(VLOOKUP(MID($A114,5,1),Kanji_2_HanViet!$A:$C,2,FALSE)),"",VLOOKUP(MID($A114,5,1),Kanji_2_HanViet!$A:$C,2,FALSE))</f>
        <v/>
      </c>
      <c r="H114" s="15" t="str">
        <f>IF(ISNA(VLOOKUP(MID($A114,6,1),Kanji_2_HanViet!$A:$C,2,FALSE)),"",VLOOKUP(MID($A114,6,1),Kanji_2_HanViet!$A:$C,2,FALSE))</f>
        <v/>
      </c>
      <c r="I114" s="15" t="str">
        <f>IF(ISNA(VLOOKUP(MID($A114,7,1),Kanji_2_HanViet!$A:$C,2,FALSE)),"",VLOOKUP(MID($A114,7,1),Kanji_2_HanViet!$A:$C,2,FALSE))</f>
        <v/>
      </c>
      <c r="J114" s="15" t="str">
        <f>IF(ISNA(VLOOKUP(MID($A114,8,1),Kanji_2_HanViet!$A:$C,2,FALSE)),"",VLOOKUP(MID($A114,8,1),Kanji_2_HanViet!$A:$C,2,FALSE))</f>
        <v/>
      </c>
      <c r="K114" s="15" t="str">
        <f>IF(ISNA(VLOOKUP(MID($A114,9,1),Kanji_2_HanViet!$A:$C,2,FALSE)),"",VLOOKUP(MID($A114,9,1),Kanji_2_HanViet!$A:$C,2,FALSE))</f>
        <v/>
      </c>
    </row>
    <row r="115" spans="1:11">
      <c r="A115" s="13">
        <f>Master!B121</f>
        <v>0</v>
      </c>
      <c r="B115" s="16" t="str">
        <f t="shared" si="1"/>
        <v/>
      </c>
      <c r="C115" s="15" t="str">
        <f>IF(ISNA(VLOOKUP(MID($A115,1,1),Kanji_2_HanViet!$A:$C,2,FALSE)),"",VLOOKUP(MID($A115,1,1),Kanji_2_HanViet!$A:$C,2,FALSE))</f>
        <v/>
      </c>
      <c r="D115" s="15" t="str">
        <f>IF(ISNA(VLOOKUP(MID($A115,2,1),Kanji_2_HanViet!$A:$C,2,FALSE)),"",VLOOKUP(MID($A115,2,1),Kanji_2_HanViet!$A:$C,2,FALSE))</f>
        <v/>
      </c>
      <c r="E115" s="15" t="str">
        <f>IF(ISNA(VLOOKUP(MID($A115,3,1),Kanji_2_HanViet!$A:$C,2,FALSE)),"",VLOOKUP(MID($A115,3,1),Kanji_2_HanViet!$A:$C,2,FALSE))</f>
        <v/>
      </c>
      <c r="F115" s="15" t="str">
        <f>IF(ISNA(VLOOKUP(MID($A115,4,1),Kanji_2_HanViet!$A:$C,2,FALSE)),"",VLOOKUP(MID($A115,4,1),Kanji_2_HanViet!$A:$C,2,FALSE))</f>
        <v/>
      </c>
      <c r="G115" s="15" t="str">
        <f>IF(ISNA(VLOOKUP(MID($A115,5,1),Kanji_2_HanViet!$A:$C,2,FALSE)),"",VLOOKUP(MID($A115,5,1),Kanji_2_HanViet!$A:$C,2,FALSE))</f>
        <v/>
      </c>
      <c r="H115" s="15" t="str">
        <f>IF(ISNA(VLOOKUP(MID($A115,6,1),Kanji_2_HanViet!$A:$C,2,FALSE)),"",VLOOKUP(MID($A115,6,1),Kanji_2_HanViet!$A:$C,2,FALSE))</f>
        <v/>
      </c>
      <c r="I115" s="15" t="str">
        <f>IF(ISNA(VLOOKUP(MID($A115,7,1),Kanji_2_HanViet!$A:$C,2,FALSE)),"",VLOOKUP(MID($A115,7,1),Kanji_2_HanViet!$A:$C,2,FALSE))</f>
        <v/>
      </c>
      <c r="J115" s="15" t="str">
        <f>IF(ISNA(VLOOKUP(MID($A115,8,1),Kanji_2_HanViet!$A:$C,2,FALSE)),"",VLOOKUP(MID($A115,8,1),Kanji_2_HanViet!$A:$C,2,FALSE))</f>
        <v/>
      </c>
      <c r="K115" s="15" t="str">
        <f>IF(ISNA(VLOOKUP(MID($A115,9,1),Kanji_2_HanViet!$A:$C,2,FALSE)),"",VLOOKUP(MID($A115,9,1),Kanji_2_HanViet!$A:$C,2,FALSE))</f>
        <v/>
      </c>
    </row>
    <row r="116" spans="1:11">
      <c r="A116" s="13">
        <f>Master!B122</f>
        <v>0</v>
      </c>
      <c r="B116" s="16" t="str">
        <f t="shared" si="1"/>
        <v/>
      </c>
      <c r="C116" s="15" t="str">
        <f>IF(ISNA(VLOOKUP(MID($A116,1,1),Kanji_2_HanViet!$A:$C,2,FALSE)),"",VLOOKUP(MID($A116,1,1),Kanji_2_HanViet!$A:$C,2,FALSE))</f>
        <v/>
      </c>
      <c r="D116" s="15" t="str">
        <f>IF(ISNA(VLOOKUP(MID($A116,2,1),Kanji_2_HanViet!$A:$C,2,FALSE)),"",VLOOKUP(MID($A116,2,1),Kanji_2_HanViet!$A:$C,2,FALSE))</f>
        <v/>
      </c>
      <c r="E116" s="15" t="str">
        <f>IF(ISNA(VLOOKUP(MID($A116,3,1),Kanji_2_HanViet!$A:$C,2,FALSE)),"",VLOOKUP(MID($A116,3,1),Kanji_2_HanViet!$A:$C,2,FALSE))</f>
        <v/>
      </c>
      <c r="F116" s="15" t="str">
        <f>IF(ISNA(VLOOKUP(MID($A116,4,1),Kanji_2_HanViet!$A:$C,2,FALSE)),"",VLOOKUP(MID($A116,4,1),Kanji_2_HanViet!$A:$C,2,FALSE))</f>
        <v/>
      </c>
      <c r="G116" s="15" t="str">
        <f>IF(ISNA(VLOOKUP(MID($A116,5,1),Kanji_2_HanViet!$A:$C,2,FALSE)),"",VLOOKUP(MID($A116,5,1),Kanji_2_HanViet!$A:$C,2,FALSE))</f>
        <v/>
      </c>
      <c r="H116" s="15" t="str">
        <f>IF(ISNA(VLOOKUP(MID($A116,6,1),Kanji_2_HanViet!$A:$C,2,FALSE)),"",VLOOKUP(MID($A116,6,1),Kanji_2_HanViet!$A:$C,2,FALSE))</f>
        <v/>
      </c>
      <c r="I116" s="15" t="str">
        <f>IF(ISNA(VLOOKUP(MID($A116,7,1),Kanji_2_HanViet!$A:$C,2,FALSE)),"",VLOOKUP(MID($A116,7,1),Kanji_2_HanViet!$A:$C,2,FALSE))</f>
        <v/>
      </c>
      <c r="J116" s="15" t="str">
        <f>IF(ISNA(VLOOKUP(MID($A116,8,1),Kanji_2_HanViet!$A:$C,2,FALSE)),"",VLOOKUP(MID($A116,8,1),Kanji_2_HanViet!$A:$C,2,FALSE))</f>
        <v/>
      </c>
      <c r="K116" s="15" t="str">
        <f>IF(ISNA(VLOOKUP(MID($A116,9,1),Kanji_2_HanViet!$A:$C,2,FALSE)),"",VLOOKUP(MID($A116,9,1),Kanji_2_HanViet!$A:$C,2,FALSE))</f>
        <v/>
      </c>
    </row>
    <row r="117" spans="1:11">
      <c r="A117" s="13">
        <f>Master!B123</f>
        <v>0</v>
      </c>
      <c r="B117" s="16" t="str">
        <f t="shared" si="1"/>
        <v/>
      </c>
      <c r="C117" s="15" t="str">
        <f>IF(ISNA(VLOOKUP(MID($A117,1,1),Kanji_2_HanViet!$A:$C,2,FALSE)),"",VLOOKUP(MID($A117,1,1),Kanji_2_HanViet!$A:$C,2,FALSE))</f>
        <v/>
      </c>
      <c r="D117" s="15" t="str">
        <f>IF(ISNA(VLOOKUP(MID($A117,2,1),Kanji_2_HanViet!$A:$C,2,FALSE)),"",VLOOKUP(MID($A117,2,1),Kanji_2_HanViet!$A:$C,2,FALSE))</f>
        <v/>
      </c>
      <c r="E117" s="15" t="str">
        <f>IF(ISNA(VLOOKUP(MID($A117,3,1),Kanji_2_HanViet!$A:$C,2,FALSE)),"",VLOOKUP(MID($A117,3,1),Kanji_2_HanViet!$A:$C,2,FALSE))</f>
        <v/>
      </c>
      <c r="F117" s="15" t="str">
        <f>IF(ISNA(VLOOKUP(MID($A117,4,1),Kanji_2_HanViet!$A:$C,2,FALSE)),"",VLOOKUP(MID($A117,4,1),Kanji_2_HanViet!$A:$C,2,FALSE))</f>
        <v/>
      </c>
      <c r="G117" s="15" t="str">
        <f>IF(ISNA(VLOOKUP(MID($A117,5,1),Kanji_2_HanViet!$A:$C,2,FALSE)),"",VLOOKUP(MID($A117,5,1),Kanji_2_HanViet!$A:$C,2,FALSE))</f>
        <v/>
      </c>
      <c r="H117" s="15" t="str">
        <f>IF(ISNA(VLOOKUP(MID($A117,6,1),Kanji_2_HanViet!$A:$C,2,FALSE)),"",VLOOKUP(MID($A117,6,1),Kanji_2_HanViet!$A:$C,2,FALSE))</f>
        <v/>
      </c>
      <c r="I117" s="15" t="str">
        <f>IF(ISNA(VLOOKUP(MID($A117,7,1),Kanji_2_HanViet!$A:$C,2,FALSE)),"",VLOOKUP(MID($A117,7,1),Kanji_2_HanViet!$A:$C,2,FALSE))</f>
        <v/>
      </c>
      <c r="J117" s="15" t="str">
        <f>IF(ISNA(VLOOKUP(MID($A117,8,1),Kanji_2_HanViet!$A:$C,2,FALSE)),"",VLOOKUP(MID($A117,8,1),Kanji_2_HanViet!$A:$C,2,FALSE))</f>
        <v/>
      </c>
      <c r="K117" s="15" t="str">
        <f>IF(ISNA(VLOOKUP(MID($A117,9,1),Kanji_2_HanViet!$A:$C,2,FALSE)),"",VLOOKUP(MID($A117,9,1),Kanji_2_HanViet!$A:$C,2,FALSE))</f>
        <v/>
      </c>
    </row>
    <row r="118" spans="1:11">
      <c r="A118" s="13">
        <f>Master!B124</f>
        <v>0</v>
      </c>
      <c r="B118" s="16" t="str">
        <f t="shared" si="1"/>
        <v/>
      </c>
      <c r="C118" s="15" t="str">
        <f>IF(ISNA(VLOOKUP(MID($A118,1,1),Kanji_2_HanViet!$A:$C,2,FALSE)),"",VLOOKUP(MID($A118,1,1),Kanji_2_HanViet!$A:$C,2,FALSE))</f>
        <v/>
      </c>
      <c r="D118" s="15" t="str">
        <f>IF(ISNA(VLOOKUP(MID($A118,2,1),Kanji_2_HanViet!$A:$C,2,FALSE)),"",VLOOKUP(MID($A118,2,1),Kanji_2_HanViet!$A:$C,2,FALSE))</f>
        <v/>
      </c>
      <c r="E118" s="15" t="str">
        <f>IF(ISNA(VLOOKUP(MID($A118,3,1),Kanji_2_HanViet!$A:$C,2,FALSE)),"",VLOOKUP(MID($A118,3,1),Kanji_2_HanViet!$A:$C,2,FALSE))</f>
        <v/>
      </c>
      <c r="F118" s="15" t="str">
        <f>IF(ISNA(VLOOKUP(MID($A118,4,1),Kanji_2_HanViet!$A:$C,2,FALSE)),"",VLOOKUP(MID($A118,4,1),Kanji_2_HanViet!$A:$C,2,FALSE))</f>
        <v/>
      </c>
      <c r="G118" s="15" t="str">
        <f>IF(ISNA(VLOOKUP(MID($A118,5,1),Kanji_2_HanViet!$A:$C,2,FALSE)),"",VLOOKUP(MID($A118,5,1),Kanji_2_HanViet!$A:$C,2,FALSE))</f>
        <v/>
      </c>
      <c r="H118" s="15" t="str">
        <f>IF(ISNA(VLOOKUP(MID($A118,6,1),Kanji_2_HanViet!$A:$C,2,FALSE)),"",VLOOKUP(MID($A118,6,1),Kanji_2_HanViet!$A:$C,2,FALSE))</f>
        <v/>
      </c>
      <c r="I118" s="15" t="str">
        <f>IF(ISNA(VLOOKUP(MID($A118,7,1),Kanji_2_HanViet!$A:$C,2,FALSE)),"",VLOOKUP(MID($A118,7,1),Kanji_2_HanViet!$A:$C,2,FALSE))</f>
        <v/>
      </c>
      <c r="J118" s="15" t="str">
        <f>IF(ISNA(VLOOKUP(MID($A118,8,1),Kanji_2_HanViet!$A:$C,2,FALSE)),"",VLOOKUP(MID($A118,8,1),Kanji_2_HanViet!$A:$C,2,FALSE))</f>
        <v/>
      </c>
      <c r="K118" s="15" t="str">
        <f>IF(ISNA(VLOOKUP(MID($A118,9,1),Kanji_2_HanViet!$A:$C,2,FALSE)),"",VLOOKUP(MID($A118,9,1),Kanji_2_HanViet!$A:$C,2,FALSE))</f>
        <v/>
      </c>
    </row>
    <row r="119" spans="1:11">
      <c r="A119" s="13">
        <f>Master!B125</f>
        <v>0</v>
      </c>
      <c r="B119" s="16" t="str">
        <f t="shared" si="1"/>
        <v/>
      </c>
      <c r="C119" s="15" t="str">
        <f>IF(ISNA(VLOOKUP(MID($A119,1,1),Kanji_2_HanViet!$A:$C,2,FALSE)),"",VLOOKUP(MID($A119,1,1),Kanji_2_HanViet!$A:$C,2,FALSE))</f>
        <v/>
      </c>
      <c r="D119" s="15" t="str">
        <f>IF(ISNA(VLOOKUP(MID($A119,2,1),Kanji_2_HanViet!$A:$C,2,FALSE)),"",VLOOKUP(MID($A119,2,1),Kanji_2_HanViet!$A:$C,2,FALSE))</f>
        <v/>
      </c>
      <c r="E119" s="15" t="str">
        <f>IF(ISNA(VLOOKUP(MID($A119,3,1),Kanji_2_HanViet!$A:$C,2,FALSE)),"",VLOOKUP(MID($A119,3,1),Kanji_2_HanViet!$A:$C,2,FALSE))</f>
        <v/>
      </c>
      <c r="F119" s="15" t="str">
        <f>IF(ISNA(VLOOKUP(MID($A119,4,1),Kanji_2_HanViet!$A:$C,2,FALSE)),"",VLOOKUP(MID($A119,4,1),Kanji_2_HanViet!$A:$C,2,FALSE))</f>
        <v/>
      </c>
      <c r="G119" s="15" t="str">
        <f>IF(ISNA(VLOOKUP(MID($A119,5,1),Kanji_2_HanViet!$A:$C,2,FALSE)),"",VLOOKUP(MID($A119,5,1),Kanji_2_HanViet!$A:$C,2,FALSE))</f>
        <v/>
      </c>
      <c r="H119" s="15" t="str">
        <f>IF(ISNA(VLOOKUP(MID($A119,6,1),Kanji_2_HanViet!$A:$C,2,FALSE)),"",VLOOKUP(MID($A119,6,1),Kanji_2_HanViet!$A:$C,2,FALSE))</f>
        <v/>
      </c>
      <c r="I119" s="15" t="str">
        <f>IF(ISNA(VLOOKUP(MID($A119,7,1),Kanji_2_HanViet!$A:$C,2,FALSE)),"",VLOOKUP(MID($A119,7,1),Kanji_2_HanViet!$A:$C,2,FALSE))</f>
        <v/>
      </c>
      <c r="J119" s="15" t="str">
        <f>IF(ISNA(VLOOKUP(MID($A119,8,1),Kanji_2_HanViet!$A:$C,2,FALSE)),"",VLOOKUP(MID($A119,8,1),Kanji_2_HanViet!$A:$C,2,FALSE))</f>
        <v/>
      </c>
      <c r="K119" s="15" t="str">
        <f>IF(ISNA(VLOOKUP(MID($A119,9,1),Kanji_2_HanViet!$A:$C,2,FALSE)),"",VLOOKUP(MID($A119,9,1),Kanji_2_HanViet!$A:$C,2,FALSE))</f>
        <v/>
      </c>
    </row>
    <row r="120" spans="1:11">
      <c r="A120" s="13">
        <f>Master!B126</f>
        <v>0</v>
      </c>
      <c r="B120" s="16" t="str">
        <f t="shared" si="1"/>
        <v/>
      </c>
      <c r="C120" s="15" t="str">
        <f>IF(ISNA(VLOOKUP(MID($A120,1,1),Kanji_2_HanViet!$A:$C,2,FALSE)),"",VLOOKUP(MID($A120,1,1),Kanji_2_HanViet!$A:$C,2,FALSE))</f>
        <v/>
      </c>
      <c r="D120" s="15" t="str">
        <f>IF(ISNA(VLOOKUP(MID($A120,2,1),Kanji_2_HanViet!$A:$C,2,FALSE)),"",VLOOKUP(MID($A120,2,1),Kanji_2_HanViet!$A:$C,2,FALSE))</f>
        <v/>
      </c>
      <c r="E120" s="15" t="str">
        <f>IF(ISNA(VLOOKUP(MID($A120,3,1),Kanji_2_HanViet!$A:$C,2,FALSE)),"",VLOOKUP(MID($A120,3,1),Kanji_2_HanViet!$A:$C,2,FALSE))</f>
        <v/>
      </c>
      <c r="F120" s="15" t="str">
        <f>IF(ISNA(VLOOKUP(MID($A120,4,1),Kanji_2_HanViet!$A:$C,2,FALSE)),"",VLOOKUP(MID($A120,4,1),Kanji_2_HanViet!$A:$C,2,FALSE))</f>
        <v/>
      </c>
      <c r="G120" s="15" t="str">
        <f>IF(ISNA(VLOOKUP(MID($A120,5,1),Kanji_2_HanViet!$A:$C,2,FALSE)),"",VLOOKUP(MID($A120,5,1),Kanji_2_HanViet!$A:$C,2,FALSE))</f>
        <v/>
      </c>
      <c r="H120" s="15" t="str">
        <f>IF(ISNA(VLOOKUP(MID($A120,6,1),Kanji_2_HanViet!$A:$C,2,FALSE)),"",VLOOKUP(MID($A120,6,1),Kanji_2_HanViet!$A:$C,2,FALSE))</f>
        <v/>
      </c>
      <c r="I120" s="15" t="str">
        <f>IF(ISNA(VLOOKUP(MID($A120,7,1),Kanji_2_HanViet!$A:$C,2,FALSE)),"",VLOOKUP(MID($A120,7,1),Kanji_2_HanViet!$A:$C,2,FALSE))</f>
        <v/>
      </c>
      <c r="J120" s="15" t="str">
        <f>IF(ISNA(VLOOKUP(MID($A120,8,1),Kanji_2_HanViet!$A:$C,2,FALSE)),"",VLOOKUP(MID($A120,8,1),Kanji_2_HanViet!$A:$C,2,FALSE))</f>
        <v/>
      </c>
      <c r="K120" s="15" t="str">
        <f>IF(ISNA(VLOOKUP(MID($A120,9,1),Kanji_2_HanViet!$A:$C,2,FALSE)),"",VLOOKUP(MID($A120,9,1),Kanji_2_HanViet!$A:$C,2,FALSE))</f>
        <v/>
      </c>
    </row>
    <row r="121" spans="1:11">
      <c r="A121" s="13">
        <f>Master!B127</f>
        <v>0</v>
      </c>
      <c r="B121" s="16" t="str">
        <f t="shared" si="1"/>
        <v/>
      </c>
      <c r="C121" s="15" t="str">
        <f>IF(ISNA(VLOOKUP(MID($A121,1,1),Kanji_2_HanViet!$A:$C,2,FALSE)),"",VLOOKUP(MID($A121,1,1),Kanji_2_HanViet!$A:$C,2,FALSE))</f>
        <v/>
      </c>
      <c r="D121" s="15" t="str">
        <f>IF(ISNA(VLOOKUP(MID($A121,2,1),Kanji_2_HanViet!$A:$C,2,FALSE)),"",VLOOKUP(MID($A121,2,1),Kanji_2_HanViet!$A:$C,2,FALSE))</f>
        <v/>
      </c>
      <c r="E121" s="15" t="str">
        <f>IF(ISNA(VLOOKUP(MID($A121,3,1),Kanji_2_HanViet!$A:$C,2,FALSE)),"",VLOOKUP(MID($A121,3,1),Kanji_2_HanViet!$A:$C,2,FALSE))</f>
        <v/>
      </c>
      <c r="F121" s="15" t="str">
        <f>IF(ISNA(VLOOKUP(MID($A121,4,1),Kanji_2_HanViet!$A:$C,2,FALSE)),"",VLOOKUP(MID($A121,4,1),Kanji_2_HanViet!$A:$C,2,FALSE))</f>
        <v/>
      </c>
      <c r="G121" s="15" t="str">
        <f>IF(ISNA(VLOOKUP(MID($A121,5,1),Kanji_2_HanViet!$A:$C,2,FALSE)),"",VLOOKUP(MID($A121,5,1),Kanji_2_HanViet!$A:$C,2,FALSE))</f>
        <v/>
      </c>
      <c r="H121" s="15" t="str">
        <f>IF(ISNA(VLOOKUP(MID($A121,6,1),Kanji_2_HanViet!$A:$C,2,FALSE)),"",VLOOKUP(MID($A121,6,1),Kanji_2_HanViet!$A:$C,2,FALSE))</f>
        <v/>
      </c>
      <c r="I121" s="15" t="str">
        <f>IF(ISNA(VLOOKUP(MID($A121,7,1),Kanji_2_HanViet!$A:$C,2,FALSE)),"",VLOOKUP(MID($A121,7,1),Kanji_2_HanViet!$A:$C,2,FALSE))</f>
        <v/>
      </c>
      <c r="J121" s="15" t="str">
        <f>IF(ISNA(VLOOKUP(MID($A121,8,1),Kanji_2_HanViet!$A:$C,2,FALSE)),"",VLOOKUP(MID($A121,8,1),Kanji_2_HanViet!$A:$C,2,FALSE))</f>
        <v/>
      </c>
      <c r="K121" s="15" t="str">
        <f>IF(ISNA(VLOOKUP(MID($A121,9,1),Kanji_2_HanViet!$A:$C,2,FALSE)),"",VLOOKUP(MID($A121,9,1),Kanji_2_HanViet!$A:$C,2,FALSE))</f>
        <v/>
      </c>
    </row>
    <row r="122" spans="1:11">
      <c r="A122" s="13">
        <f>Master!B128</f>
        <v>0</v>
      </c>
      <c r="B122" s="16" t="str">
        <f t="shared" si="1"/>
        <v/>
      </c>
      <c r="C122" s="15" t="str">
        <f>IF(ISNA(VLOOKUP(MID($A122,1,1),Kanji_2_HanViet!$A:$C,2,FALSE)),"",VLOOKUP(MID($A122,1,1),Kanji_2_HanViet!$A:$C,2,FALSE))</f>
        <v/>
      </c>
      <c r="D122" s="15" t="str">
        <f>IF(ISNA(VLOOKUP(MID($A122,2,1),Kanji_2_HanViet!$A:$C,2,FALSE)),"",VLOOKUP(MID($A122,2,1),Kanji_2_HanViet!$A:$C,2,FALSE))</f>
        <v/>
      </c>
      <c r="E122" s="15" t="str">
        <f>IF(ISNA(VLOOKUP(MID($A122,3,1),Kanji_2_HanViet!$A:$C,2,FALSE)),"",VLOOKUP(MID($A122,3,1),Kanji_2_HanViet!$A:$C,2,FALSE))</f>
        <v/>
      </c>
      <c r="F122" s="15" t="str">
        <f>IF(ISNA(VLOOKUP(MID($A122,4,1),Kanji_2_HanViet!$A:$C,2,FALSE)),"",VLOOKUP(MID($A122,4,1),Kanji_2_HanViet!$A:$C,2,FALSE))</f>
        <v/>
      </c>
      <c r="G122" s="15" t="str">
        <f>IF(ISNA(VLOOKUP(MID($A122,5,1),Kanji_2_HanViet!$A:$C,2,FALSE)),"",VLOOKUP(MID($A122,5,1),Kanji_2_HanViet!$A:$C,2,FALSE))</f>
        <v/>
      </c>
      <c r="H122" s="15" t="str">
        <f>IF(ISNA(VLOOKUP(MID($A122,6,1),Kanji_2_HanViet!$A:$C,2,FALSE)),"",VLOOKUP(MID($A122,6,1),Kanji_2_HanViet!$A:$C,2,FALSE))</f>
        <v/>
      </c>
      <c r="I122" s="15" t="str">
        <f>IF(ISNA(VLOOKUP(MID($A122,7,1),Kanji_2_HanViet!$A:$C,2,FALSE)),"",VLOOKUP(MID($A122,7,1),Kanji_2_HanViet!$A:$C,2,FALSE))</f>
        <v/>
      </c>
      <c r="J122" s="15" t="str">
        <f>IF(ISNA(VLOOKUP(MID($A122,8,1),Kanji_2_HanViet!$A:$C,2,FALSE)),"",VLOOKUP(MID($A122,8,1),Kanji_2_HanViet!$A:$C,2,FALSE))</f>
        <v/>
      </c>
      <c r="K122" s="15" t="str">
        <f>IF(ISNA(VLOOKUP(MID($A122,9,1),Kanji_2_HanViet!$A:$C,2,FALSE)),"",VLOOKUP(MID($A122,9,1),Kanji_2_HanViet!$A:$C,2,FALSE))</f>
        <v/>
      </c>
    </row>
    <row r="123" spans="1:11">
      <c r="A123" s="13">
        <f>Master!B129</f>
        <v>0</v>
      </c>
      <c r="B123" s="16" t="str">
        <f t="shared" si="1"/>
        <v/>
      </c>
      <c r="C123" s="15" t="str">
        <f>IF(ISNA(VLOOKUP(MID($A123,1,1),Kanji_2_HanViet!$A:$C,2,FALSE)),"",VLOOKUP(MID($A123,1,1),Kanji_2_HanViet!$A:$C,2,FALSE))</f>
        <v/>
      </c>
      <c r="D123" s="15" t="str">
        <f>IF(ISNA(VLOOKUP(MID($A123,2,1),Kanji_2_HanViet!$A:$C,2,FALSE)),"",VLOOKUP(MID($A123,2,1),Kanji_2_HanViet!$A:$C,2,FALSE))</f>
        <v/>
      </c>
      <c r="E123" s="15" t="str">
        <f>IF(ISNA(VLOOKUP(MID($A123,3,1),Kanji_2_HanViet!$A:$C,2,FALSE)),"",VLOOKUP(MID($A123,3,1),Kanji_2_HanViet!$A:$C,2,FALSE))</f>
        <v/>
      </c>
      <c r="F123" s="15" t="str">
        <f>IF(ISNA(VLOOKUP(MID($A123,4,1),Kanji_2_HanViet!$A:$C,2,FALSE)),"",VLOOKUP(MID($A123,4,1),Kanji_2_HanViet!$A:$C,2,FALSE))</f>
        <v/>
      </c>
      <c r="G123" s="15" t="str">
        <f>IF(ISNA(VLOOKUP(MID($A123,5,1),Kanji_2_HanViet!$A:$C,2,FALSE)),"",VLOOKUP(MID($A123,5,1),Kanji_2_HanViet!$A:$C,2,FALSE))</f>
        <v/>
      </c>
      <c r="H123" s="15" t="str">
        <f>IF(ISNA(VLOOKUP(MID($A123,6,1),Kanji_2_HanViet!$A:$C,2,FALSE)),"",VLOOKUP(MID($A123,6,1),Kanji_2_HanViet!$A:$C,2,FALSE))</f>
        <v/>
      </c>
      <c r="I123" s="15" t="str">
        <f>IF(ISNA(VLOOKUP(MID($A123,7,1),Kanji_2_HanViet!$A:$C,2,FALSE)),"",VLOOKUP(MID($A123,7,1),Kanji_2_HanViet!$A:$C,2,FALSE))</f>
        <v/>
      </c>
      <c r="J123" s="15" t="str">
        <f>IF(ISNA(VLOOKUP(MID($A123,8,1),Kanji_2_HanViet!$A:$C,2,FALSE)),"",VLOOKUP(MID($A123,8,1),Kanji_2_HanViet!$A:$C,2,FALSE))</f>
        <v/>
      </c>
      <c r="K123" s="15" t="str">
        <f>IF(ISNA(VLOOKUP(MID($A123,9,1),Kanji_2_HanViet!$A:$C,2,FALSE)),"",VLOOKUP(MID($A123,9,1),Kanji_2_HanViet!$A:$C,2,FALSE))</f>
        <v/>
      </c>
    </row>
    <row r="124" spans="1:11">
      <c r="A124" s="13">
        <f>Master!B130</f>
        <v>0</v>
      </c>
      <c r="B124" s="16" t="str">
        <f t="shared" si="1"/>
        <v/>
      </c>
      <c r="C124" s="15" t="str">
        <f>IF(ISNA(VLOOKUP(MID($A124,1,1),Kanji_2_HanViet!$A:$C,2,FALSE)),"",VLOOKUP(MID($A124,1,1),Kanji_2_HanViet!$A:$C,2,FALSE))</f>
        <v/>
      </c>
      <c r="D124" s="15" t="str">
        <f>IF(ISNA(VLOOKUP(MID($A124,2,1),Kanji_2_HanViet!$A:$C,2,FALSE)),"",VLOOKUP(MID($A124,2,1),Kanji_2_HanViet!$A:$C,2,FALSE))</f>
        <v/>
      </c>
      <c r="E124" s="15" t="str">
        <f>IF(ISNA(VLOOKUP(MID($A124,3,1),Kanji_2_HanViet!$A:$C,2,FALSE)),"",VLOOKUP(MID($A124,3,1),Kanji_2_HanViet!$A:$C,2,FALSE))</f>
        <v/>
      </c>
      <c r="F124" s="15" t="str">
        <f>IF(ISNA(VLOOKUP(MID($A124,4,1),Kanji_2_HanViet!$A:$C,2,FALSE)),"",VLOOKUP(MID($A124,4,1),Kanji_2_HanViet!$A:$C,2,FALSE))</f>
        <v/>
      </c>
      <c r="G124" s="15" t="str">
        <f>IF(ISNA(VLOOKUP(MID($A124,5,1),Kanji_2_HanViet!$A:$C,2,FALSE)),"",VLOOKUP(MID($A124,5,1),Kanji_2_HanViet!$A:$C,2,FALSE))</f>
        <v/>
      </c>
      <c r="H124" s="15" t="str">
        <f>IF(ISNA(VLOOKUP(MID($A124,6,1),Kanji_2_HanViet!$A:$C,2,FALSE)),"",VLOOKUP(MID($A124,6,1),Kanji_2_HanViet!$A:$C,2,FALSE))</f>
        <v/>
      </c>
      <c r="I124" s="15" t="str">
        <f>IF(ISNA(VLOOKUP(MID($A124,7,1),Kanji_2_HanViet!$A:$C,2,FALSE)),"",VLOOKUP(MID($A124,7,1),Kanji_2_HanViet!$A:$C,2,FALSE))</f>
        <v/>
      </c>
      <c r="J124" s="15" t="str">
        <f>IF(ISNA(VLOOKUP(MID($A124,8,1),Kanji_2_HanViet!$A:$C,2,FALSE)),"",VLOOKUP(MID($A124,8,1),Kanji_2_HanViet!$A:$C,2,FALSE))</f>
        <v/>
      </c>
      <c r="K124" s="15" t="str">
        <f>IF(ISNA(VLOOKUP(MID($A124,9,1),Kanji_2_HanViet!$A:$C,2,FALSE)),"",VLOOKUP(MID($A124,9,1),Kanji_2_HanViet!$A:$C,2,FALSE))</f>
        <v/>
      </c>
    </row>
    <row r="125" spans="1:11">
      <c r="A125" s="13">
        <f>Master!B131</f>
        <v>0</v>
      </c>
      <c r="B125" s="16" t="str">
        <f t="shared" si="1"/>
        <v/>
      </c>
      <c r="C125" s="15" t="str">
        <f>IF(ISNA(VLOOKUP(MID($A125,1,1),Kanji_2_HanViet!$A:$C,2,FALSE)),"",VLOOKUP(MID($A125,1,1),Kanji_2_HanViet!$A:$C,2,FALSE))</f>
        <v/>
      </c>
      <c r="D125" s="15" t="str">
        <f>IF(ISNA(VLOOKUP(MID($A125,2,1),Kanji_2_HanViet!$A:$C,2,FALSE)),"",VLOOKUP(MID($A125,2,1),Kanji_2_HanViet!$A:$C,2,FALSE))</f>
        <v/>
      </c>
      <c r="E125" s="15" t="str">
        <f>IF(ISNA(VLOOKUP(MID($A125,3,1),Kanji_2_HanViet!$A:$C,2,FALSE)),"",VLOOKUP(MID($A125,3,1),Kanji_2_HanViet!$A:$C,2,FALSE))</f>
        <v/>
      </c>
      <c r="F125" s="15" t="str">
        <f>IF(ISNA(VLOOKUP(MID($A125,4,1),Kanji_2_HanViet!$A:$C,2,FALSE)),"",VLOOKUP(MID($A125,4,1),Kanji_2_HanViet!$A:$C,2,FALSE))</f>
        <v/>
      </c>
      <c r="G125" s="15" t="str">
        <f>IF(ISNA(VLOOKUP(MID($A125,5,1),Kanji_2_HanViet!$A:$C,2,FALSE)),"",VLOOKUP(MID($A125,5,1),Kanji_2_HanViet!$A:$C,2,FALSE))</f>
        <v/>
      </c>
      <c r="H125" s="15" t="str">
        <f>IF(ISNA(VLOOKUP(MID($A125,6,1),Kanji_2_HanViet!$A:$C,2,FALSE)),"",VLOOKUP(MID($A125,6,1),Kanji_2_HanViet!$A:$C,2,FALSE))</f>
        <v/>
      </c>
      <c r="I125" s="15" t="str">
        <f>IF(ISNA(VLOOKUP(MID($A125,7,1),Kanji_2_HanViet!$A:$C,2,FALSE)),"",VLOOKUP(MID($A125,7,1),Kanji_2_HanViet!$A:$C,2,FALSE))</f>
        <v/>
      </c>
      <c r="J125" s="15" t="str">
        <f>IF(ISNA(VLOOKUP(MID($A125,8,1),Kanji_2_HanViet!$A:$C,2,FALSE)),"",VLOOKUP(MID($A125,8,1),Kanji_2_HanViet!$A:$C,2,FALSE))</f>
        <v/>
      </c>
      <c r="K125" s="15" t="str">
        <f>IF(ISNA(VLOOKUP(MID($A125,9,1),Kanji_2_HanViet!$A:$C,2,FALSE)),"",VLOOKUP(MID($A125,9,1),Kanji_2_HanViet!$A:$C,2,FALSE))</f>
        <v/>
      </c>
    </row>
    <row r="126" spans="1:11">
      <c r="A126" s="13">
        <f>Master!B132</f>
        <v>0</v>
      </c>
      <c r="B126" s="16" t="str">
        <f t="shared" si="1"/>
        <v/>
      </c>
      <c r="C126" s="15" t="str">
        <f>IF(ISNA(VLOOKUP(MID($A126,1,1),Kanji_2_HanViet!$A:$C,2,FALSE)),"",VLOOKUP(MID($A126,1,1),Kanji_2_HanViet!$A:$C,2,FALSE))</f>
        <v/>
      </c>
      <c r="D126" s="15" t="str">
        <f>IF(ISNA(VLOOKUP(MID($A126,2,1),Kanji_2_HanViet!$A:$C,2,FALSE)),"",VLOOKUP(MID($A126,2,1),Kanji_2_HanViet!$A:$C,2,FALSE))</f>
        <v/>
      </c>
      <c r="E126" s="15" t="str">
        <f>IF(ISNA(VLOOKUP(MID($A126,3,1),Kanji_2_HanViet!$A:$C,2,FALSE)),"",VLOOKUP(MID($A126,3,1),Kanji_2_HanViet!$A:$C,2,FALSE))</f>
        <v/>
      </c>
      <c r="F126" s="15" t="str">
        <f>IF(ISNA(VLOOKUP(MID($A126,4,1),Kanji_2_HanViet!$A:$C,2,FALSE)),"",VLOOKUP(MID($A126,4,1),Kanji_2_HanViet!$A:$C,2,FALSE))</f>
        <v/>
      </c>
      <c r="G126" s="15" t="str">
        <f>IF(ISNA(VLOOKUP(MID($A126,5,1),Kanji_2_HanViet!$A:$C,2,FALSE)),"",VLOOKUP(MID($A126,5,1),Kanji_2_HanViet!$A:$C,2,FALSE))</f>
        <v/>
      </c>
      <c r="H126" s="15" t="str">
        <f>IF(ISNA(VLOOKUP(MID($A126,6,1),Kanji_2_HanViet!$A:$C,2,FALSE)),"",VLOOKUP(MID($A126,6,1),Kanji_2_HanViet!$A:$C,2,FALSE))</f>
        <v/>
      </c>
      <c r="I126" s="15" t="str">
        <f>IF(ISNA(VLOOKUP(MID($A126,7,1),Kanji_2_HanViet!$A:$C,2,FALSE)),"",VLOOKUP(MID($A126,7,1),Kanji_2_HanViet!$A:$C,2,FALSE))</f>
        <v/>
      </c>
      <c r="J126" s="15" t="str">
        <f>IF(ISNA(VLOOKUP(MID($A126,8,1),Kanji_2_HanViet!$A:$C,2,FALSE)),"",VLOOKUP(MID($A126,8,1),Kanji_2_HanViet!$A:$C,2,FALSE))</f>
        <v/>
      </c>
      <c r="K126" s="15" t="str">
        <f>IF(ISNA(VLOOKUP(MID($A126,9,1),Kanji_2_HanViet!$A:$C,2,FALSE)),"",VLOOKUP(MID($A126,9,1),Kanji_2_HanViet!$A:$C,2,FALSE))</f>
        <v/>
      </c>
    </row>
    <row r="127" spans="1:11">
      <c r="A127" s="13">
        <f>Master!B133</f>
        <v>0</v>
      </c>
      <c r="B127" s="16" t="str">
        <f t="shared" si="1"/>
        <v/>
      </c>
      <c r="C127" s="15" t="str">
        <f>IF(ISNA(VLOOKUP(MID($A127,1,1),Kanji_2_HanViet!$A:$C,2,FALSE)),"",VLOOKUP(MID($A127,1,1),Kanji_2_HanViet!$A:$C,2,FALSE))</f>
        <v/>
      </c>
      <c r="D127" s="15" t="str">
        <f>IF(ISNA(VLOOKUP(MID($A127,2,1),Kanji_2_HanViet!$A:$C,2,FALSE)),"",VLOOKUP(MID($A127,2,1),Kanji_2_HanViet!$A:$C,2,FALSE))</f>
        <v/>
      </c>
      <c r="E127" s="15" t="str">
        <f>IF(ISNA(VLOOKUP(MID($A127,3,1),Kanji_2_HanViet!$A:$C,2,FALSE)),"",VLOOKUP(MID($A127,3,1),Kanji_2_HanViet!$A:$C,2,FALSE))</f>
        <v/>
      </c>
      <c r="F127" s="15" t="str">
        <f>IF(ISNA(VLOOKUP(MID($A127,4,1),Kanji_2_HanViet!$A:$C,2,FALSE)),"",VLOOKUP(MID($A127,4,1),Kanji_2_HanViet!$A:$C,2,FALSE))</f>
        <v/>
      </c>
      <c r="G127" s="15" t="str">
        <f>IF(ISNA(VLOOKUP(MID($A127,5,1),Kanji_2_HanViet!$A:$C,2,FALSE)),"",VLOOKUP(MID($A127,5,1),Kanji_2_HanViet!$A:$C,2,FALSE))</f>
        <v/>
      </c>
      <c r="H127" s="15" t="str">
        <f>IF(ISNA(VLOOKUP(MID($A127,6,1),Kanji_2_HanViet!$A:$C,2,FALSE)),"",VLOOKUP(MID($A127,6,1),Kanji_2_HanViet!$A:$C,2,FALSE))</f>
        <v/>
      </c>
      <c r="I127" s="15" t="str">
        <f>IF(ISNA(VLOOKUP(MID($A127,7,1),Kanji_2_HanViet!$A:$C,2,FALSE)),"",VLOOKUP(MID($A127,7,1),Kanji_2_HanViet!$A:$C,2,FALSE))</f>
        <v/>
      </c>
      <c r="J127" s="15" t="str">
        <f>IF(ISNA(VLOOKUP(MID($A127,8,1),Kanji_2_HanViet!$A:$C,2,FALSE)),"",VLOOKUP(MID($A127,8,1),Kanji_2_HanViet!$A:$C,2,FALSE))</f>
        <v/>
      </c>
      <c r="K127" s="15" t="str">
        <f>IF(ISNA(VLOOKUP(MID($A127,9,1),Kanji_2_HanViet!$A:$C,2,FALSE)),"",VLOOKUP(MID($A127,9,1),Kanji_2_HanViet!$A:$C,2,FALSE))</f>
        <v/>
      </c>
    </row>
    <row r="128" spans="1:11">
      <c r="A128" s="13">
        <f>Master!B134</f>
        <v>0</v>
      </c>
      <c r="B128" s="16" t="str">
        <f t="shared" si="1"/>
        <v/>
      </c>
      <c r="C128" s="15" t="str">
        <f>IF(ISNA(VLOOKUP(MID($A128,1,1),Kanji_2_HanViet!$A:$C,2,FALSE)),"",VLOOKUP(MID($A128,1,1),Kanji_2_HanViet!$A:$C,2,FALSE))</f>
        <v/>
      </c>
      <c r="D128" s="15" t="str">
        <f>IF(ISNA(VLOOKUP(MID($A128,2,1),Kanji_2_HanViet!$A:$C,2,FALSE)),"",VLOOKUP(MID($A128,2,1),Kanji_2_HanViet!$A:$C,2,FALSE))</f>
        <v/>
      </c>
      <c r="E128" s="15" t="str">
        <f>IF(ISNA(VLOOKUP(MID($A128,3,1),Kanji_2_HanViet!$A:$C,2,FALSE)),"",VLOOKUP(MID($A128,3,1),Kanji_2_HanViet!$A:$C,2,FALSE))</f>
        <v/>
      </c>
      <c r="F128" s="15" t="str">
        <f>IF(ISNA(VLOOKUP(MID($A128,4,1),Kanji_2_HanViet!$A:$C,2,FALSE)),"",VLOOKUP(MID($A128,4,1),Kanji_2_HanViet!$A:$C,2,FALSE))</f>
        <v/>
      </c>
      <c r="G128" s="15" t="str">
        <f>IF(ISNA(VLOOKUP(MID($A128,5,1),Kanji_2_HanViet!$A:$C,2,FALSE)),"",VLOOKUP(MID($A128,5,1),Kanji_2_HanViet!$A:$C,2,FALSE))</f>
        <v/>
      </c>
      <c r="H128" s="15" t="str">
        <f>IF(ISNA(VLOOKUP(MID($A128,6,1),Kanji_2_HanViet!$A:$C,2,FALSE)),"",VLOOKUP(MID($A128,6,1),Kanji_2_HanViet!$A:$C,2,FALSE))</f>
        <v/>
      </c>
      <c r="I128" s="15" t="str">
        <f>IF(ISNA(VLOOKUP(MID($A128,7,1),Kanji_2_HanViet!$A:$C,2,FALSE)),"",VLOOKUP(MID($A128,7,1),Kanji_2_HanViet!$A:$C,2,FALSE))</f>
        <v/>
      </c>
      <c r="J128" s="15" t="str">
        <f>IF(ISNA(VLOOKUP(MID($A128,8,1),Kanji_2_HanViet!$A:$C,2,FALSE)),"",VLOOKUP(MID($A128,8,1),Kanji_2_HanViet!$A:$C,2,FALSE))</f>
        <v/>
      </c>
      <c r="K128" s="15" t="str">
        <f>IF(ISNA(VLOOKUP(MID($A128,9,1),Kanji_2_HanViet!$A:$C,2,FALSE)),"",VLOOKUP(MID($A128,9,1),Kanji_2_HanViet!$A:$C,2,FALSE))</f>
        <v/>
      </c>
    </row>
    <row r="129" spans="1:11">
      <c r="A129" s="13">
        <f>Master!B135</f>
        <v>0</v>
      </c>
      <c r="B129" s="16" t="str">
        <f t="shared" si="1"/>
        <v/>
      </c>
      <c r="C129" s="15" t="str">
        <f>IF(ISNA(VLOOKUP(MID($A129,1,1),Kanji_2_HanViet!$A:$C,2,FALSE)),"",VLOOKUP(MID($A129,1,1),Kanji_2_HanViet!$A:$C,2,FALSE))</f>
        <v/>
      </c>
      <c r="D129" s="15" t="str">
        <f>IF(ISNA(VLOOKUP(MID($A129,2,1),Kanji_2_HanViet!$A:$C,2,FALSE)),"",VLOOKUP(MID($A129,2,1),Kanji_2_HanViet!$A:$C,2,FALSE))</f>
        <v/>
      </c>
      <c r="E129" s="15" t="str">
        <f>IF(ISNA(VLOOKUP(MID($A129,3,1),Kanji_2_HanViet!$A:$C,2,FALSE)),"",VLOOKUP(MID($A129,3,1),Kanji_2_HanViet!$A:$C,2,FALSE))</f>
        <v/>
      </c>
      <c r="F129" s="15" t="str">
        <f>IF(ISNA(VLOOKUP(MID($A129,4,1),Kanji_2_HanViet!$A:$C,2,FALSE)),"",VLOOKUP(MID($A129,4,1),Kanji_2_HanViet!$A:$C,2,FALSE))</f>
        <v/>
      </c>
      <c r="G129" s="15" t="str">
        <f>IF(ISNA(VLOOKUP(MID($A129,5,1),Kanji_2_HanViet!$A:$C,2,FALSE)),"",VLOOKUP(MID($A129,5,1),Kanji_2_HanViet!$A:$C,2,FALSE))</f>
        <v/>
      </c>
      <c r="H129" s="15" t="str">
        <f>IF(ISNA(VLOOKUP(MID($A129,6,1),Kanji_2_HanViet!$A:$C,2,FALSE)),"",VLOOKUP(MID($A129,6,1),Kanji_2_HanViet!$A:$C,2,FALSE))</f>
        <v/>
      </c>
      <c r="I129" s="15" t="str">
        <f>IF(ISNA(VLOOKUP(MID($A129,7,1),Kanji_2_HanViet!$A:$C,2,FALSE)),"",VLOOKUP(MID($A129,7,1),Kanji_2_HanViet!$A:$C,2,FALSE))</f>
        <v/>
      </c>
      <c r="J129" s="15" t="str">
        <f>IF(ISNA(VLOOKUP(MID($A129,8,1),Kanji_2_HanViet!$A:$C,2,FALSE)),"",VLOOKUP(MID($A129,8,1),Kanji_2_HanViet!$A:$C,2,FALSE))</f>
        <v/>
      </c>
      <c r="K129" s="15" t="str">
        <f>IF(ISNA(VLOOKUP(MID($A129,9,1),Kanji_2_HanViet!$A:$C,2,FALSE)),"",VLOOKUP(MID($A129,9,1),Kanji_2_HanViet!$A:$C,2,FALSE))</f>
        <v/>
      </c>
    </row>
    <row r="130" spans="1:11">
      <c r="A130" s="13">
        <f>Master!B136</f>
        <v>0</v>
      </c>
      <c r="B130" s="16" t="str">
        <f t="shared" si="1"/>
        <v/>
      </c>
      <c r="C130" s="15" t="str">
        <f>IF(ISNA(VLOOKUP(MID($A130,1,1),Kanji_2_HanViet!$A:$C,2,FALSE)),"",VLOOKUP(MID($A130,1,1),Kanji_2_HanViet!$A:$C,2,FALSE))</f>
        <v/>
      </c>
      <c r="D130" s="15" t="str">
        <f>IF(ISNA(VLOOKUP(MID($A130,2,1),Kanji_2_HanViet!$A:$C,2,FALSE)),"",VLOOKUP(MID($A130,2,1),Kanji_2_HanViet!$A:$C,2,FALSE))</f>
        <v/>
      </c>
      <c r="E130" s="15" t="str">
        <f>IF(ISNA(VLOOKUP(MID($A130,3,1),Kanji_2_HanViet!$A:$C,2,FALSE)),"",VLOOKUP(MID($A130,3,1),Kanji_2_HanViet!$A:$C,2,FALSE))</f>
        <v/>
      </c>
      <c r="F130" s="15" t="str">
        <f>IF(ISNA(VLOOKUP(MID($A130,4,1),Kanji_2_HanViet!$A:$C,2,FALSE)),"",VLOOKUP(MID($A130,4,1),Kanji_2_HanViet!$A:$C,2,FALSE))</f>
        <v/>
      </c>
      <c r="G130" s="15" t="str">
        <f>IF(ISNA(VLOOKUP(MID($A130,5,1),Kanji_2_HanViet!$A:$C,2,FALSE)),"",VLOOKUP(MID($A130,5,1),Kanji_2_HanViet!$A:$C,2,FALSE))</f>
        <v/>
      </c>
      <c r="H130" s="15" t="str">
        <f>IF(ISNA(VLOOKUP(MID($A130,6,1),Kanji_2_HanViet!$A:$C,2,FALSE)),"",VLOOKUP(MID($A130,6,1),Kanji_2_HanViet!$A:$C,2,FALSE))</f>
        <v/>
      </c>
      <c r="I130" s="15" t="str">
        <f>IF(ISNA(VLOOKUP(MID($A130,7,1),Kanji_2_HanViet!$A:$C,2,FALSE)),"",VLOOKUP(MID($A130,7,1),Kanji_2_HanViet!$A:$C,2,FALSE))</f>
        <v/>
      </c>
      <c r="J130" s="15" t="str">
        <f>IF(ISNA(VLOOKUP(MID($A130,8,1),Kanji_2_HanViet!$A:$C,2,FALSE)),"",VLOOKUP(MID($A130,8,1),Kanji_2_HanViet!$A:$C,2,FALSE))</f>
        <v/>
      </c>
      <c r="K130" s="15" t="str">
        <f>IF(ISNA(VLOOKUP(MID($A130,9,1),Kanji_2_HanViet!$A:$C,2,FALSE)),"",VLOOKUP(MID($A130,9,1),Kanji_2_HanViet!$A:$C,2,FALSE))</f>
        <v/>
      </c>
    </row>
    <row r="131" spans="1:11">
      <c r="A131" s="13">
        <f>Master!B137</f>
        <v>0</v>
      </c>
      <c r="B131" s="16" t="str">
        <f t="shared" ref="B131:B194" si="2">TRIM(CONCATENATE($C131," ",$D131," ",$E131," ",$F131," ",$G131," ",$H131," ",$I131," ",$J131," ",$K131))</f>
        <v/>
      </c>
      <c r="C131" s="15" t="str">
        <f>IF(ISNA(VLOOKUP(MID($A131,1,1),Kanji_2_HanViet!$A:$C,2,FALSE)),"",VLOOKUP(MID($A131,1,1),Kanji_2_HanViet!$A:$C,2,FALSE))</f>
        <v/>
      </c>
      <c r="D131" s="15" t="str">
        <f>IF(ISNA(VLOOKUP(MID($A131,2,1),Kanji_2_HanViet!$A:$C,2,FALSE)),"",VLOOKUP(MID($A131,2,1),Kanji_2_HanViet!$A:$C,2,FALSE))</f>
        <v/>
      </c>
      <c r="E131" s="15" t="str">
        <f>IF(ISNA(VLOOKUP(MID($A131,3,1),Kanji_2_HanViet!$A:$C,2,FALSE)),"",VLOOKUP(MID($A131,3,1),Kanji_2_HanViet!$A:$C,2,FALSE))</f>
        <v/>
      </c>
      <c r="F131" s="15" t="str">
        <f>IF(ISNA(VLOOKUP(MID($A131,4,1),Kanji_2_HanViet!$A:$C,2,FALSE)),"",VLOOKUP(MID($A131,4,1),Kanji_2_HanViet!$A:$C,2,FALSE))</f>
        <v/>
      </c>
      <c r="G131" s="15" t="str">
        <f>IF(ISNA(VLOOKUP(MID($A131,5,1),Kanji_2_HanViet!$A:$C,2,FALSE)),"",VLOOKUP(MID($A131,5,1),Kanji_2_HanViet!$A:$C,2,FALSE))</f>
        <v/>
      </c>
      <c r="H131" s="15" t="str">
        <f>IF(ISNA(VLOOKUP(MID($A131,6,1),Kanji_2_HanViet!$A:$C,2,FALSE)),"",VLOOKUP(MID($A131,6,1),Kanji_2_HanViet!$A:$C,2,FALSE))</f>
        <v/>
      </c>
      <c r="I131" s="15" t="str">
        <f>IF(ISNA(VLOOKUP(MID($A131,7,1),Kanji_2_HanViet!$A:$C,2,FALSE)),"",VLOOKUP(MID($A131,7,1),Kanji_2_HanViet!$A:$C,2,FALSE))</f>
        <v/>
      </c>
      <c r="J131" s="15" t="str">
        <f>IF(ISNA(VLOOKUP(MID($A131,8,1),Kanji_2_HanViet!$A:$C,2,FALSE)),"",VLOOKUP(MID($A131,8,1),Kanji_2_HanViet!$A:$C,2,FALSE))</f>
        <v/>
      </c>
      <c r="K131" s="15" t="str">
        <f>IF(ISNA(VLOOKUP(MID($A131,9,1),Kanji_2_HanViet!$A:$C,2,FALSE)),"",VLOOKUP(MID($A131,9,1),Kanji_2_HanViet!$A:$C,2,FALSE))</f>
        <v/>
      </c>
    </row>
    <row r="132" spans="1:11">
      <c r="A132" s="13">
        <f>Master!B138</f>
        <v>0</v>
      </c>
      <c r="B132" s="16" t="str">
        <f t="shared" si="2"/>
        <v/>
      </c>
      <c r="C132" s="15" t="str">
        <f>IF(ISNA(VLOOKUP(MID($A132,1,1),Kanji_2_HanViet!$A:$C,2,FALSE)),"",VLOOKUP(MID($A132,1,1),Kanji_2_HanViet!$A:$C,2,FALSE))</f>
        <v/>
      </c>
      <c r="D132" s="15" t="str">
        <f>IF(ISNA(VLOOKUP(MID($A132,2,1),Kanji_2_HanViet!$A:$C,2,FALSE)),"",VLOOKUP(MID($A132,2,1),Kanji_2_HanViet!$A:$C,2,FALSE))</f>
        <v/>
      </c>
      <c r="E132" s="15" t="str">
        <f>IF(ISNA(VLOOKUP(MID($A132,3,1),Kanji_2_HanViet!$A:$C,2,FALSE)),"",VLOOKUP(MID($A132,3,1),Kanji_2_HanViet!$A:$C,2,FALSE))</f>
        <v/>
      </c>
      <c r="F132" s="15" t="str">
        <f>IF(ISNA(VLOOKUP(MID($A132,4,1),Kanji_2_HanViet!$A:$C,2,FALSE)),"",VLOOKUP(MID($A132,4,1),Kanji_2_HanViet!$A:$C,2,FALSE))</f>
        <v/>
      </c>
      <c r="G132" s="15" t="str">
        <f>IF(ISNA(VLOOKUP(MID($A132,5,1),Kanji_2_HanViet!$A:$C,2,FALSE)),"",VLOOKUP(MID($A132,5,1),Kanji_2_HanViet!$A:$C,2,FALSE))</f>
        <v/>
      </c>
      <c r="H132" s="15" t="str">
        <f>IF(ISNA(VLOOKUP(MID($A132,6,1),Kanji_2_HanViet!$A:$C,2,FALSE)),"",VLOOKUP(MID($A132,6,1),Kanji_2_HanViet!$A:$C,2,FALSE))</f>
        <v/>
      </c>
      <c r="I132" s="15" t="str">
        <f>IF(ISNA(VLOOKUP(MID($A132,7,1),Kanji_2_HanViet!$A:$C,2,FALSE)),"",VLOOKUP(MID($A132,7,1),Kanji_2_HanViet!$A:$C,2,FALSE))</f>
        <v/>
      </c>
      <c r="J132" s="15" t="str">
        <f>IF(ISNA(VLOOKUP(MID($A132,8,1),Kanji_2_HanViet!$A:$C,2,FALSE)),"",VLOOKUP(MID($A132,8,1),Kanji_2_HanViet!$A:$C,2,FALSE))</f>
        <v/>
      </c>
      <c r="K132" s="15" t="str">
        <f>IF(ISNA(VLOOKUP(MID($A132,9,1),Kanji_2_HanViet!$A:$C,2,FALSE)),"",VLOOKUP(MID($A132,9,1),Kanji_2_HanViet!$A:$C,2,FALSE))</f>
        <v/>
      </c>
    </row>
    <row r="133" spans="1:11">
      <c r="A133" s="13">
        <f>Master!B139</f>
        <v>0</v>
      </c>
      <c r="B133" s="16" t="str">
        <f t="shared" si="2"/>
        <v/>
      </c>
      <c r="C133" s="15" t="str">
        <f>IF(ISNA(VLOOKUP(MID($A133,1,1),Kanji_2_HanViet!$A:$C,2,FALSE)),"",VLOOKUP(MID($A133,1,1),Kanji_2_HanViet!$A:$C,2,FALSE))</f>
        <v/>
      </c>
      <c r="D133" s="15" t="str">
        <f>IF(ISNA(VLOOKUP(MID($A133,2,1),Kanji_2_HanViet!$A:$C,2,FALSE)),"",VLOOKUP(MID($A133,2,1),Kanji_2_HanViet!$A:$C,2,FALSE))</f>
        <v/>
      </c>
      <c r="E133" s="15" t="str">
        <f>IF(ISNA(VLOOKUP(MID($A133,3,1),Kanji_2_HanViet!$A:$C,2,FALSE)),"",VLOOKUP(MID($A133,3,1),Kanji_2_HanViet!$A:$C,2,FALSE))</f>
        <v/>
      </c>
      <c r="F133" s="15" t="str">
        <f>IF(ISNA(VLOOKUP(MID($A133,4,1),Kanji_2_HanViet!$A:$C,2,FALSE)),"",VLOOKUP(MID($A133,4,1),Kanji_2_HanViet!$A:$C,2,FALSE))</f>
        <v/>
      </c>
      <c r="G133" s="15" t="str">
        <f>IF(ISNA(VLOOKUP(MID($A133,5,1),Kanji_2_HanViet!$A:$C,2,FALSE)),"",VLOOKUP(MID($A133,5,1),Kanji_2_HanViet!$A:$C,2,FALSE))</f>
        <v/>
      </c>
      <c r="H133" s="15" t="str">
        <f>IF(ISNA(VLOOKUP(MID($A133,6,1),Kanji_2_HanViet!$A:$C,2,FALSE)),"",VLOOKUP(MID($A133,6,1),Kanji_2_HanViet!$A:$C,2,FALSE))</f>
        <v/>
      </c>
      <c r="I133" s="15" t="str">
        <f>IF(ISNA(VLOOKUP(MID($A133,7,1),Kanji_2_HanViet!$A:$C,2,FALSE)),"",VLOOKUP(MID($A133,7,1),Kanji_2_HanViet!$A:$C,2,FALSE))</f>
        <v/>
      </c>
      <c r="J133" s="15" t="str">
        <f>IF(ISNA(VLOOKUP(MID($A133,8,1),Kanji_2_HanViet!$A:$C,2,FALSE)),"",VLOOKUP(MID($A133,8,1),Kanji_2_HanViet!$A:$C,2,FALSE))</f>
        <v/>
      </c>
      <c r="K133" s="15" t="str">
        <f>IF(ISNA(VLOOKUP(MID($A133,9,1),Kanji_2_HanViet!$A:$C,2,FALSE)),"",VLOOKUP(MID($A133,9,1),Kanji_2_HanViet!$A:$C,2,FALSE))</f>
        <v/>
      </c>
    </row>
    <row r="134" spans="1:11">
      <c r="A134" s="13">
        <f>Master!B140</f>
        <v>0</v>
      </c>
      <c r="B134" s="16" t="str">
        <f t="shared" si="2"/>
        <v/>
      </c>
      <c r="C134" s="15" t="str">
        <f>IF(ISNA(VLOOKUP(MID($A134,1,1),Kanji_2_HanViet!$A:$C,2,FALSE)),"",VLOOKUP(MID($A134,1,1),Kanji_2_HanViet!$A:$C,2,FALSE))</f>
        <v/>
      </c>
      <c r="D134" s="15" t="str">
        <f>IF(ISNA(VLOOKUP(MID($A134,2,1),Kanji_2_HanViet!$A:$C,2,FALSE)),"",VLOOKUP(MID($A134,2,1),Kanji_2_HanViet!$A:$C,2,FALSE))</f>
        <v/>
      </c>
      <c r="E134" s="15" t="str">
        <f>IF(ISNA(VLOOKUP(MID($A134,3,1),Kanji_2_HanViet!$A:$C,2,FALSE)),"",VLOOKUP(MID($A134,3,1),Kanji_2_HanViet!$A:$C,2,FALSE))</f>
        <v/>
      </c>
      <c r="F134" s="15" t="str">
        <f>IF(ISNA(VLOOKUP(MID($A134,4,1),Kanji_2_HanViet!$A:$C,2,FALSE)),"",VLOOKUP(MID($A134,4,1),Kanji_2_HanViet!$A:$C,2,FALSE))</f>
        <v/>
      </c>
      <c r="G134" s="15" t="str">
        <f>IF(ISNA(VLOOKUP(MID($A134,5,1),Kanji_2_HanViet!$A:$C,2,FALSE)),"",VLOOKUP(MID($A134,5,1),Kanji_2_HanViet!$A:$C,2,FALSE))</f>
        <v/>
      </c>
      <c r="H134" s="15" t="str">
        <f>IF(ISNA(VLOOKUP(MID($A134,6,1),Kanji_2_HanViet!$A:$C,2,FALSE)),"",VLOOKUP(MID($A134,6,1),Kanji_2_HanViet!$A:$C,2,FALSE))</f>
        <v/>
      </c>
      <c r="I134" s="15" t="str">
        <f>IF(ISNA(VLOOKUP(MID($A134,7,1),Kanji_2_HanViet!$A:$C,2,FALSE)),"",VLOOKUP(MID($A134,7,1),Kanji_2_HanViet!$A:$C,2,FALSE))</f>
        <v/>
      </c>
      <c r="J134" s="15" t="str">
        <f>IF(ISNA(VLOOKUP(MID($A134,8,1),Kanji_2_HanViet!$A:$C,2,FALSE)),"",VLOOKUP(MID($A134,8,1),Kanji_2_HanViet!$A:$C,2,FALSE))</f>
        <v/>
      </c>
      <c r="K134" s="15" t="str">
        <f>IF(ISNA(VLOOKUP(MID($A134,9,1),Kanji_2_HanViet!$A:$C,2,FALSE)),"",VLOOKUP(MID($A134,9,1),Kanji_2_HanViet!$A:$C,2,FALSE))</f>
        <v/>
      </c>
    </row>
    <row r="135" spans="1:11">
      <c r="A135" s="13">
        <f>Master!B141</f>
        <v>0</v>
      </c>
      <c r="B135" s="16" t="str">
        <f t="shared" si="2"/>
        <v/>
      </c>
      <c r="C135" s="15" t="str">
        <f>IF(ISNA(VLOOKUP(MID($A135,1,1),Kanji_2_HanViet!$A:$C,2,FALSE)),"",VLOOKUP(MID($A135,1,1),Kanji_2_HanViet!$A:$C,2,FALSE))</f>
        <v/>
      </c>
      <c r="D135" s="15" t="str">
        <f>IF(ISNA(VLOOKUP(MID($A135,2,1),Kanji_2_HanViet!$A:$C,2,FALSE)),"",VLOOKUP(MID($A135,2,1),Kanji_2_HanViet!$A:$C,2,FALSE))</f>
        <v/>
      </c>
      <c r="E135" s="15" t="str">
        <f>IF(ISNA(VLOOKUP(MID($A135,3,1),Kanji_2_HanViet!$A:$C,2,FALSE)),"",VLOOKUP(MID($A135,3,1),Kanji_2_HanViet!$A:$C,2,FALSE))</f>
        <v/>
      </c>
      <c r="F135" s="15" t="str">
        <f>IF(ISNA(VLOOKUP(MID($A135,4,1),Kanji_2_HanViet!$A:$C,2,FALSE)),"",VLOOKUP(MID($A135,4,1),Kanji_2_HanViet!$A:$C,2,FALSE))</f>
        <v/>
      </c>
      <c r="G135" s="15" t="str">
        <f>IF(ISNA(VLOOKUP(MID($A135,5,1),Kanji_2_HanViet!$A:$C,2,FALSE)),"",VLOOKUP(MID($A135,5,1),Kanji_2_HanViet!$A:$C,2,FALSE))</f>
        <v/>
      </c>
      <c r="H135" s="15" t="str">
        <f>IF(ISNA(VLOOKUP(MID($A135,6,1),Kanji_2_HanViet!$A:$C,2,FALSE)),"",VLOOKUP(MID($A135,6,1),Kanji_2_HanViet!$A:$C,2,FALSE))</f>
        <v/>
      </c>
      <c r="I135" s="15" t="str">
        <f>IF(ISNA(VLOOKUP(MID($A135,7,1),Kanji_2_HanViet!$A:$C,2,FALSE)),"",VLOOKUP(MID($A135,7,1),Kanji_2_HanViet!$A:$C,2,FALSE))</f>
        <v/>
      </c>
      <c r="J135" s="15" t="str">
        <f>IF(ISNA(VLOOKUP(MID($A135,8,1),Kanji_2_HanViet!$A:$C,2,FALSE)),"",VLOOKUP(MID($A135,8,1),Kanji_2_HanViet!$A:$C,2,FALSE))</f>
        <v/>
      </c>
      <c r="K135" s="15" t="str">
        <f>IF(ISNA(VLOOKUP(MID($A135,9,1),Kanji_2_HanViet!$A:$C,2,FALSE)),"",VLOOKUP(MID($A135,9,1),Kanji_2_HanViet!$A:$C,2,FALSE))</f>
        <v/>
      </c>
    </row>
    <row r="136" spans="1:11">
      <c r="A136" s="13">
        <f>Master!B142</f>
        <v>0</v>
      </c>
      <c r="B136" s="16" t="str">
        <f t="shared" si="2"/>
        <v/>
      </c>
      <c r="C136" s="15" t="str">
        <f>IF(ISNA(VLOOKUP(MID($A136,1,1),Kanji_2_HanViet!$A:$C,2,FALSE)),"",VLOOKUP(MID($A136,1,1),Kanji_2_HanViet!$A:$C,2,FALSE))</f>
        <v/>
      </c>
      <c r="D136" s="15" t="str">
        <f>IF(ISNA(VLOOKUP(MID($A136,2,1),Kanji_2_HanViet!$A:$C,2,FALSE)),"",VLOOKUP(MID($A136,2,1),Kanji_2_HanViet!$A:$C,2,FALSE))</f>
        <v/>
      </c>
      <c r="E136" s="15" t="str">
        <f>IF(ISNA(VLOOKUP(MID($A136,3,1),Kanji_2_HanViet!$A:$C,2,FALSE)),"",VLOOKUP(MID($A136,3,1),Kanji_2_HanViet!$A:$C,2,FALSE))</f>
        <v/>
      </c>
      <c r="F136" s="15" t="str">
        <f>IF(ISNA(VLOOKUP(MID($A136,4,1),Kanji_2_HanViet!$A:$C,2,FALSE)),"",VLOOKUP(MID($A136,4,1),Kanji_2_HanViet!$A:$C,2,FALSE))</f>
        <v/>
      </c>
      <c r="G136" s="15" t="str">
        <f>IF(ISNA(VLOOKUP(MID($A136,5,1),Kanji_2_HanViet!$A:$C,2,FALSE)),"",VLOOKUP(MID($A136,5,1),Kanji_2_HanViet!$A:$C,2,FALSE))</f>
        <v/>
      </c>
      <c r="H136" s="15" t="str">
        <f>IF(ISNA(VLOOKUP(MID($A136,6,1),Kanji_2_HanViet!$A:$C,2,FALSE)),"",VLOOKUP(MID($A136,6,1),Kanji_2_HanViet!$A:$C,2,FALSE))</f>
        <v/>
      </c>
      <c r="I136" s="15" t="str">
        <f>IF(ISNA(VLOOKUP(MID($A136,7,1),Kanji_2_HanViet!$A:$C,2,FALSE)),"",VLOOKUP(MID($A136,7,1),Kanji_2_HanViet!$A:$C,2,FALSE))</f>
        <v/>
      </c>
      <c r="J136" s="15" t="str">
        <f>IF(ISNA(VLOOKUP(MID($A136,8,1),Kanji_2_HanViet!$A:$C,2,FALSE)),"",VLOOKUP(MID($A136,8,1),Kanji_2_HanViet!$A:$C,2,FALSE))</f>
        <v/>
      </c>
      <c r="K136" s="15" t="str">
        <f>IF(ISNA(VLOOKUP(MID($A136,9,1),Kanji_2_HanViet!$A:$C,2,FALSE)),"",VLOOKUP(MID($A136,9,1),Kanji_2_HanViet!$A:$C,2,FALSE))</f>
        <v/>
      </c>
    </row>
    <row r="137" spans="1:11">
      <c r="A137" s="13">
        <f>Master!B143</f>
        <v>0</v>
      </c>
      <c r="B137" s="16" t="str">
        <f t="shared" si="2"/>
        <v/>
      </c>
      <c r="C137" s="15" t="str">
        <f>IF(ISNA(VLOOKUP(MID($A137,1,1),Kanji_2_HanViet!$A:$C,2,FALSE)),"",VLOOKUP(MID($A137,1,1),Kanji_2_HanViet!$A:$C,2,FALSE))</f>
        <v/>
      </c>
      <c r="D137" s="15" t="str">
        <f>IF(ISNA(VLOOKUP(MID($A137,2,1),Kanji_2_HanViet!$A:$C,2,FALSE)),"",VLOOKUP(MID($A137,2,1),Kanji_2_HanViet!$A:$C,2,FALSE))</f>
        <v/>
      </c>
      <c r="E137" s="15" t="str">
        <f>IF(ISNA(VLOOKUP(MID($A137,3,1),Kanji_2_HanViet!$A:$C,2,FALSE)),"",VLOOKUP(MID($A137,3,1),Kanji_2_HanViet!$A:$C,2,FALSE))</f>
        <v/>
      </c>
      <c r="F137" s="15" t="str">
        <f>IF(ISNA(VLOOKUP(MID($A137,4,1),Kanji_2_HanViet!$A:$C,2,FALSE)),"",VLOOKUP(MID($A137,4,1),Kanji_2_HanViet!$A:$C,2,FALSE))</f>
        <v/>
      </c>
      <c r="G137" s="15" t="str">
        <f>IF(ISNA(VLOOKUP(MID($A137,5,1),Kanji_2_HanViet!$A:$C,2,FALSE)),"",VLOOKUP(MID($A137,5,1),Kanji_2_HanViet!$A:$C,2,FALSE))</f>
        <v/>
      </c>
      <c r="H137" s="15" t="str">
        <f>IF(ISNA(VLOOKUP(MID($A137,6,1),Kanji_2_HanViet!$A:$C,2,FALSE)),"",VLOOKUP(MID($A137,6,1),Kanji_2_HanViet!$A:$C,2,FALSE))</f>
        <v/>
      </c>
      <c r="I137" s="15" t="str">
        <f>IF(ISNA(VLOOKUP(MID($A137,7,1),Kanji_2_HanViet!$A:$C,2,FALSE)),"",VLOOKUP(MID($A137,7,1),Kanji_2_HanViet!$A:$C,2,FALSE))</f>
        <v/>
      </c>
      <c r="J137" s="15" t="str">
        <f>IF(ISNA(VLOOKUP(MID($A137,8,1),Kanji_2_HanViet!$A:$C,2,FALSE)),"",VLOOKUP(MID($A137,8,1),Kanji_2_HanViet!$A:$C,2,FALSE))</f>
        <v/>
      </c>
      <c r="K137" s="15" t="str">
        <f>IF(ISNA(VLOOKUP(MID($A137,9,1),Kanji_2_HanViet!$A:$C,2,FALSE)),"",VLOOKUP(MID($A137,9,1),Kanji_2_HanViet!$A:$C,2,FALSE))</f>
        <v/>
      </c>
    </row>
    <row r="138" spans="1:11">
      <c r="A138" s="13">
        <f>Master!B144</f>
        <v>0</v>
      </c>
      <c r="B138" s="16" t="str">
        <f t="shared" si="2"/>
        <v/>
      </c>
      <c r="C138" s="15" t="str">
        <f>IF(ISNA(VLOOKUP(MID($A138,1,1),Kanji_2_HanViet!$A:$C,2,FALSE)),"",VLOOKUP(MID($A138,1,1),Kanji_2_HanViet!$A:$C,2,FALSE))</f>
        <v/>
      </c>
      <c r="D138" s="15" t="str">
        <f>IF(ISNA(VLOOKUP(MID($A138,2,1),Kanji_2_HanViet!$A:$C,2,FALSE)),"",VLOOKUP(MID($A138,2,1),Kanji_2_HanViet!$A:$C,2,FALSE))</f>
        <v/>
      </c>
      <c r="E138" s="15" t="str">
        <f>IF(ISNA(VLOOKUP(MID($A138,3,1),Kanji_2_HanViet!$A:$C,2,FALSE)),"",VLOOKUP(MID($A138,3,1),Kanji_2_HanViet!$A:$C,2,FALSE))</f>
        <v/>
      </c>
      <c r="F138" s="15" t="str">
        <f>IF(ISNA(VLOOKUP(MID($A138,4,1),Kanji_2_HanViet!$A:$C,2,FALSE)),"",VLOOKUP(MID($A138,4,1),Kanji_2_HanViet!$A:$C,2,FALSE))</f>
        <v/>
      </c>
      <c r="G138" s="15" t="str">
        <f>IF(ISNA(VLOOKUP(MID($A138,5,1),Kanji_2_HanViet!$A:$C,2,FALSE)),"",VLOOKUP(MID($A138,5,1),Kanji_2_HanViet!$A:$C,2,FALSE))</f>
        <v/>
      </c>
      <c r="H138" s="15" t="str">
        <f>IF(ISNA(VLOOKUP(MID($A138,6,1),Kanji_2_HanViet!$A:$C,2,FALSE)),"",VLOOKUP(MID($A138,6,1),Kanji_2_HanViet!$A:$C,2,FALSE))</f>
        <v/>
      </c>
      <c r="I138" s="15" t="str">
        <f>IF(ISNA(VLOOKUP(MID($A138,7,1),Kanji_2_HanViet!$A:$C,2,FALSE)),"",VLOOKUP(MID($A138,7,1),Kanji_2_HanViet!$A:$C,2,FALSE))</f>
        <v/>
      </c>
      <c r="J138" s="15" t="str">
        <f>IF(ISNA(VLOOKUP(MID($A138,8,1),Kanji_2_HanViet!$A:$C,2,FALSE)),"",VLOOKUP(MID($A138,8,1),Kanji_2_HanViet!$A:$C,2,FALSE))</f>
        <v/>
      </c>
      <c r="K138" s="15" t="str">
        <f>IF(ISNA(VLOOKUP(MID($A138,9,1),Kanji_2_HanViet!$A:$C,2,FALSE)),"",VLOOKUP(MID($A138,9,1),Kanji_2_HanViet!$A:$C,2,FALSE))</f>
        <v/>
      </c>
    </row>
    <row r="139" spans="1:11">
      <c r="A139" s="13">
        <f>Master!B145</f>
        <v>0</v>
      </c>
      <c r="B139" s="16" t="str">
        <f t="shared" si="2"/>
        <v/>
      </c>
      <c r="C139" s="15" t="str">
        <f>IF(ISNA(VLOOKUP(MID($A139,1,1),Kanji_2_HanViet!$A:$C,2,FALSE)),"",VLOOKUP(MID($A139,1,1),Kanji_2_HanViet!$A:$C,2,FALSE))</f>
        <v/>
      </c>
      <c r="D139" s="15" t="str">
        <f>IF(ISNA(VLOOKUP(MID($A139,2,1),Kanji_2_HanViet!$A:$C,2,FALSE)),"",VLOOKUP(MID($A139,2,1),Kanji_2_HanViet!$A:$C,2,FALSE))</f>
        <v/>
      </c>
      <c r="E139" s="15" t="str">
        <f>IF(ISNA(VLOOKUP(MID($A139,3,1),Kanji_2_HanViet!$A:$C,2,FALSE)),"",VLOOKUP(MID($A139,3,1),Kanji_2_HanViet!$A:$C,2,FALSE))</f>
        <v/>
      </c>
      <c r="F139" s="15" t="str">
        <f>IF(ISNA(VLOOKUP(MID($A139,4,1),Kanji_2_HanViet!$A:$C,2,FALSE)),"",VLOOKUP(MID($A139,4,1),Kanji_2_HanViet!$A:$C,2,FALSE))</f>
        <v/>
      </c>
      <c r="G139" s="15" t="str">
        <f>IF(ISNA(VLOOKUP(MID($A139,5,1),Kanji_2_HanViet!$A:$C,2,FALSE)),"",VLOOKUP(MID($A139,5,1),Kanji_2_HanViet!$A:$C,2,FALSE))</f>
        <v/>
      </c>
      <c r="H139" s="15" t="str">
        <f>IF(ISNA(VLOOKUP(MID($A139,6,1),Kanji_2_HanViet!$A:$C,2,FALSE)),"",VLOOKUP(MID($A139,6,1),Kanji_2_HanViet!$A:$C,2,FALSE))</f>
        <v/>
      </c>
      <c r="I139" s="15" t="str">
        <f>IF(ISNA(VLOOKUP(MID($A139,7,1),Kanji_2_HanViet!$A:$C,2,FALSE)),"",VLOOKUP(MID($A139,7,1),Kanji_2_HanViet!$A:$C,2,FALSE))</f>
        <v/>
      </c>
      <c r="J139" s="15" t="str">
        <f>IF(ISNA(VLOOKUP(MID($A139,8,1),Kanji_2_HanViet!$A:$C,2,FALSE)),"",VLOOKUP(MID($A139,8,1),Kanji_2_HanViet!$A:$C,2,FALSE))</f>
        <v/>
      </c>
      <c r="K139" s="15" t="str">
        <f>IF(ISNA(VLOOKUP(MID($A139,9,1),Kanji_2_HanViet!$A:$C,2,FALSE)),"",VLOOKUP(MID($A139,9,1),Kanji_2_HanViet!$A:$C,2,FALSE))</f>
        <v/>
      </c>
    </row>
    <row r="140" spans="1:11">
      <c r="A140" s="13">
        <f>Master!B146</f>
        <v>0</v>
      </c>
      <c r="B140" s="16" t="str">
        <f t="shared" si="2"/>
        <v/>
      </c>
      <c r="C140" s="15" t="str">
        <f>IF(ISNA(VLOOKUP(MID($A140,1,1),Kanji_2_HanViet!$A:$C,2,FALSE)),"",VLOOKUP(MID($A140,1,1),Kanji_2_HanViet!$A:$C,2,FALSE))</f>
        <v/>
      </c>
      <c r="D140" s="15" t="str">
        <f>IF(ISNA(VLOOKUP(MID($A140,2,1),Kanji_2_HanViet!$A:$C,2,FALSE)),"",VLOOKUP(MID($A140,2,1),Kanji_2_HanViet!$A:$C,2,FALSE))</f>
        <v/>
      </c>
      <c r="E140" s="15" t="str">
        <f>IF(ISNA(VLOOKUP(MID($A140,3,1),Kanji_2_HanViet!$A:$C,2,FALSE)),"",VLOOKUP(MID($A140,3,1),Kanji_2_HanViet!$A:$C,2,FALSE))</f>
        <v/>
      </c>
      <c r="F140" s="15" t="str">
        <f>IF(ISNA(VLOOKUP(MID($A140,4,1),Kanji_2_HanViet!$A:$C,2,FALSE)),"",VLOOKUP(MID($A140,4,1),Kanji_2_HanViet!$A:$C,2,FALSE))</f>
        <v/>
      </c>
      <c r="G140" s="15" t="str">
        <f>IF(ISNA(VLOOKUP(MID($A140,5,1),Kanji_2_HanViet!$A:$C,2,FALSE)),"",VLOOKUP(MID($A140,5,1),Kanji_2_HanViet!$A:$C,2,FALSE))</f>
        <v/>
      </c>
      <c r="H140" s="15" t="str">
        <f>IF(ISNA(VLOOKUP(MID($A140,6,1),Kanji_2_HanViet!$A:$C,2,FALSE)),"",VLOOKUP(MID($A140,6,1),Kanji_2_HanViet!$A:$C,2,FALSE))</f>
        <v/>
      </c>
      <c r="I140" s="15" t="str">
        <f>IF(ISNA(VLOOKUP(MID($A140,7,1),Kanji_2_HanViet!$A:$C,2,FALSE)),"",VLOOKUP(MID($A140,7,1),Kanji_2_HanViet!$A:$C,2,FALSE))</f>
        <v/>
      </c>
      <c r="J140" s="15" t="str">
        <f>IF(ISNA(VLOOKUP(MID($A140,8,1),Kanji_2_HanViet!$A:$C,2,FALSE)),"",VLOOKUP(MID($A140,8,1),Kanji_2_HanViet!$A:$C,2,FALSE))</f>
        <v/>
      </c>
      <c r="K140" s="15" t="str">
        <f>IF(ISNA(VLOOKUP(MID($A140,9,1),Kanji_2_HanViet!$A:$C,2,FALSE)),"",VLOOKUP(MID($A140,9,1),Kanji_2_HanViet!$A:$C,2,FALSE))</f>
        <v/>
      </c>
    </row>
    <row r="141" spans="1:11">
      <c r="A141" s="13">
        <f>Master!B147</f>
        <v>0</v>
      </c>
      <c r="B141" s="16" t="str">
        <f t="shared" si="2"/>
        <v/>
      </c>
      <c r="C141" s="15" t="str">
        <f>IF(ISNA(VLOOKUP(MID($A141,1,1),Kanji_2_HanViet!$A:$C,2,FALSE)),"",VLOOKUP(MID($A141,1,1),Kanji_2_HanViet!$A:$C,2,FALSE))</f>
        <v/>
      </c>
      <c r="D141" s="15" t="str">
        <f>IF(ISNA(VLOOKUP(MID($A141,2,1),Kanji_2_HanViet!$A:$C,2,FALSE)),"",VLOOKUP(MID($A141,2,1),Kanji_2_HanViet!$A:$C,2,FALSE))</f>
        <v/>
      </c>
      <c r="E141" s="15" t="str">
        <f>IF(ISNA(VLOOKUP(MID($A141,3,1),Kanji_2_HanViet!$A:$C,2,FALSE)),"",VLOOKUP(MID($A141,3,1),Kanji_2_HanViet!$A:$C,2,FALSE))</f>
        <v/>
      </c>
      <c r="F141" s="15" t="str">
        <f>IF(ISNA(VLOOKUP(MID($A141,4,1),Kanji_2_HanViet!$A:$C,2,FALSE)),"",VLOOKUP(MID($A141,4,1),Kanji_2_HanViet!$A:$C,2,FALSE))</f>
        <v/>
      </c>
      <c r="G141" s="15" t="str">
        <f>IF(ISNA(VLOOKUP(MID($A141,5,1),Kanji_2_HanViet!$A:$C,2,FALSE)),"",VLOOKUP(MID($A141,5,1),Kanji_2_HanViet!$A:$C,2,FALSE))</f>
        <v/>
      </c>
      <c r="H141" s="15" t="str">
        <f>IF(ISNA(VLOOKUP(MID($A141,6,1),Kanji_2_HanViet!$A:$C,2,FALSE)),"",VLOOKUP(MID($A141,6,1),Kanji_2_HanViet!$A:$C,2,FALSE))</f>
        <v/>
      </c>
      <c r="I141" s="15" t="str">
        <f>IF(ISNA(VLOOKUP(MID($A141,7,1),Kanji_2_HanViet!$A:$C,2,FALSE)),"",VLOOKUP(MID($A141,7,1),Kanji_2_HanViet!$A:$C,2,FALSE))</f>
        <v/>
      </c>
      <c r="J141" s="15" t="str">
        <f>IF(ISNA(VLOOKUP(MID($A141,8,1),Kanji_2_HanViet!$A:$C,2,FALSE)),"",VLOOKUP(MID($A141,8,1),Kanji_2_HanViet!$A:$C,2,FALSE))</f>
        <v/>
      </c>
      <c r="K141" s="15" t="str">
        <f>IF(ISNA(VLOOKUP(MID($A141,9,1),Kanji_2_HanViet!$A:$C,2,FALSE)),"",VLOOKUP(MID($A141,9,1),Kanji_2_HanViet!$A:$C,2,FALSE))</f>
        <v/>
      </c>
    </row>
    <row r="142" spans="1:11">
      <c r="A142" s="13">
        <f>Master!B148</f>
        <v>0</v>
      </c>
      <c r="B142" s="16" t="str">
        <f t="shared" si="2"/>
        <v/>
      </c>
      <c r="C142" s="15" t="str">
        <f>IF(ISNA(VLOOKUP(MID($A142,1,1),Kanji_2_HanViet!$A:$C,2,FALSE)),"",VLOOKUP(MID($A142,1,1),Kanji_2_HanViet!$A:$C,2,FALSE))</f>
        <v/>
      </c>
      <c r="D142" s="15" t="str">
        <f>IF(ISNA(VLOOKUP(MID($A142,2,1),Kanji_2_HanViet!$A:$C,2,FALSE)),"",VLOOKUP(MID($A142,2,1),Kanji_2_HanViet!$A:$C,2,FALSE))</f>
        <v/>
      </c>
      <c r="E142" s="15" t="str">
        <f>IF(ISNA(VLOOKUP(MID($A142,3,1),Kanji_2_HanViet!$A:$C,2,FALSE)),"",VLOOKUP(MID($A142,3,1),Kanji_2_HanViet!$A:$C,2,FALSE))</f>
        <v/>
      </c>
      <c r="F142" s="15" t="str">
        <f>IF(ISNA(VLOOKUP(MID($A142,4,1),Kanji_2_HanViet!$A:$C,2,FALSE)),"",VLOOKUP(MID($A142,4,1),Kanji_2_HanViet!$A:$C,2,FALSE))</f>
        <v/>
      </c>
      <c r="G142" s="15" t="str">
        <f>IF(ISNA(VLOOKUP(MID($A142,5,1),Kanji_2_HanViet!$A:$C,2,FALSE)),"",VLOOKUP(MID($A142,5,1),Kanji_2_HanViet!$A:$C,2,FALSE))</f>
        <v/>
      </c>
      <c r="H142" s="15" t="str">
        <f>IF(ISNA(VLOOKUP(MID($A142,6,1),Kanji_2_HanViet!$A:$C,2,FALSE)),"",VLOOKUP(MID($A142,6,1),Kanji_2_HanViet!$A:$C,2,FALSE))</f>
        <v/>
      </c>
      <c r="I142" s="15" t="str">
        <f>IF(ISNA(VLOOKUP(MID($A142,7,1),Kanji_2_HanViet!$A:$C,2,FALSE)),"",VLOOKUP(MID($A142,7,1),Kanji_2_HanViet!$A:$C,2,FALSE))</f>
        <v/>
      </c>
      <c r="J142" s="15" t="str">
        <f>IF(ISNA(VLOOKUP(MID($A142,8,1),Kanji_2_HanViet!$A:$C,2,FALSE)),"",VLOOKUP(MID($A142,8,1),Kanji_2_HanViet!$A:$C,2,FALSE))</f>
        <v/>
      </c>
      <c r="K142" s="15" t="str">
        <f>IF(ISNA(VLOOKUP(MID($A142,9,1),Kanji_2_HanViet!$A:$C,2,FALSE)),"",VLOOKUP(MID($A142,9,1),Kanji_2_HanViet!$A:$C,2,FALSE))</f>
        <v/>
      </c>
    </row>
    <row r="143" spans="1:11">
      <c r="A143" s="13">
        <f>Master!B149</f>
        <v>0</v>
      </c>
      <c r="B143" s="16" t="str">
        <f t="shared" si="2"/>
        <v/>
      </c>
      <c r="C143" s="15" t="str">
        <f>IF(ISNA(VLOOKUP(MID($A143,1,1),Kanji_2_HanViet!$A:$C,2,FALSE)),"",VLOOKUP(MID($A143,1,1),Kanji_2_HanViet!$A:$C,2,FALSE))</f>
        <v/>
      </c>
      <c r="D143" s="15" t="str">
        <f>IF(ISNA(VLOOKUP(MID($A143,2,1),Kanji_2_HanViet!$A:$C,2,FALSE)),"",VLOOKUP(MID($A143,2,1),Kanji_2_HanViet!$A:$C,2,FALSE))</f>
        <v/>
      </c>
      <c r="E143" s="15" t="str">
        <f>IF(ISNA(VLOOKUP(MID($A143,3,1),Kanji_2_HanViet!$A:$C,2,FALSE)),"",VLOOKUP(MID($A143,3,1),Kanji_2_HanViet!$A:$C,2,FALSE))</f>
        <v/>
      </c>
      <c r="F143" s="15" t="str">
        <f>IF(ISNA(VLOOKUP(MID($A143,4,1),Kanji_2_HanViet!$A:$C,2,FALSE)),"",VLOOKUP(MID($A143,4,1),Kanji_2_HanViet!$A:$C,2,FALSE))</f>
        <v/>
      </c>
      <c r="G143" s="15" t="str">
        <f>IF(ISNA(VLOOKUP(MID($A143,5,1),Kanji_2_HanViet!$A:$C,2,FALSE)),"",VLOOKUP(MID($A143,5,1),Kanji_2_HanViet!$A:$C,2,FALSE))</f>
        <v/>
      </c>
      <c r="H143" s="15" t="str">
        <f>IF(ISNA(VLOOKUP(MID($A143,6,1),Kanji_2_HanViet!$A:$C,2,FALSE)),"",VLOOKUP(MID($A143,6,1),Kanji_2_HanViet!$A:$C,2,FALSE))</f>
        <v/>
      </c>
      <c r="I143" s="15" t="str">
        <f>IF(ISNA(VLOOKUP(MID($A143,7,1),Kanji_2_HanViet!$A:$C,2,FALSE)),"",VLOOKUP(MID($A143,7,1),Kanji_2_HanViet!$A:$C,2,FALSE))</f>
        <v/>
      </c>
      <c r="J143" s="15" t="str">
        <f>IF(ISNA(VLOOKUP(MID($A143,8,1),Kanji_2_HanViet!$A:$C,2,FALSE)),"",VLOOKUP(MID($A143,8,1),Kanji_2_HanViet!$A:$C,2,FALSE))</f>
        <v/>
      </c>
      <c r="K143" s="15" t="str">
        <f>IF(ISNA(VLOOKUP(MID($A143,9,1),Kanji_2_HanViet!$A:$C,2,FALSE)),"",VLOOKUP(MID($A143,9,1),Kanji_2_HanViet!$A:$C,2,FALSE))</f>
        <v/>
      </c>
    </row>
    <row r="144" spans="1:11">
      <c r="A144" s="13">
        <f>Master!B150</f>
        <v>0</v>
      </c>
      <c r="B144" s="16" t="str">
        <f t="shared" si="2"/>
        <v/>
      </c>
      <c r="C144" s="15" t="str">
        <f>IF(ISNA(VLOOKUP(MID($A144,1,1),Kanji_2_HanViet!$A:$C,2,FALSE)),"",VLOOKUP(MID($A144,1,1),Kanji_2_HanViet!$A:$C,2,FALSE))</f>
        <v/>
      </c>
      <c r="D144" s="15" t="str">
        <f>IF(ISNA(VLOOKUP(MID($A144,2,1),Kanji_2_HanViet!$A:$C,2,FALSE)),"",VLOOKUP(MID($A144,2,1),Kanji_2_HanViet!$A:$C,2,FALSE))</f>
        <v/>
      </c>
      <c r="E144" s="15" t="str">
        <f>IF(ISNA(VLOOKUP(MID($A144,3,1),Kanji_2_HanViet!$A:$C,2,FALSE)),"",VLOOKUP(MID($A144,3,1),Kanji_2_HanViet!$A:$C,2,FALSE))</f>
        <v/>
      </c>
      <c r="F144" s="15" t="str">
        <f>IF(ISNA(VLOOKUP(MID($A144,4,1),Kanji_2_HanViet!$A:$C,2,FALSE)),"",VLOOKUP(MID($A144,4,1),Kanji_2_HanViet!$A:$C,2,FALSE))</f>
        <v/>
      </c>
      <c r="G144" s="15" t="str">
        <f>IF(ISNA(VLOOKUP(MID($A144,5,1),Kanji_2_HanViet!$A:$C,2,FALSE)),"",VLOOKUP(MID($A144,5,1),Kanji_2_HanViet!$A:$C,2,FALSE))</f>
        <v/>
      </c>
      <c r="H144" s="15" t="str">
        <f>IF(ISNA(VLOOKUP(MID($A144,6,1),Kanji_2_HanViet!$A:$C,2,FALSE)),"",VLOOKUP(MID($A144,6,1),Kanji_2_HanViet!$A:$C,2,FALSE))</f>
        <v/>
      </c>
      <c r="I144" s="15" t="str">
        <f>IF(ISNA(VLOOKUP(MID($A144,7,1),Kanji_2_HanViet!$A:$C,2,FALSE)),"",VLOOKUP(MID($A144,7,1),Kanji_2_HanViet!$A:$C,2,FALSE))</f>
        <v/>
      </c>
      <c r="J144" s="15" t="str">
        <f>IF(ISNA(VLOOKUP(MID($A144,8,1),Kanji_2_HanViet!$A:$C,2,FALSE)),"",VLOOKUP(MID($A144,8,1),Kanji_2_HanViet!$A:$C,2,FALSE))</f>
        <v/>
      </c>
      <c r="K144" s="15" t="str">
        <f>IF(ISNA(VLOOKUP(MID($A144,9,1),Kanji_2_HanViet!$A:$C,2,FALSE)),"",VLOOKUP(MID($A144,9,1),Kanji_2_HanViet!$A:$C,2,FALSE))</f>
        <v/>
      </c>
    </row>
    <row r="145" spans="1:11">
      <c r="A145" s="13">
        <f>Master!B151</f>
        <v>0</v>
      </c>
      <c r="B145" s="16" t="str">
        <f t="shared" si="2"/>
        <v/>
      </c>
      <c r="C145" s="15" t="str">
        <f>IF(ISNA(VLOOKUP(MID($A145,1,1),Kanji_2_HanViet!$A:$C,2,FALSE)),"",VLOOKUP(MID($A145,1,1),Kanji_2_HanViet!$A:$C,2,FALSE))</f>
        <v/>
      </c>
      <c r="D145" s="15" t="str">
        <f>IF(ISNA(VLOOKUP(MID($A145,2,1),Kanji_2_HanViet!$A:$C,2,FALSE)),"",VLOOKUP(MID($A145,2,1),Kanji_2_HanViet!$A:$C,2,FALSE))</f>
        <v/>
      </c>
      <c r="E145" s="15" t="str">
        <f>IF(ISNA(VLOOKUP(MID($A145,3,1),Kanji_2_HanViet!$A:$C,2,FALSE)),"",VLOOKUP(MID($A145,3,1),Kanji_2_HanViet!$A:$C,2,FALSE))</f>
        <v/>
      </c>
      <c r="F145" s="15" t="str">
        <f>IF(ISNA(VLOOKUP(MID($A145,4,1),Kanji_2_HanViet!$A:$C,2,FALSE)),"",VLOOKUP(MID($A145,4,1),Kanji_2_HanViet!$A:$C,2,FALSE))</f>
        <v/>
      </c>
      <c r="G145" s="15" t="str">
        <f>IF(ISNA(VLOOKUP(MID($A145,5,1),Kanji_2_HanViet!$A:$C,2,FALSE)),"",VLOOKUP(MID($A145,5,1),Kanji_2_HanViet!$A:$C,2,FALSE))</f>
        <v/>
      </c>
      <c r="H145" s="15" t="str">
        <f>IF(ISNA(VLOOKUP(MID($A145,6,1),Kanji_2_HanViet!$A:$C,2,FALSE)),"",VLOOKUP(MID($A145,6,1),Kanji_2_HanViet!$A:$C,2,FALSE))</f>
        <v/>
      </c>
      <c r="I145" s="15" t="str">
        <f>IF(ISNA(VLOOKUP(MID($A145,7,1),Kanji_2_HanViet!$A:$C,2,FALSE)),"",VLOOKUP(MID($A145,7,1),Kanji_2_HanViet!$A:$C,2,FALSE))</f>
        <v/>
      </c>
      <c r="J145" s="15" t="str">
        <f>IF(ISNA(VLOOKUP(MID($A145,8,1),Kanji_2_HanViet!$A:$C,2,FALSE)),"",VLOOKUP(MID($A145,8,1),Kanji_2_HanViet!$A:$C,2,FALSE))</f>
        <v/>
      </c>
      <c r="K145" s="15" t="str">
        <f>IF(ISNA(VLOOKUP(MID($A145,9,1),Kanji_2_HanViet!$A:$C,2,FALSE)),"",VLOOKUP(MID($A145,9,1),Kanji_2_HanViet!$A:$C,2,FALSE))</f>
        <v/>
      </c>
    </row>
    <row r="146" spans="1:11">
      <c r="A146" s="13">
        <f>Master!B152</f>
        <v>0</v>
      </c>
      <c r="B146" s="16" t="str">
        <f t="shared" si="2"/>
        <v/>
      </c>
      <c r="C146" s="15" t="str">
        <f>IF(ISNA(VLOOKUP(MID($A146,1,1),Kanji_2_HanViet!$A:$C,2,FALSE)),"",VLOOKUP(MID($A146,1,1),Kanji_2_HanViet!$A:$C,2,FALSE))</f>
        <v/>
      </c>
      <c r="D146" s="15" t="str">
        <f>IF(ISNA(VLOOKUP(MID($A146,2,1),Kanji_2_HanViet!$A:$C,2,FALSE)),"",VLOOKUP(MID($A146,2,1),Kanji_2_HanViet!$A:$C,2,FALSE))</f>
        <v/>
      </c>
      <c r="E146" s="15" t="str">
        <f>IF(ISNA(VLOOKUP(MID($A146,3,1),Kanji_2_HanViet!$A:$C,2,FALSE)),"",VLOOKUP(MID($A146,3,1),Kanji_2_HanViet!$A:$C,2,FALSE))</f>
        <v/>
      </c>
      <c r="F146" s="15" t="str">
        <f>IF(ISNA(VLOOKUP(MID($A146,4,1),Kanji_2_HanViet!$A:$C,2,FALSE)),"",VLOOKUP(MID($A146,4,1),Kanji_2_HanViet!$A:$C,2,FALSE))</f>
        <v/>
      </c>
      <c r="G146" s="15" t="str">
        <f>IF(ISNA(VLOOKUP(MID($A146,5,1),Kanji_2_HanViet!$A:$C,2,FALSE)),"",VLOOKUP(MID($A146,5,1),Kanji_2_HanViet!$A:$C,2,FALSE))</f>
        <v/>
      </c>
      <c r="H146" s="15" t="str">
        <f>IF(ISNA(VLOOKUP(MID($A146,6,1),Kanji_2_HanViet!$A:$C,2,FALSE)),"",VLOOKUP(MID($A146,6,1),Kanji_2_HanViet!$A:$C,2,FALSE))</f>
        <v/>
      </c>
      <c r="I146" s="15" t="str">
        <f>IF(ISNA(VLOOKUP(MID($A146,7,1),Kanji_2_HanViet!$A:$C,2,FALSE)),"",VLOOKUP(MID($A146,7,1),Kanji_2_HanViet!$A:$C,2,FALSE))</f>
        <v/>
      </c>
      <c r="J146" s="15" t="str">
        <f>IF(ISNA(VLOOKUP(MID($A146,8,1),Kanji_2_HanViet!$A:$C,2,FALSE)),"",VLOOKUP(MID($A146,8,1),Kanji_2_HanViet!$A:$C,2,FALSE))</f>
        <v/>
      </c>
      <c r="K146" s="15" t="str">
        <f>IF(ISNA(VLOOKUP(MID($A146,9,1),Kanji_2_HanViet!$A:$C,2,FALSE)),"",VLOOKUP(MID($A146,9,1),Kanji_2_HanViet!$A:$C,2,FALSE))</f>
        <v/>
      </c>
    </row>
    <row r="147" spans="1:11">
      <c r="A147" s="13">
        <f>Master!B153</f>
        <v>0</v>
      </c>
      <c r="B147" s="16" t="str">
        <f t="shared" si="2"/>
        <v/>
      </c>
      <c r="C147" s="15" t="str">
        <f>IF(ISNA(VLOOKUP(MID($A147,1,1),Kanji_2_HanViet!$A:$C,2,FALSE)),"",VLOOKUP(MID($A147,1,1),Kanji_2_HanViet!$A:$C,2,FALSE))</f>
        <v/>
      </c>
      <c r="D147" s="15" t="str">
        <f>IF(ISNA(VLOOKUP(MID($A147,2,1),Kanji_2_HanViet!$A:$C,2,FALSE)),"",VLOOKUP(MID($A147,2,1),Kanji_2_HanViet!$A:$C,2,FALSE))</f>
        <v/>
      </c>
      <c r="E147" s="15" t="str">
        <f>IF(ISNA(VLOOKUP(MID($A147,3,1),Kanji_2_HanViet!$A:$C,2,FALSE)),"",VLOOKUP(MID($A147,3,1),Kanji_2_HanViet!$A:$C,2,FALSE))</f>
        <v/>
      </c>
      <c r="F147" s="15" t="str">
        <f>IF(ISNA(VLOOKUP(MID($A147,4,1),Kanji_2_HanViet!$A:$C,2,FALSE)),"",VLOOKUP(MID($A147,4,1),Kanji_2_HanViet!$A:$C,2,FALSE))</f>
        <v/>
      </c>
      <c r="G147" s="15" t="str">
        <f>IF(ISNA(VLOOKUP(MID($A147,5,1),Kanji_2_HanViet!$A:$C,2,FALSE)),"",VLOOKUP(MID($A147,5,1),Kanji_2_HanViet!$A:$C,2,FALSE))</f>
        <v/>
      </c>
      <c r="H147" s="15" t="str">
        <f>IF(ISNA(VLOOKUP(MID($A147,6,1),Kanji_2_HanViet!$A:$C,2,FALSE)),"",VLOOKUP(MID($A147,6,1),Kanji_2_HanViet!$A:$C,2,FALSE))</f>
        <v/>
      </c>
      <c r="I147" s="15" t="str">
        <f>IF(ISNA(VLOOKUP(MID($A147,7,1),Kanji_2_HanViet!$A:$C,2,FALSE)),"",VLOOKUP(MID($A147,7,1),Kanji_2_HanViet!$A:$C,2,FALSE))</f>
        <v/>
      </c>
      <c r="J147" s="15" t="str">
        <f>IF(ISNA(VLOOKUP(MID($A147,8,1),Kanji_2_HanViet!$A:$C,2,FALSE)),"",VLOOKUP(MID($A147,8,1),Kanji_2_HanViet!$A:$C,2,FALSE))</f>
        <v/>
      </c>
      <c r="K147" s="15" t="str">
        <f>IF(ISNA(VLOOKUP(MID($A147,9,1),Kanji_2_HanViet!$A:$C,2,FALSE)),"",VLOOKUP(MID($A147,9,1),Kanji_2_HanViet!$A:$C,2,FALSE))</f>
        <v/>
      </c>
    </row>
    <row r="148" spans="1:11">
      <c r="A148" s="13">
        <f>Master!B154</f>
        <v>0</v>
      </c>
      <c r="B148" s="16" t="str">
        <f t="shared" si="2"/>
        <v/>
      </c>
      <c r="C148" s="15" t="str">
        <f>IF(ISNA(VLOOKUP(MID($A148,1,1),Kanji_2_HanViet!$A:$C,2,FALSE)),"",VLOOKUP(MID($A148,1,1),Kanji_2_HanViet!$A:$C,2,FALSE))</f>
        <v/>
      </c>
      <c r="D148" s="15" t="str">
        <f>IF(ISNA(VLOOKUP(MID($A148,2,1),Kanji_2_HanViet!$A:$C,2,FALSE)),"",VLOOKUP(MID($A148,2,1),Kanji_2_HanViet!$A:$C,2,FALSE))</f>
        <v/>
      </c>
      <c r="E148" s="15" t="str">
        <f>IF(ISNA(VLOOKUP(MID($A148,3,1),Kanji_2_HanViet!$A:$C,2,FALSE)),"",VLOOKUP(MID($A148,3,1),Kanji_2_HanViet!$A:$C,2,FALSE))</f>
        <v/>
      </c>
      <c r="F148" s="15" t="str">
        <f>IF(ISNA(VLOOKUP(MID($A148,4,1),Kanji_2_HanViet!$A:$C,2,FALSE)),"",VLOOKUP(MID($A148,4,1),Kanji_2_HanViet!$A:$C,2,FALSE))</f>
        <v/>
      </c>
      <c r="G148" s="15" t="str">
        <f>IF(ISNA(VLOOKUP(MID($A148,5,1),Kanji_2_HanViet!$A:$C,2,FALSE)),"",VLOOKUP(MID($A148,5,1),Kanji_2_HanViet!$A:$C,2,FALSE))</f>
        <v/>
      </c>
      <c r="H148" s="15" t="str">
        <f>IF(ISNA(VLOOKUP(MID($A148,6,1),Kanji_2_HanViet!$A:$C,2,FALSE)),"",VLOOKUP(MID($A148,6,1),Kanji_2_HanViet!$A:$C,2,FALSE))</f>
        <v/>
      </c>
      <c r="I148" s="15" t="str">
        <f>IF(ISNA(VLOOKUP(MID($A148,7,1),Kanji_2_HanViet!$A:$C,2,FALSE)),"",VLOOKUP(MID($A148,7,1),Kanji_2_HanViet!$A:$C,2,FALSE))</f>
        <v/>
      </c>
      <c r="J148" s="15" t="str">
        <f>IF(ISNA(VLOOKUP(MID($A148,8,1),Kanji_2_HanViet!$A:$C,2,FALSE)),"",VLOOKUP(MID($A148,8,1),Kanji_2_HanViet!$A:$C,2,FALSE))</f>
        <v/>
      </c>
      <c r="K148" s="15" t="str">
        <f>IF(ISNA(VLOOKUP(MID($A148,9,1),Kanji_2_HanViet!$A:$C,2,FALSE)),"",VLOOKUP(MID($A148,9,1),Kanji_2_HanViet!$A:$C,2,FALSE))</f>
        <v/>
      </c>
    </row>
    <row r="149" spans="1:11">
      <c r="A149" s="13">
        <f>Master!B155</f>
        <v>0</v>
      </c>
      <c r="B149" s="16" t="str">
        <f t="shared" si="2"/>
        <v/>
      </c>
      <c r="C149" s="15" t="str">
        <f>IF(ISNA(VLOOKUP(MID($A149,1,1),Kanji_2_HanViet!$A:$C,2,FALSE)),"",VLOOKUP(MID($A149,1,1),Kanji_2_HanViet!$A:$C,2,FALSE))</f>
        <v/>
      </c>
      <c r="D149" s="15" t="str">
        <f>IF(ISNA(VLOOKUP(MID($A149,2,1),Kanji_2_HanViet!$A:$C,2,FALSE)),"",VLOOKUP(MID($A149,2,1),Kanji_2_HanViet!$A:$C,2,FALSE))</f>
        <v/>
      </c>
      <c r="E149" s="15" t="str">
        <f>IF(ISNA(VLOOKUP(MID($A149,3,1),Kanji_2_HanViet!$A:$C,2,FALSE)),"",VLOOKUP(MID($A149,3,1),Kanji_2_HanViet!$A:$C,2,FALSE))</f>
        <v/>
      </c>
      <c r="F149" s="15" t="str">
        <f>IF(ISNA(VLOOKUP(MID($A149,4,1),Kanji_2_HanViet!$A:$C,2,FALSE)),"",VLOOKUP(MID($A149,4,1),Kanji_2_HanViet!$A:$C,2,FALSE))</f>
        <v/>
      </c>
      <c r="G149" s="15" t="str">
        <f>IF(ISNA(VLOOKUP(MID($A149,5,1),Kanji_2_HanViet!$A:$C,2,FALSE)),"",VLOOKUP(MID($A149,5,1),Kanji_2_HanViet!$A:$C,2,FALSE))</f>
        <v/>
      </c>
      <c r="H149" s="15" t="str">
        <f>IF(ISNA(VLOOKUP(MID($A149,6,1),Kanji_2_HanViet!$A:$C,2,FALSE)),"",VLOOKUP(MID($A149,6,1),Kanji_2_HanViet!$A:$C,2,FALSE))</f>
        <v/>
      </c>
      <c r="I149" s="15" t="str">
        <f>IF(ISNA(VLOOKUP(MID($A149,7,1),Kanji_2_HanViet!$A:$C,2,FALSE)),"",VLOOKUP(MID($A149,7,1),Kanji_2_HanViet!$A:$C,2,FALSE))</f>
        <v/>
      </c>
      <c r="J149" s="15" t="str">
        <f>IF(ISNA(VLOOKUP(MID($A149,8,1),Kanji_2_HanViet!$A:$C,2,FALSE)),"",VLOOKUP(MID($A149,8,1),Kanji_2_HanViet!$A:$C,2,FALSE))</f>
        <v/>
      </c>
      <c r="K149" s="15" t="str">
        <f>IF(ISNA(VLOOKUP(MID($A149,9,1),Kanji_2_HanViet!$A:$C,2,FALSE)),"",VLOOKUP(MID($A149,9,1),Kanji_2_HanViet!$A:$C,2,FALSE))</f>
        <v/>
      </c>
    </row>
    <row r="150" spans="1:11">
      <c r="A150" s="13">
        <f>Master!B156</f>
        <v>0</v>
      </c>
      <c r="B150" s="16" t="str">
        <f t="shared" si="2"/>
        <v/>
      </c>
      <c r="C150" s="15" t="str">
        <f>IF(ISNA(VLOOKUP(MID($A150,1,1),Kanji_2_HanViet!$A:$C,2,FALSE)),"",VLOOKUP(MID($A150,1,1),Kanji_2_HanViet!$A:$C,2,FALSE))</f>
        <v/>
      </c>
      <c r="D150" s="15" t="str">
        <f>IF(ISNA(VLOOKUP(MID($A150,2,1),Kanji_2_HanViet!$A:$C,2,FALSE)),"",VLOOKUP(MID($A150,2,1),Kanji_2_HanViet!$A:$C,2,FALSE))</f>
        <v/>
      </c>
      <c r="E150" s="15" t="str">
        <f>IF(ISNA(VLOOKUP(MID($A150,3,1),Kanji_2_HanViet!$A:$C,2,FALSE)),"",VLOOKUP(MID($A150,3,1),Kanji_2_HanViet!$A:$C,2,FALSE))</f>
        <v/>
      </c>
      <c r="F150" s="15" t="str">
        <f>IF(ISNA(VLOOKUP(MID($A150,4,1),Kanji_2_HanViet!$A:$C,2,FALSE)),"",VLOOKUP(MID($A150,4,1),Kanji_2_HanViet!$A:$C,2,FALSE))</f>
        <v/>
      </c>
      <c r="G150" s="15" t="str">
        <f>IF(ISNA(VLOOKUP(MID($A150,5,1),Kanji_2_HanViet!$A:$C,2,FALSE)),"",VLOOKUP(MID($A150,5,1),Kanji_2_HanViet!$A:$C,2,FALSE))</f>
        <v/>
      </c>
      <c r="H150" s="15" t="str">
        <f>IF(ISNA(VLOOKUP(MID($A150,6,1),Kanji_2_HanViet!$A:$C,2,FALSE)),"",VLOOKUP(MID($A150,6,1),Kanji_2_HanViet!$A:$C,2,FALSE))</f>
        <v/>
      </c>
      <c r="I150" s="15" t="str">
        <f>IF(ISNA(VLOOKUP(MID($A150,7,1),Kanji_2_HanViet!$A:$C,2,FALSE)),"",VLOOKUP(MID($A150,7,1),Kanji_2_HanViet!$A:$C,2,FALSE))</f>
        <v/>
      </c>
      <c r="J150" s="15" t="str">
        <f>IF(ISNA(VLOOKUP(MID($A150,8,1),Kanji_2_HanViet!$A:$C,2,FALSE)),"",VLOOKUP(MID($A150,8,1),Kanji_2_HanViet!$A:$C,2,FALSE))</f>
        <v/>
      </c>
      <c r="K150" s="15" t="str">
        <f>IF(ISNA(VLOOKUP(MID($A150,9,1),Kanji_2_HanViet!$A:$C,2,FALSE)),"",VLOOKUP(MID($A150,9,1),Kanji_2_HanViet!$A:$C,2,FALSE))</f>
        <v/>
      </c>
    </row>
    <row r="151" spans="1:11">
      <c r="A151" s="13">
        <f>Master!B157</f>
        <v>0</v>
      </c>
      <c r="B151" s="16" t="str">
        <f t="shared" si="2"/>
        <v/>
      </c>
      <c r="C151" s="15" t="str">
        <f>IF(ISNA(VLOOKUP(MID($A151,1,1),Kanji_2_HanViet!$A:$C,2,FALSE)),"",VLOOKUP(MID($A151,1,1),Kanji_2_HanViet!$A:$C,2,FALSE))</f>
        <v/>
      </c>
      <c r="D151" s="15" t="str">
        <f>IF(ISNA(VLOOKUP(MID($A151,2,1),Kanji_2_HanViet!$A:$C,2,FALSE)),"",VLOOKUP(MID($A151,2,1),Kanji_2_HanViet!$A:$C,2,FALSE))</f>
        <v/>
      </c>
      <c r="E151" s="15" t="str">
        <f>IF(ISNA(VLOOKUP(MID($A151,3,1),Kanji_2_HanViet!$A:$C,2,FALSE)),"",VLOOKUP(MID($A151,3,1),Kanji_2_HanViet!$A:$C,2,FALSE))</f>
        <v/>
      </c>
      <c r="F151" s="15" t="str">
        <f>IF(ISNA(VLOOKUP(MID($A151,4,1),Kanji_2_HanViet!$A:$C,2,FALSE)),"",VLOOKUP(MID($A151,4,1),Kanji_2_HanViet!$A:$C,2,FALSE))</f>
        <v/>
      </c>
      <c r="G151" s="15" t="str">
        <f>IF(ISNA(VLOOKUP(MID($A151,5,1),Kanji_2_HanViet!$A:$C,2,FALSE)),"",VLOOKUP(MID($A151,5,1),Kanji_2_HanViet!$A:$C,2,FALSE))</f>
        <v/>
      </c>
      <c r="H151" s="15" t="str">
        <f>IF(ISNA(VLOOKUP(MID($A151,6,1),Kanji_2_HanViet!$A:$C,2,FALSE)),"",VLOOKUP(MID($A151,6,1),Kanji_2_HanViet!$A:$C,2,FALSE))</f>
        <v/>
      </c>
      <c r="I151" s="15" t="str">
        <f>IF(ISNA(VLOOKUP(MID($A151,7,1),Kanji_2_HanViet!$A:$C,2,FALSE)),"",VLOOKUP(MID($A151,7,1),Kanji_2_HanViet!$A:$C,2,FALSE))</f>
        <v/>
      </c>
      <c r="J151" s="15" t="str">
        <f>IF(ISNA(VLOOKUP(MID($A151,8,1),Kanji_2_HanViet!$A:$C,2,FALSE)),"",VLOOKUP(MID($A151,8,1),Kanji_2_HanViet!$A:$C,2,FALSE))</f>
        <v/>
      </c>
      <c r="K151" s="15" t="str">
        <f>IF(ISNA(VLOOKUP(MID($A151,9,1),Kanji_2_HanViet!$A:$C,2,FALSE)),"",VLOOKUP(MID($A151,9,1),Kanji_2_HanViet!$A:$C,2,FALSE))</f>
        <v/>
      </c>
    </row>
    <row r="152" spans="1:11">
      <c r="A152" s="13">
        <f>Master!B158</f>
        <v>0</v>
      </c>
      <c r="B152" s="16" t="str">
        <f t="shared" si="2"/>
        <v/>
      </c>
      <c r="C152" s="15" t="str">
        <f>IF(ISNA(VLOOKUP(MID($A152,1,1),Kanji_2_HanViet!$A:$C,2,FALSE)),"",VLOOKUP(MID($A152,1,1),Kanji_2_HanViet!$A:$C,2,FALSE))</f>
        <v/>
      </c>
      <c r="D152" s="15" t="str">
        <f>IF(ISNA(VLOOKUP(MID($A152,2,1),Kanji_2_HanViet!$A:$C,2,FALSE)),"",VLOOKUP(MID($A152,2,1),Kanji_2_HanViet!$A:$C,2,FALSE))</f>
        <v/>
      </c>
      <c r="E152" s="15" t="str">
        <f>IF(ISNA(VLOOKUP(MID($A152,3,1),Kanji_2_HanViet!$A:$C,2,FALSE)),"",VLOOKUP(MID($A152,3,1),Kanji_2_HanViet!$A:$C,2,FALSE))</f>
        <v/>
      </c>
      <c r="F152" s="15" t="str">
        <f>IF(ISNA(VLOOKUP(MID($A152,4,1),Kanji_2_HanViet!$A:$C,2,FALSE)),"",VLOOKUP(MID($A152,4,1),Kanji_2_HanViet!$A:$C,2,FALSE))</f>
        <v/>
      </c>
      <c r="G152" s="15" t="str">
        <f>IF(ISNA(VLOOKUP(MID($A152,5,1),Kanji_2_HanViet!$A:$C,2,FALSE)),"",VLOOKUP(MID($A152,5,1),Kanji_2_HanViet!$A:$C,2,FALSE))</f>
        <v/>
      </c>
      <c r="H152" s="15" t="str">
        <f>IF(ISNA(VLOOKUP(MID($A152,6,1),Kanji_2_HanViet!$A:$C,2,FALSE)),"",VLOOKUP(MID($A152,6,1),Kanji_2_HanViet!$A:$C,2,FALSE))</f>
        <v/>
      </c>
      <c r="I152" s="15" t="str">
        <f>IF(ISNA(VLOOKUP(MID($A152,7,1),Kanji_2_HanViet!$A:$C,2,FALSE)),"",VLOOKUP(MID($A152,7,1),Kanji_2_HanViet!$A:$C,2,FALSE))</f>
        <v/>
      </c>
      <c r="J152" s="15" t="str">
        <f>IF(ISNA(VLOOKUP(MID($A152,8,1),Kanji_2_HanViet!$A:$C,2,FALSE)),"",VLOOKUP(MID($A152,8,1),Kanji_2_HanViet!$A:$C,2,FALSE))</f>
        <v/>
      </c>
      <c r="K152" s="15" t="str">
        <f>IF(ISNA(VLOOKUP(MID($A152,9,1),Kanji_2_HanViet!$A:$C,2,FALSE)),"",VLOOKUP(MID($A152,9,1),Kanji_2_HanViet!$A:$C,2,FALSE))</f>
        <v/>
      </c>
    </row>
    <row r="153" spans="1:11">
      <c r="A153" s="13">
        <f>Master!B159</f>
        <v>0</v>
      </c>
      <c r="B153" s="16" t="str">
        <f t="shared" si="2"/>
        <v/>
      </c>
      <c r="C153" s="15" t="str">
        <f>IF(ISNA(VLOOKUP(MID($A153,1,1),Kanji_2_HanViet!$A:$C,2,FALSE)),"",VLOOKUP(MID($A153,1,1),Kanji_2_HanViet!$A:$C,2,FALSE))</f>
        <v/>
      </c>
      <c r="D153" s="15" t="str">
        <f>IF(ISNA(VLOOKUP(MID($A153,2,1),Kanji_2_HanViet!$A:$C,2,FALSE)),"",VLOOKUP(MID($A153,2,1),Kanji_2_HanViet!$A:$C,2,FALSE))</f>
        <v/>
      </c>
      <c r="E153" s="15" t="str">
        <f>IF(ISNA(VLOOKUP(MID($A153,3,1),Kanji_2_HanViet!$A:$C,2,FALSE)),"",VLOOKUP(MID($A153,3,1),Kanji_2_HanViet!$A:$C,2,FALSE))</f>
        <v/>
      </c>
      <c r="F153" s="15" t="str">
        <f>IF(ISNA(VLOOKUP(MID($A153,4,1),Kanji_2_HanViet!$A:$C,2,FALSE)),"",VLOOKUP(MID($A153,4,1),Kanji_2_HanViet!$A:$C,2,FALSE))</f>
        <v/>
      </c>
      <c r="G153" s="15" t="str">
        <f>IF(ISNA(VLOOKUP(MID($A153,5,1),Kanji_2_HanViet!$A:$C,2,FALSE)),"",VLOOKUP(MID($A153,5,1),Kanji_2_HanViet!$A:$C,2,FALSE))</f>
        <v/>
      </c>
      <c r="H153" s="15" t="str">
        <f>IF(ISNA(VLOOKUP(MID($A153,6,1),Kanji_2_HanViet!$A:$C,2,FALSE)),"",VLOOKUP(MID($A153,6,1),Kanji_2_HanViet!$A:$C,2,FALSE))</f>
        <v/>
      </c>
      <c r="I153" s="15" t="str">
        <f>IF(ISNA(VLOOKUP(MID($A153,7,1),Kanji_2_HanViet!$A:$C,2,FALSE)),"",VLOOKUP(MID($A153,7,1),Kanji_2_HanViet!$A:$C,2,FALSE))</f>
        <v/>
      </c>
      <c r="J153" s="15" t="str">
        <f>IF(ISNA(VLOOKUP(MID($A153,8,1),Kanji_2_HanViet!$A:$C,2,FALSE)),"",VLOOKUP(MID($A153,8,1),Kanji_2_HanViet!$A:$C,2,FALSE))</f>
        <v/>
      </c>
      <c r="K153" s="15" t="str">
        <f>IF(ISNA(VLOOKUP(MID($A153,9,1),Kanji_2_HanViet!$A:$C,2,FALSE)),"",VLOOKUP(MID($A153,9,1),Kanji_2_HanViet!$A:$C,2,FALSE))</f>
        <v/>
      </c>
    </row>
    <row r="154" spans="1:11">
      <c r="A154" s="13">
        <f>Master!B160</f>
        <v>0</v>
      </c>
      <c r="B154" s="16" t="str">
        <f t="shared" si="2"/>
        <v/>
      </c>
      <c r="C154" s="15" t="str">
        <f>IF(ISNA(VLOOKUP(MID($A154,1,1),Kanji_2_HanViet!$A:$C,2,FALSE)),"",VLOOKUP(MID($A154,1,1),Kanji_2_HanViet!$A:$C,2,FALSE))</f>
        <v/>
      </c>
      <c r="D154" s="15" t="str">
        <f>IF(ISNA(VLOOKUP(MID($A154,2,1),Kanji_2_HanViet!$A:$C,2,FALSE)),"",VLOOKUP(MID($A154,2,1),Kanji_2_HanViet!$A:$C,2,FALSE))</f>
        <v/>
      </c>
      <c r="E154" s="15" t="str">
        <f>IF(ISNA(VLOOKUP(MID($A154,3,1),Kanji_2_HanViet!$A:$C,2,FALSE)),"",VLOOKUP(MID($A154,3,1),Kanji_2_HanViet!$A:$C,2,FALSE))</f>
        <v/>
      </c>
      <c r="F154" s="15" t="str">
        <f>IF(ISNA(VLOOKUP(MID($A154,4,1),Kanji_2_HanViet!$A:$C,2,FALSE)),"",VLOOKUP(MID($A154,4,1),Kanji_2_HanViet!$A:$C,2,FALSE))</f>
        <v/>
      </c>
      <c r="G154" s="15" t="str">
        <f>IF(ISNA(VLOOKUP(MID($A154,5,1),Kanji_2_HanViet!$A:$C,2,FALSE)),"",VLOOKUP(MID($A154,5,1),Kanji_2_HanViet!$A:$C,2,FALSE))</f>
        <v/>
      </c>
      <c r="H154" s="15" t="str">
        <f>IF(ISNA(VLOOKUP(MID($A154,6,1),Kanji_2_HanViet!$A:$C,2,FALSE)),"",VLOOKUP(MID($A154,6,1),Kanji_2_HanViet!$A:$C,2,FALSE))</f>
        <v/>
      </c>
      <c r="I154" s="15" t="str">
        <f>IF(ISNA(VLOOKUP(MID($A154,7,1),Kanji_2_HanViet!$A:$C,2,FALSE)),"",VLOOKUP(MID($A154,7,1),Kanji_2_HanViet!$A:$C,2,FALSE))</f>
        <v/>
      </c>
      <c r="J154" s="15" t="str">
        <f>IF(ISNA(VLOOKUP(MID($A154,8,1),Kanji_2_HanViet!$A:$C,2,FALSE)),"",VLOOKUP(MID($A154,8,1),Kanji_2_HanViet!$A:$C,2,FALSE))</f>
        <v/>
      </c>
      <c r="K154" s="15" t="str">
        <f>IF(ISNA(VLOOKUP(MID($A154,9,1),Kanji_2_HanViet!$A:$C,2,FALSE)),"",VLOOKUP(MID($A154,9,1),Kanji_2_HanViet!$A:$C,2,FALSE))</f>
        <v/>
      </c>
    </row>
    <row r="155" spans="1:11">
      <c r="A155" s="13">
        <f>Master!B161</f>
        <v>0</v>
      </c>
      <c r="B155" s="16" t="str">
        <f t="shared" si="2"/>
        <v/>
      </c>
      <c r="C155" s="15" t="str">
        <f>IF(ISNA(VLOOKUP(MID($A155,1,1),Kanji_2_HanViet!$A:$C,2,FALSE)),"",VLOOKUP(MID($A155,1,1),Kanji_2_HanViet!$A:$C,2,FALSE))</f>
        <v/>
      </c>
      <c r="D155" s="15" t="str">
        <f>IF(ISNA(VLOOKUP(MID($A155,2,1),Kanji_2_HanViet!$A:$C,2,FALSE)),"",VLOOKUP(MID($A155,2,1),Kanji_2_HanViet!$A:$C,2,FALSE))</f>
        <v/>
      </c>
      <c r="E155" s="15" t="str">
        <f>IF(ISNA(VLOOKUP(MID($A155,3,1),Kanji_2_HanViet!$A:$C,2,FALSE)),"",VLOOKUP(MID($A155,3,1),Kanji_2_HanViet!$A:$C,2,FALSE))</f>
        <v/>
      </c>
      <c r="F155" s="15" t="str">
        <f>IF(ISNA(VLOOKUP(MID($A155,4,1),Kanji_2_HanViet!$A:$C,2,FALSE)),"",VLOOKUP(MID($A155,4,1),Kanji_2_HanViet!$A:$C,2,FALSE))</f>
        <v/>
      </c>
      <c r="G155" s="15" t="str">
        <f>IF(ISNA(VLOOKUP(MID($A155,5,1),Kanji_2_HanViet!$A:$C,2,FALSE)),"",VLOOKUP(MID($A155,5,1),Kanji_2_HanViet!$A:$C,2,FALSE))</f>
        <v/>
      </c>
      <c r="H155" s="15" t="str">
        <f>IF(ISNA(VLOOKUP(MID($A155,6,1),Kanji_2_HanViet!$A:$C,2,FALSE)),"",VLOOKUP(MID($A155,6,1),Kanji_2_HanViet!$A:$C,2,FALSE))</f>
        <v/>
      </c>
      <c r="I155" s="15" t="str">
        <f>IF(ISNA(VLOOKUP(MID($A155,7,1),Kanji_2_HanViet!$A:$C,2,FALSE)),"",VLOOKUP(MID($A155,7,1),Kanji_2_HanViet!$A:$C,2,FALSE))</f>
        <v/>
      </c>
      <c r="J155" s="15" t="str">
        <f>IF(ISNA(VLOOKUP(MID($A155,8,1),Kanji_2_HanViet!$A:$C,2,FALSE)),"",VLOOKUP(MID($A155,8,1),Kanji_2_HanViet!$A:$C,2,FALSE))</f>
        <v/>
      </c>
      <c r="K155" s="15" t="str">
        <f>IF(ISNA(VLOOKUP(MID($A155,9,1),Kanji_2_HanViet!$A:$C,2,FALSE)),"",VLOOKUP(MID($A155,9,1),Kanji_2_HanViet!$A:$C,2,FALSE))</f>
        <v/>
      </c>
    </row>
    <row r="156" spans="1:11">
      <c r="A156" s="13">
        <f>Master!B162</f>
        <v>0</v>
      </c>
      <c r="B156" s="16" t="str">
        <f t="shared" si="2"/>
        <v/>
      </c>
      <c r="C156" s="15" t="str">
        <f>IF(ISNA(VLOOKUP(MID($A156,1,1),Kanji_2_HanViet!$A:$C,2,FALSE)),"",VLOOKUP(MID($A156,1,1),Kanji_2_HanViet!$A:$C,2,FALSE))</f>
        <v/>
      </c>
      <c r="D156" s="15" t="str">
        <f>IF(ISNA(VLOOKUP(MID($A156,2,1),Kanji_2_HanViet!$A:$C,2,FALSE)),"",VLOOKUP(MID($A156,2,1),Kanji_2_HanViet!$A:$C,2,FALSE))</f>
        <v/>
      </c>
      <c r="E156" s="15" t="str">
        <f>IF(ISNA(VLOOKUP(MID($A156,3,1),Kanji_2_HanViet!$A:$C,2,FALSE)),"",VLOOKUP(MID($A156,3,1),Kanji_2_HanViet!$A:$C,2,FALSE))</f>
        <v/>
      </c>
      <c r="F156" s="15" t="str">
        <f>IF(ISNA(VLOOKUP(MID($A156,4,1),Kanji_2_HanViet!$A:$C,2,FALSE)),"",VLOOKUP(MID($A156,4,1),Kanji_2_HanViet!$A:$C,2,FALSE))</f>
        <v/>
      </c>
      <c r="G156" s="15" t="str">
        <f>IF(ISNA(VLOOKUP(MID($A156,5,1),Kanji_2_HanViet!$A:$C,2,FALSE)),"",VLOOKUP(MID($A156,5,1),Kanji_2_HanViet!$A:$C,2,FALSE))</f>
        <v/>
      </c>
      <c r="H156" s="15" t="str">
        <f>IF(ISNA(VLOOKUP(MID($A156,6,1),Kanji_2_HanViet!$A:$C,2,FALSE)),"",VLOOKUP(MID($A156,6,1),Kanji_2_HanViet!$A:$C,2,FALSE))</f>
        <v/>
      </c>
      <c r="I156" s="15" t="str">
        <f>IF(ISNA(VLOOKUP(MID($A156,7,1),Kanji_2_HanViet!$A:$C,2,FALSE)),"",VLOOKUP(MID($A156,7,1),Kanji_2_HanViet!$A:$C,2,FALSE))</f>
        <v/>
      </c>
      <c r="J156" s="15" t="str">
        <f>IF(ISNA(VLOOKUP(MID($A156,8,1),Kanji_2_HanViet!$A:$C,2,FALSE)),"",VLOOKUP(MID($A156,8,1),Kanji_2_HanViet!$A:$C,2,FALSE))</f>
        <v/>
      </c>
      <c r="K156" s="15" t="str">
        <f>IF(ISNA(VLOOKUP(MID($A156,9,1),Kanji_2_HanViet!$A:$C,2,FALSE)),"",VLOOKUP(MID($A156,9,1),Kanji_2_HanViet!$A:$C,2,FALSE))</f>
        <v/>
      </c>
    </row>
    <row r="157" spans="1:11">
      <c r="A157" s="13">
        <f>Master!B163</f>
        <v>0</v>
      </c>
      <c r="B157" s="16" t="str">
        <f t="shared" si="2"/>
        <v/>
      </c>
      <c r="C157" s="15" t="str">
        <f>IF(ISNA(VLOOKUP(MID($A157,1,1),Kanji_2_HanViet!$A:$C,2,FALSE)),"",VLOOKUP(MID($A157,1,1),Kanji_2_HanViet!$A:$C,2,FALSE))</f>
        <v/>
      </c>
      <c r="D157" s="15" t="str">
        <f>IF(ISNA(VLOOKUP(MID($A157,2,1),Kanji_2_HanViet!$A:$C,2,FALSE)),"",VLOOKUP(MID($A157,2,1),Kanji_2_HanViet!$A:$C,2,FALSE))</f>
        <v/>
      </c>
      <c r="E157" s="15" t="str">
        <f>IF(ISNA(VLOOKUP(MID($A157,3,1),Kanji_2_HanViet!$A:$C,2,FALSE)),"",VLOOKUP(MID($A157,3,1),Kanji_2_HanViet!$A:$C,2,FALSE))</f>
        <v/>
      </c>
      <c r="F157" s="15" t="str">
        <f>IF(ISNA(VLOOKUP(MID($A157,4,1),Kanji_2_HanViet!$A:$C,2,FALSE)),"",VLOOKUP(MID($A157,4,1),Kanji_2_HanViet!$A:$C,2,FALSE))</f>
        <v/>
      </c>
      <c r="G157" s="15" t="str">
        <f>IF(ISNA(VLOOKUP(MID($A157,5,1),Kanji_2_HanViet!$A:$C,2,FALSE)),"",VLOOKUP(MID($A157,5,1),Kanji_2_HanViet!$A:$C,2,FALSE))</f>
        <v/>
      </c>
      <c r="H157" s="15" t="str">
        <f>IF(ISNA(VLOOKUP(MID($A157,6,1),Kanji_2_HanViet!$A:$C,2,FALSE)),"",VLOOKUP(MID($A157,6,1),Kanji_2_HanViet!$A:$C,2,FALSE))</f>
        <v/>
      </c>
      <c r="I157" s="15" t="str">
        <f>IF(ISNA(VLOOKUP(MID($A157,7,1),Kanji_2_HanViet!$A:$C,2,FALSE)),"",VLOOKUP(MID($A157,7,1),Kanji_2_HanViet!$A:$C,2,FALSE))</f>
        <v/>
      </c>
      <c r="J157" s="15" t="str">
        <f>IF(ISNA(VLOOKUP(MID($A157,8,1),Kanji_2_HanViet!$A:$C,2,FALSE)),"",VLOOKUP(MID($A157,8,1),Kanji_2_HanViet!$A:$C,2,FALSE))</f>
        <v/>
      </c>
      <c r="K157" s="15" t="str">
        <f>IF(ISNA(VLOOKUP(MID($A157,9,1),Kanji_2_HanViet!$A:$C,2,FALSE)),"",VLOOKUP(MID($A157,9,1),Kanji_2_HanViet!$A:$C,2,FALSE))</f>
        <v/>
      </c>
    </row>
    <row r="158" spans="1:11">
      <c r="A158" s="13">
        <f>Master!B164</f>
        <v>0</v>
      </c>
      <c r="B158" s="16" t="str">
        <f t="shared" si="2"/>
        <v/>
      </c>
      <c r="C158" s="15" t="str">
        <f>IF(ISNA(VLOOKUP(MID($A158,1,1),Kanji_2_HanViet!$A:$C,2,FALSE)),"",VLOOKUP(MID($A158,1,1),Kanji_2_HanViet!$A:$C,2,FALSE))</f>
        <v/>
      </c>
      <c r="D158" s="15" t="str">
        <f>IF(ISNA(VLOOKUP(MID($A158,2,1),Kanji_2_HanViet!$A:$C,2,FALSE)),"",VLOOKUP(MID($A158,2,1),Kanji_2_HanViet!$A:$C,2,FALSE))</f>
        <v/>
      </c>
      <c r="E158" s="15" t="str">
        <f>IF(ISNA(VLOOKUP(MID($A158,3,1),Kanji_2_HanViet!$A:$C,2,FALSE)),"",VLOOKUP(MID($A158,3,1),Kanji_2_HanViet!$A:$C,2,FALSE))</f>
        <v/>
      </c>
      <c r="F158" s="15" t="str">
        <f>IF(ISNA(VLOOKUP(MID($A158,4,1),Kanji_2_HanViet!$A:$C,2,FALSE)),"",VLOOKUP(MID($A158,4,1),Kanji_2_HanViet!$A:$C,2,FALSE))</f>
        <v/>
      </c>
      <c r="G158" s="15" t="str">
        <f>IF(ISNA(VLOOKUP(MID($A158,5,1),Kanji_2_HanViet!$A:$C,2,FALSE)),"",VLOOKUP(MID($A158,5,1),Kanji_2_HanViet!$A:$C,2,FALSE))</f>
        <v/>
      </c>
      <c r="H158" s="15" t="str">
        <f>IF(ISNA(VLOOKUP(MID($A158,6,1),Kanji_2_HanViet!$A:$C,2,FALSE)),"",VLOOKUP(MID($A158,6,1),Kanji_2_HanViet!$A:$C,2,FALSE))</f>
        <v/>
      </c>
      <c r="I158" s="15" t="str">
        <f>IF(ISNA(VLOOKUP(MID($A158,7,1),Kanji_2_HanViet!$A:$C,2,FALSE)),"",VLOOKUP(MID($A158,7,1),Kanji_2_HanViet!$A:$C,2,FALSE))</f>
        <v/>
      </c>
      <c r="J158" s="15" t="str">
        <f>IF(ISNA(VLOOKUP(MID($A158,8,1),Kanji_2_HanViet!$A:$C,2,FALSE)),"",VLOOKUP(MID($A158,8,1),Kanji_2_HanViet!$A:$C,2,FALSE))</f>
        <v/>
      </c>
      <c r="K158" s="15" t="str">
        <f>IF(ISNA(VLOOKUP(MID($A158,9,1),Kanji_2_HanViet!$A:$C,2,FALSE)),"",VLOOKUP(MID($A158,9,1),Kanji_2_HanViet!$A:$C,2,FALSE))</f>
        <v/>
      </c>
    </row>
    <row r="159" spans="1:11">
      <c r="A159" s="13">
        <f>Master!B165</f>
        <v>0</v>
      </c>
      <c r="B159" s="16" t="str">
        <f t="shared" si="2"/>
        <v/>
      </c>
      <c r="C159" s="15" t="str">
        <f>IF(ISNA(VLOOKUP(MID($A159,1,1),Kanji_2_HanViet!$A:$C,2,FALSE)),"",VLOOKUP(MID($A159,1,1),Kanji_2_HanViet!$A:$C,2,FALSE))</f>
        <v/>
      </c>
      <c r="D159" s="15" t="str">
        <f>IF(ISNA(VLOOKUP(MID($A159,2,1),Kanji_2_HanViet!$A:$C,2,FALSE)),"",VLOOKUP(MID($A159,2,1),Kanji_2_HanViet!$A:$C,2,FALSE))</f>
        <v/>
      </c>
      <c r="E159" s="15" t="str">
        <f>IF(ISNA(VLOOKUP(MID($A159,3,1),Kanji_2_HanViet!$A:$C,2,FALSE)),"",VLOOKUP(MID($A159,3,1),Kanji_2_HanViet!$A:$C,2,FALSE))</f>
        <v/>
      </c>
      <c r="F159" s="15" t="str">
        <f>IF(ISNA(VLOOKUP(MID($A159,4,1),Kanji_2_HanViet!$A:$C,2,FALSE)),"",VLOOKUP(MID($A159,4,1),Kanji_2_HanViet!$A:$C,2,FALSE))</f>
        <v/>
      </c>
      <c r="G159" s="15" t="str">
        <f>IF(ISNA(VLOOKUP(MID($A159,5,1),Kanji_2_HanViet!$A:$C,2,FALSE)),"",VLOOKUP(MID($A159,5,1),Kanji_2_HanViet!$A:$C,2,FALSE))</f>
        <v/>
      </c>
      <c r="H159" s="15" t="str">
        <f>IF(ISNA(VLOOKUP(MID($A159,6,1),Kanji_2_HanViet!$A:$C,2,FALSE)),"",VLOOKUP(MID($A159,6,1),Kanji_2_HanViet!$A:$C,2,FALSE))</f>
        <v/>
      </c>
      <c r="I159" s="15" t="str">
        <f>IF(ISNA(VLOOKUP(MID($A159,7,1),Kanji_2_HanViet!$A:$C,2,FALSE)),"",VLOOKUP(MID($A159,7,1),Kanji_2_HanViet!$A:$C,2,FALSE))</f>
        <v/>
      </c>
      <c r="J159" s="15" t="str">
        <f>IF(ISNA(VLOOKUP(MID($A159,8,1),Kanji_2_HanViet!$A:$C,2,FALSE)),"",VLOOKUP(MID($A159,8,1),Kanji_2_HanViet!$A:$C,2,FALSE))</f>
        <v/>
      </c>
      <c r="K159" s="15" t="str">
        <f>IF(ISNA(VLOOKUP(MID($A159,9,1),Kanji_2_HanViet!$A:$C,2,FALSE)),"",VLOOKUP(MID($A159,9,1),Kanji_2_HanViet!$A:$C,2,FALSE))</f>
        <v/>
      </c>
    </row>
    <row r="160" spans="1:11">
      <c r="A160" s="13">
        <f>Master!B166</f>
        <v>0</v>
      </c>
      <c r="B160" s="16" t="str">
        <f t="shared" si="2"/>
        <v/>
      </c>
      <c r="C160" s="15" t="str">
        <f>IF(ISNA(VLOOKUP(MID($A160,1,1),Kanji_2_HanViet!$A:$C,2,FALSE)),"",VLOOKUP(MID($A160,1,1),Kanji_2_HanViet!$A:$C,2,FALSE))</f>
        <v/>
      </c>
      <c r="D160" s="15" t="str">
        <f>IF(ISNA(VLOOKUP(MID($A160,2,1),Kanji_2_HanViet!$A:$C,2,FALSE)),"",VLOOKUP(MID($A160,2,1),Kanji_2_HanViet!$A:$C,2,FALSE))</f>
        <v/>
      </c>
      <c r="E160" s="15" t="str">
        <f>IF(ISNA(VLOOKUP(MID($A160,3,1),Kanji_2_HanViet!$A:$C,2,FALSE)),"",VLOOKUP(MID($A160,3,1),Kanji_2_HanViet!$A:$C,2,FALSE))</f>
        <v/>
      </c>
      <c r="F160" s="15" t="str">
        <f>IF(ISNA(VLOOKUP(MID($A160,4,1),Kanji_2_HanViet!$A:$C,2,FALSE)),"",VLOOKUP(MID($A160,4,1),Kanji_2_HanViet!$A:$C,2,FALSE))</f>
        <v/>
      </c>
      <c r="G160" s="15" t="str">
        <f>IF(ISNA(VLOOKUP(MID($A160,5,1),Kanji_2_HanViet!$A:$C,2,FALSE)),"",VLOOKUP(MID($A160,5,1),Kanji_2_HanViet!$A:$C,2,FALSE))</f>
        <v/>
      </c>
      <c r="H160" s="15" t="str">
        <f>IF(ISNA(VLOOKUP(MID($A160,6,1),Kanji_2_HanViet!$A:$C,2,FALSE)),"",VLOOKUP(MID($A160,6,1),Kanji_2_HanViet!$A:$C,2,FALSE))</f>
        <v/>
      </c>
      <c r="I160" s="15" t="str">
        <f>IF(ISNA(VLOOKUP(MID($A160,7,1),Kanji_2_HanViet!$A:$C,2,FALSE)),"",VLOOKUP(MID($A160,7,1),Kanji_2_HanViet!$A:$C,2,FALSE))</f>
        <v/>
      </c>
      <c r="J160" s="15" t="str">
        <f>IF(ISNA(VLOOKUP(MID($A160,8,1),Kanji_2_HanViet!$A:$C,2,FALSE)),"",VLOOKUP(MID($A160,8,1),Kanji_2_HanViet!$A:$C,2,FALSE))</f>
        <v/>
      </c>
      <c r="K160" s="15" t="str">
        <f>IF(ISNA(VLOOKUP(MID($A160,9,1),Kanji_2_HanViet!$A:$C,2,FALSE)),"",VLOOKUP(MID($A160,9,1),Kanji_2_HanViet!$A:$C,2,FALSE))</f>
        <v/>
      </c>
    </row>
    <row r="161" spans="1:11">
      <c r="A161" s="13">
        <f>Master!B167</f>
        <v>0</v>
      </c>
      <c r="B161" s="16" t="str">
        <f t="shared" si="2"/>
        <v/>
      </c>
      <c r="C161" s="15" t="str">
        <f>IF(ISNA(VLOOKUP(MID($A161,1,1),Kanji_2_HanViet!$A:$C,2,FALSE)),"",VLOOKUP(MID($A161,1,1),Kanji_2_HanViet!$A:$C,2,FALSE))</f>
        <v/>
      </c>
      <c r="D161" s="15" t="str">
        <f>IF(ISNA(VLOOKUP(MID($A161,2,1),Kanji_2_HanViet!$A:$C,2,FALSE)),"",VLOOKUP(MID($A161,2,1),Kanji_2_HanViet!$A:$C,2,FALSE))</f>
        <v/>
      </c>
      <c r="E161" s="15" t="str">
        <f>IF(ISNA(VLOOKUP(MID($A161,3,1),Kanji_2_HanViet!$A:$C,2,FALSE)),"",VLOOKUP(MID($A161,3,1),Kanji_2_HanViet!$A:$C,2,FALSE))</f>
        <v/>
      </c>
      <c r="F161" s="15" t="str">
        <f>IF(ISNA(VLOOKUP(MID($A161,4,1),Kanji_2_HanViet!$A:$C,2,FALSE)),"",VLOOKUP(MID($A161,4,1),Kanji_2_HanViet!$A:$C,2,FALSE))</f>
        <v/>
      </c>
      <c r="G161" s="15" t="str">
        <f>IF(ISNA(VLOOKUP(MID($A161,5,1),Kanji_2_HanViet!$A:$C,2,FALSE)),"",VLOOKUP(MID($A161,5,1),Kanji_2_HanViet!$A:$C,2,FALSE))</f>
        <v/>
      </c>
      <c r="H161" s="15" t="str">
        <f>IF(ISNA(VLOOKUP(MID($A161,6,1),Kanji_2_HanViet!$A:$C,2,FALSE)),"",VLOOKUP(MID($A161,6,1),Kanji_2_HanViet!$A:$C,2,FALSE))</f>
        <v/>
      </c>
      <c r="I161" s="15" t="str">
        <f>IF(ISNA(VLOOKUP(MID($A161,7,1),Kanji_2_HanViet!$A:$C,2,FALSE)),"",VLOOKUP(MID($A161,7,1),Kanji_2_HanViet!$A:$C,2,FALSE))</f>
        <v/>
      </c>
      <c r="J161" s="15" t="str">
        <f>IF(ISNA(VLOOKUP(MID($A161,8,1),Kanji_2_HanViet!$A:$C,2,FALSE)),"",VLOOKUP(MID($A161,8,1),Kanji_2_HanViet!$A:$C,2,FALSE))</f>
        <v/>
      </c>
      <c r="K161" s="15" t="str">
        <f>IF(ISNA(VLOOKUP(MID($A161,9,1),Kanji_2_HanViet!$A:$C,2,FALSE)),"",VLOOKUP(MID($A161,9,1),Kanji_2_HanViet!$A:$C,2,FALSE))</f>
        <v/>
      </c>
    </row>
    <row r="162" spans="1:11">
      <c r="A162" s="13">
        <f>Master!B168</f>
        <v>0</v>
      </c>
      <c r="B162" s="16" t="str">
        <f t="shared" si="2"/>
        <v/>
      </c>
      <c r="C162" s="15" t="str">
        <f>IF(ISNA(VLOOKUP(MID($A162,1,1),Kanji_2_HanViet!$A:$C,2,FALSE)),"",VLOOKUP(MID($A162,1,1),Kanji_2_HanViet!$A:$C,2,FALSE))</f>
        <v/>
      </c>
      <c r="D162" s="15" t="str">
        <f>IF(ISNA(VLOOKUP(MID($A162,2,1),Kanji_2_HanViet!$A:$C,2,FALSE)),"",VLOOKUP(MID($A162,2,1),Kanji_2_HanViet!$A:$C,2,FALSE))</f>
        <v/>
      </c>
      <c r="E162" s="15" t="str">
        <f>IF(ISNA(VLOOKUP(MID($A162,3,1),Kanji_2_HanViet!$A:$C,2,FALSE)),"",VLOOKUP(MID($A162,3,1),Kanji_2_HanViet!$A:$C,2,FALSE))</f>
        <v/>
      </c>
      <c r="F162" s="15" t="str">
        <f>IF(ISNA(VLOOKUP(MID($A162,4,1),Kanji_2_HanViet!$A:$C,2,FALSE)),"",VLOOKUP(MID($A162,4,1),Kanji_2_HanViet!$A:$C,2,FALSE))</f>
        <v/>
      </c>
      <c r="G162" s="15" t="str">
        <f>IF(ISNA(VLOOKUP(MID($A162,5,1),Kanji_2_HanViet!$A:$C,2,FALSE)),"",VLOOKUP(MID($A162,5,1),Kanji_2_HanViet!$A:$C,2,FALSE))</f>
        <v/>
      </c>
      <c r="H162" s="15" t="str">
        <f>IF(ISNA(VLOOKUP(MID($A162,6,1),Kanji_2_HanViet!$A:$C,2,FALSE)),"",VLOOKUP(MID($A162,6,1),Kanji_2_HanViet!$A:$C,2,FALSE))</f>
        <v/>
      </c>
      <c r="I162" s="15" t="str">
        <f>IF(ISNA(VLOOKUP(MID($A162,7,1),Kanji_2_HanViet!$A:$C,2,FALSE)),"",VLOOKUP(MID($A162,7,1),Kanji_2_HanViet!$A:$C,2,FALSE))</f>
        <v/>
      </c>
      <c r="J162" s="15" t="str">
        <f>IF(ISNA(VLOOKUP(MID($A162,8,1),Kanji_2_HanViet!$A:$C,2,FALSE)),"",VLOOKUP(MID($A162,8,1),Kanji_2_HanViet!$A:$C,2,FALSE))</f>
        <v/>
      </c>
      <c r="K162" s="15" t="str">
        <f>IF(ISNA(VLOOKUP(MID($A162,9,1),Kanji_2_HanViet!$A:$C,2,FALSE)),"",VLOOKUP(MID($A162,9,1),Kanji_2_HanViet!$A:$C,2,FALSE))</f>
        <v/>
      </c>
    </row>
    <row r="163" spans="1:11">
      <c r="A163" s="13">
        <f>Master!B169</f>
        <v>0</v>
      </c>
      <c r="B163" s="16" t="str">
        <f t="shared" si="2"/>
        <v/>
      </c>
      <c r="C163" s="15" t="str">
        <f>IF(ISNA(VLOOKUP(MID($A163,1,1),Kanji_2_HanViet!$A:$C,2,FALSE)),"",VLOOKUP(MID($A163,1,1),Kanji_2_HanViet!$A:$C,2,FALSE))</f>
        <v/>
      </c>
      <c r="D163" s="15" t="str">
        <f>IF(ISNA(VLOOKUP(MID($A163,2,1),Kanji_2_HanViet!$A:$C,2,FALSE)),"",VLOOKUP(MID($A163,2,1),Kanji_2_HanViet!$A:$C,2,FALSE))</f>
        <v/>
      </c>
      <c r="E163" s="15" t="str">
        <f>IF(ISNA(VLOOKUP(MID($A163,3,1),Kanji_2_HanViet!$A:$C,2,FALSE)),"",VLOOKUP(MID($A163,3,1),Kanji_2_HanViet!$A:$C,2,FALSE))</f>
        <v/>
      </c>
      <c r="F163" s="15" t="str">
        <f>IF(ISNA(VLOOKUP(MID($A163,4,1),Kanji_2_HanViet!$A:$C,2,FALSE)),"",VLOOKUP(MID($A163,4,1),Kanji_2_HanViet!$A:$C,2,FALSE))</f>
        <v/>
      </c>
      <c r="G163" s="15" t="str">
        <f>IF(ISNA(VLOOKUP(MID($A163,5,1),Kanji_2_HanViet!$A:$C,2,FALSE)),"",VLOOKUP(MID($A163,5,1),Kanji_2_HanViet!$A:$C,2,FALSE))</f>
        <v/>
      </c>
      <c r="H163" s="15" t="str">
        <f>IF(ISNA(VLOOKUP(MID($A163,6,1),Kanji_2_HanViet!$A:$C,2,FALSE)),"",VLOOKUP(MID($A163,6,1),Kanji_2_HanViet!$A:$C,2,FALSE))</f>
        <v/>
      </c>
      <c r="I163" s="15" t="str">
        <f>IF(ISNA(VLOOKUP(MID($A163,7,1),Kanji_2_HanViet!$A:$C,2,FALSE)),"",VLOOKUP(MID($A163,7,1),Kanji_2_HanViet!$A:$C,2,FALSE))</f>
        <v/>
      </c>
      <c r="J163" s="15" t="str">
        <f>IF(ISNA(VLOOKUP(MID($A163,8,1),Kanji_2_HanViet!$A:$C,2,FALSE)),"",VLOOKUP(MID($A163,8,1),Kanji_2_HanViet!$A:$C,2,FALSE))</f>
        <v/>
      </c>
      <c r="K163" s="15" t="str">
        <f>IF(ISNA(VLOOKUP(MID($A163,9,1),Kanji_2_HanViet!$A:$C,2,FALSE)),"",VLOOKUP(MID($A163,9,1),Kanji_2_HanViet!$A:$C,2,FALSE))</f>
        <v/>
      </c>
    </row>
    <row r="164" spans="1:11">
      <c r="A164" s="13">
        <f>Master!B170</f>
        <v>0</v>
      </c>
      <c r="B164" s="16" t="str">
        <f t="shared" si="2"/>
        <v/>
      </c>
      <c r="C164" s="15" t="str">
        <f>IF(ISNA(VLOOKUP(MID($A164,1,1),Kanji_2_HanViet!$A:$C,2,FALSE)),"",VLOOKUP(MID($A164,1,1),Kanji_2_HanViet!$A:$C,2,FALSE))</f>
        <v/>
      </c>
      <c r="D164" s="15" t="str">
        <f>IF(ISNA(VLOOKUP(MID($A164,2,1),Kanji_2_HanViet!$A:$C,2,FALSE)),"",VLOOKUP(MID($A164,2,1),Kanji_2_HanViet!$A:$C,2,FALSE))</f>
        <v/>
      </c>
      <c r="E164" s="15" t="str">
        <f>IF(ISNA(VLOOKUP(MID($A164,3,1),Kanji_2_HanViet!$A:$C,2,FALSE)),"",VLOOKUP(MID($A164,3,1),Kanji_2_HanViet!$A:$C,2,FALSE))</f>
        <v/>
      </c>
      <c r="F164" s="15" t="str">
        <f>IF(ISNA(VLOOKUP(MID($A164,4,1),Kanji_2_HanViet!$A:$C,2,FALSE)),"",VLOOKUP(MID($A164,4,1),Kanji_2_HanViet!$A:$C,2,FALSE))</f>
        <v/>
      </c>
      <c r="G164" s="15" t="str">
        <f>IF(ISNA(VLOOKUP(MID($A164,5,1),Kanji_2_HanViet!$A:$C,2,FALSE)),"",VLOOKUP(MID($A164,5,1),Kanji_2_HanViet!$A:$C,2,FALSE))</f>
        <v/>
      </c>
      <c r="H164" s="15" t="str">
        <f>IF(ISNA(VLOOKUP(MID($A164,6,1),Kanji_2_HanViet!$A:$C,2,FALSE)),"",VLOOKUP(MID($A164,6,1),Kanji_2_HanViet!$A:$C,2,FALSE))</f>
        <v/>
      </c>
      <c r="I164" s="15" t="str">
        <f>IF(ISNA(VLOOKUP(MID($A164,7,1),Kanji_2_HanViet!$A:$C,2,FALSE)),"",VLOOKUP(MID($A164,7,1),Kanji_2_HanViet!$A:$C,2,FALSE))</f>
        <v/>
      </c>
      <c r="J164" s="15" t="str">
        <f>IF(ISNA(VLOOKUP(MID($A164,8,1),Kanji_2_HanViet!$A:$C,2,FALSE)),"",VLOOKUP(MID($A164,8,1),Kanji_2_HanViet!$A:$C,2,FALSE))</f>
        <v/>
      </c>
      <c r="K164" s="15" t="str">
        <f>IF(ISNA(VLOOKUP(MID($A164,9,1),Kanji_2_HanViet!$A:$C,2,FALSE)),"",VLOOKUP(MID($A164,9,1),Kanji_2_HanViet!$A:$C,2,FALSE))</f>
        <v/>
      </c>
    </row>
    <row r="165" spans="1:11">
      <c r="A165" s="13">
        <f>Master!B171</f>
        <v>0</v>
      </c>
      <c r="B165" s="16" t="str">
        <f t="shared" si="2"/>
        <v/>
      </c>
      <c r="C165" s="15" t="str">
        <f>IF(ISNA(VLOOKUP(MID($A165,1,1),Kanji_2_HanViet!$A:$C,2,FALSE)),"",VLOOKUP(MID($A165,1,1),Kanji_2_HanViet!$A:$C,2,FALSE))</f>
        <v/>
      </c>
      <c r="D165" s="15" t="str">
        <f>IF(ISNA(VLOOKUP(MID($A165,2,1),Kanji_2_HanViet!$A:$C,2,FALSE)),"",VLOOKUP(MID($A165,2,1),Kanji_2_HanViet!$A:$C,2,FALSE))</f>
        <v/>
      </c>
      <c r="E165" s="15" t="str">
        <f>IF(ISNA(VLOOKUP(MID($A165,3,1),Kanji_2_HanViet!$A:$C,2,FALSE)),"",VLOOKUP(MID($A165,3,1),Kanji_2_HanViet!$A:$C,2,FALSE))</f>
        <v/>
      </c>
      <c r="F165" s="15" t="str">
        <f>IF(ISNA(VLOOKUP(MID($A165,4,1),Kanji_2_HanViet!$A:$C,2,FALSE)),"",VLOOKUP(MID($A165,4,1),Kanji_2_HanViet!$A:$C,2,FALSE))</f>
        <v/>
      </c>
      <c r="G165" s="15" t="str">
        <f>IF(ISNA(VLOOKUP(MID($A165,5,1),Kanji_2_HanViet!$A:$C,2,FALSE)),"",VLOOKUP(MID($A165,5,1),Kanji_2_HanViet!$A:$C,2,FALSE))</f>
        <v/>
      </c>
      <c r="H165" s="15" t="str">
        <f>IF(ISNA(VLOOKUP(MID($A165,6,1),Kanji_2_HanViet!$A:$C,2,FALSE)),"",VLOOKUP(MID($A165,6,1),Kanji_2_HanViet!$A:$C,2,FALSE))</f>
        <v/>
      </c>
      <c r="I165" s="15" t="str">
        <f>IF(ISNA(VLOOKUP(MID($A165,7,1),Kanji_2_HanViet!$A:$C,2,FALSE)),"",VLOOKUP(MID($A165,7,1),Kanji_2_HanViet!$A:$C,2,FALSE))</f>
        <v/>
      </c>
      <c r="J165" s="15" t="str">
        <f>IF(ISNA(VLOOKUP(MID($A165,8,1),Kanji_2_HanViet!$A:$C,2,FALSE)),"",VLOOKUP(MID($A165,8,1),Kanji_2_HanViet!$A:$C,2,FALSE))</f>
        <v/>
      </c>
      <c r="K165" s="15" t="str">
        <f>IF(ISNA(VLOOKUP(MID($A165,9,1),Kanji_2_HanViet!$A:$C,2,FALSE)),"",VLOOKUP(MID($A165,9,1),Kanji_2_HanViet!$A:$C,2,FALSE))</f>
        <v/>
      </c>
    </row>
    <row r="166" spans="1:11">
      <c r="A166" s="13">
        <f>Master!B172</f>
        <v>0</v>
      </c>
      <c r="B166" s="16" t="str">
        <f t="shared" si="2"/>
        <v/>
      </c>
      <c r="C166" s="15" t="str">
        <f>IF(ISNA(VLOOKUP(MID($A166,1,1),Kanji_2_HanViet!$A:$C,2,FALSE)),"",VLOOKUP(MID($A166,1,1),Kanji_2_HanViet!$A:$C,2,FALSE))</f>
        <v/>
      </c>
      <c r="D166" s="15" t="str">
        <f>IF(ISNA(VLOOKUP(MID($A166,2,1),Kanji_2_HanViet!$A:$C,2,FALSE)),"",VLOOKUP(MID($A166,2,1),Kanji_2_HanViet!$A:$C,2,FALSE))</f>
        <v/>
      </c>
      <c r="E166" s="15" t="str">
        <f>IF(ISNA(VLOOKUP(MID($A166,3,1),Kanji_2_HanViet!$A:$C,2,FALSE)),"",VLOOKUP(MID($A166,3,1),Kanji_2_HanViet!$A:$C,2,FALSE))</f>
        <v/>
      </c>
      <c r="F166" s="15" t="str">
        <f>IF(ISNA(VLOOKUP(MID($A166,4,1),Kanji_2_HanViet!$A:$C,2,FALSE)),"",VLOOKUP(MID($A166,4,1),Kanji_2_HanViet!$A:$C,2,FALSE))</f>
        <v/>
      </c>
      <c r="G166" s="15" t="str">
        <f>IF(ISNA(VLOOKUP(MID($A166,5,1),Kanji_2_HanViet!$A:$C,2,FALSE)),"",VLOOKUP(MID($A166,5,1),Kanji_2_HanViet!$A:$C,2,FALSE))</f>
        <v/>
      </c>
      <c r="H166" s="15" t="str">
        <f>IF(ISNA(VLOOKUP(MID($A166,6,1),Kanji_2_HanViet!$A:$C,2,FALSE)),"",VLOOKUP(MID($A166,6,1),Kanji_2_HanViet!$A:$C,2,FALSE))</f>
        <v/>
      </c>
      <c r="I166" s="15" t="str">
        <f>IF(ISNA(VLOOKUP(MID($A166,7,1),Kanji_2_HanViet!$A:$C,2,FALSE)),"",VLOOKUP(MID($A166,7,1),Kanji_2_HanViet!$A:$C,2,FALSE))</f>
        <v/>
      </c>
      <c r="J166" s="15" t="str">
        <f>IF(ISNA(VLOOKUP(MID($A166,8,1),Kanji_2_HanViet!$A:$C,2,FALSE)),"",VLOOKUP(MID($A166,8,1),Kanji_2_HanViet!$A:$C,2,FALSE))</f>
        <v/>
      </c>
      <c r="K166" s="15" t="str">
        <f>IF(ISNA(VLOOKUP(MID($A166,9,1),Kanji_2_HanViet!$A:$C,2,FALSE)),"",VLOOKUP(MID($A166,9,1),Kanji_2_HanViet!$A:$C,2,FALSE))</f>
        <v/>
      </c>
    </row>
    <row r="167" spans="1:11">
      <c r="A167" s="13">
        <f>Master!B173</f>
        <v>0</v>
      </c>
      <c r="B167" s="16" t="str">
        <f t="shared" si="2"/>
        <v/>
      </c>
      <c r="C167" s="15" t="str">
        <f>IF(ISNA(VLOOKUP(MID($A167,1,1),Kanji_2_HanViet!$A:$C,2,FALSE)),"",VLOOKUP(MID($A167,1,1),Kanji_2_HanViet!$A:$C,2,FALSE))</f>
        <v/>
      </c>
      <c r="D167" s="15" t="str">
        <f>IF(ISNA(VLOOKUP(MID($A167,2,1),Kanji_2_HanViet!$A:$C,2,FALSE)),"",VLOOKUP(MID($A167,2,1),Kanji_2_HanViet!$A:$C,2,FALSE))</f>
        <v/>
      </c>
      <c r="E167" s="15" t="str">
        <f>IF(ISNA(VLOOKUP(MID($A167,3,1),Kanji_2_HanViet!$A:$C,2,FALSE)),"",VLOOKUP(MID($A167,3,1),Kanji_2_HanViet!$A:$C,2,FALSE))</f>
        <v/>
      </c>
      <c r="F167" s="15" t="str">
        <f>IF(ISNA(VLOOKUP(MID($A167,4,1),Kanji_2_HanViet!$A:$C,2,FALSE)),"",VLOOKUP(MID($A167,4,1),Kanji_2_HanViet!$A:$C,2,FALSE))</f>
        <v/>
      </c>
      <c r="G167" s="15" t="str">
        <f>IF(ISNA(VLOOKUP(MID($A167,5,1),Kanji_2_HanViet!$A:$C,2,FALSE)),"",VLOOKUP(MID($A167,5,1),Kanji_2_HanViet!$A:$C,2,FALSE))</f>
        <v/>
      </c>
      <c r="H167" s="15" t="str">
        <f>IF(ISNA(VLOOKUP(MID($A167,6,1),Kanji_2_HanViet!$A:$C,2,FALSE)),"",VLOOKUP(MID($A167,6,1),Kanji_2_HanViet!$A:$C,2,FALSE))</f>
        <v/>
      </c>
      <c r="I167" s="15" t="str">
        <f>IF(ISNA(VLOOKUP(MID($A167,7,1),Kanji_2_HanViet!$A:$C,2,FALSE)),"",VLOOKUP(MID($A167,7,1),Kanji_2_HanViet!$A:$C,2,FALSE))</f>
        <v/>
      </c>
      <c r="J167" s="15" t="str">
        <f>IF(ISNA(VLOOKUP(MID($A167,8,1),Kanji_2_HanViet!$A:$C,2,FALSE)),"",VLOOKUP(MID($A167,8,1),Kanji_2_HanViet!$A:$C,2,FALSE))</f>
        <v/>
      </c>
      <c r="K167" s="15" t="str">
        <f>IF(ISNA(VLOOKUP(MID($A167,9,1),Kanji_2_HanViet!$A:$C,2,FALSE)),"",VLOOKUP(MID($A167,9,1),Kanji_2_HanViet!$A:$C,2,FALSE))</f>
        <v/>
      </c>
    </row>
    <row r="168" spans="1:11">
      <c r="A168" s="13">
        <f>Master!B174</f>
        <v>0</v>
      </c>
      <c r="B168" s="16" t="str">
        <f t="shared" si="2"/>
        <v/>
      </c>
      <c r="C168" s="15" t="str">
        <f>IF(ISNA(VLOOKUP(MID($A168,1,1),Kanji_2_HanViet!$A:$C,2,FALSE)),"",VLOOKUP(MID($A168,1,1),Kanji_2_HanViet!$A:$C,2,FALSE))</f>
        <v/>
      </c>
      <c r="D168" s="15" t="str">
        <f>IF(ISNA(VLOOKUP(MID($A168,2,1),Kanji_2_HanViet!$A:$C,2,FALSE)),"",VLOOKUP(MID($A168,2,1),Kanji_2_HanViet!$A:$C,2,FALSE))</f>
        <v/>
      </c>
      <c r="E168" s="15" t="str">
        <f>IF(ISNA(VLOOKUP(MID($A168,3,1),Kanji_2_HanViet!$A:$C,2,FALSE)),"",VLOOKUP(MID($A168,3,1),Kanji_2_HanViet!$A:$C,2,FALSE))</f>
        <v/>
      </c>
      <c r="F168" s="15" t="str">
        <f>IF(ISNA(VLOOKUP(MID($A168,4,1),Kanji_2_HanViet!$A:$C,2,FALSE)),"",VLOOKUP(MID($A168,4,1),Kanji_2_HanViet!$A:$C,2,FALSE))</f>
        <v/>
      </c>
      <c r="G168" s="15" t="str">
        <f>IF(ISNA(VLOOKUP(MID($A168,5,1),Kanji_2_HanViet!$A:$C,2,FALSE)),"",VLOOKUP(MID($A168,5,1),Kanji_2_HanViet!$A:$C,2,FALSE))</f>
        <v/>
      </c>
      <c r="H168" s="15" t="str">
        <f>IF(ISNA(VLOOKUP(MID($A168,6,1),Kanji_2_HanViet!$A:$C,2,FALSE)),"",VLOOKUP(MID($A168,6,1),Kanji_2_HanViet!$A:$C,2,FALSE))</f>
        <v/>
      </c>
      <c r="I168" s="15" t="str">
        <f>IF(ISNA(VLOOKUP(MID($A168,7,1),Kanji_2_HanViet!$A:$C,2,FALSE)),"",VLOOKUP(MID($A168,7,1),Kanji_2_HanViet!$A:$C,2,FALSE))</f>
        <v/>
      </c>
      <c r="J168" s="15" t="str">
        <f>IF(ISNA(VLOOKUP(MID($A168,8,1),Kanji_2_HanViet!$A:$C,2,FALSE)),"",VLOOKUP(MID($A168,8,1),Kanji_2_HanViet!$A:$C,2,FALSE))</f>
        <v/>
      </c>
      <c r="K168" s="15" t="str">
        <f>IF(ISNA(VLOOKUP(MID($A168,9,1),Kanji_2_HanViet!$A:$C,2,FALSE)),"",VLOOKUP(MID($A168,9,1),Kanji_2_HanViet!$A:$C,2,FALSE))</f>
        <v/>
      </c>
    </row>
    <row r="169" spans="1:11">
      <c r="A169" s="13">
        <f>Master!B175</f>
        <v>0</v>
      </c>
      <c r="B169" s="16" t="str">
        <f t="shared" si="2"/>
        <v/>
      </c>
      <c r="C169" s="15" t="str">
        <f>IF(ISNA(VLOOKUP(MID($A169,1,1),Kanji_2_HanViet!$A:$C,2,FALSE)),"",VLOOKUP(MID($A169,1,1),Kanji_2_HanViet!$A:$C,2,FALSE))</f>
        <v/>
      </c>
      <c r="D169" s="15" t="str">
        <f>IF(ISNA(VLOOKUP(MID($A169,2,1),Kanji_2_HanViet!$A:$C,2,FALSE)),"",VLOOKUP(MID($A169,2,1),Kanji_2_HanViet!$A:$C,2,FALSE))</f>
        <v/>
      </c>
      <c r="E169" s="15" t="str">
        <f>IF(ISNA(VLOOKUP(MID($A169,3,1),Kanji_2_HanViet!$A:$C,2,FALSE)),"",VLOOKUP(MID($A169,3,1),Kanji_2_HanViet!$A:$C,2,FALSE))</f>
        <v/>
      </c>
      <c r="F169" s="15" t="str">
        <f>IF(ISNA(VLOOKUP(MID($A169,4,1),Kanji_2_HanViet!$A:$C,2,FALSE)),"",VLOOKUP(MID($A169,4,1),Kanji_2_HanViet!$A:$C,2,FALSE))</f>
        <v/>
      </c>
      <c r="G169" s="15" t="str">
        <f>IF(ISNA(VLOOKUP(MID($A169,5,1),Kanji_2_HanViet!$A:$C,2,FALSE)),"",VLOOKUP(MID($A169,5,1),Kanji_2_HanViet!$A:$C,2,FALSE))</f>
        <v/>
      </c>
      <c r="H169" s="15" t="str">
        <f>IF(ISNA(VLOOKUP(MID($A169,6,1),Kanji_2_HanViet!$A:$C,2,FALSE)),"",VLOOKUP(MID($A169,6,1),Kanji_2_HanViet!$A:$C,2,FALSE))</f>
        <v/>
      </c>
      <c r="I169" s="15" t="str">
        <f>IF(ISNA(VLOOKUP(MID($A169,7,1),Kanji_2_HanViet!$A:$C,2,FALSE)),"",VLOOKUP(MID($A169,7,1),Kanji_2_HanViet!$A:$C,2,FALSE))</f>
        <v/>
      </c>
      <c r="J169" s="15" t="str">
        <f>IF(ISNA(VLOOKUP(MID($A169,8,1),Kanji_2_HanViet!$A:$C,2,FALSE)),"",VLOOKUP(MID($A169,8,1),Kanji_2_HanViet!$A:$C,2,FALSE))</f>
        <v/>
      </c>
      <c r="K169" s="15" t="str">
        <f>IF(ISNA(VLOOKUP(MID($A169,9,1),Kanji_2_HanViet!$A:$C,2,FALSE)),"",VLOOKUP(MID($A169,9,1),Kanji_2_HanViet!$A:$C,2,FALSE))</f>
        <v/>
      </c>
    </row>
    <row r="170" spans="1:11">
      <c r="A170" s="13">
        <f>Master!B176</f>
        <v>0</v>
      </c>
      <c r="B170" s="16" t="str">
        <f t="shared" si="2"/>
        <v/>
      </c>
      <c r="C170" s="15" t="str">
        <f>IF(ISNA(VLOOKUP(MID($A170,1,1),Kanji_2_HanViet!$A:$C,2,FALSE)),"",VLOOKUP(MID($A170,1,1),Kanji_2_HanViet!$A:$C,2,FALSE))</f>
        <v/>
      </c>
      <c r="D170" s="15" t="str">
        <f>IF(ISNA(VLOOKUP(MID($A170,2,1),Kanji_2_HanViet!$A:$C,2,FALSE)),"",VLOOKUP(MID($A170,2,1),Kanji_2_HanViet!$A:$C,2,FALSE))</f>
        <v/>
      </c>
      <c r="E170" s="15" t="str">
        <f>IF(ISNA(VLOOKUP(MID($A170,3,1),Kanji_2_HanViet!$A:$C,2,FALSE)),"",VLOOKUP(MID($A170,3,1),Kanji_2_HanViet!$A:$C,2,FALSE))</f>
        <v/>
      </c>
      <c r="F170" s="15" t="str">
        <f>IF(ISNA(VLOOKUP(MID($A170,4,1),Kanji_2_HanViet!$A:$C,2,FALSE)),"",VLOOKUP(MID($A170,4,1),Kanji_2_HanViet!$A:$C,2,FALSE))</f>
        <v/>
      </c>
      <c r="G170" s="15" t="str">
        <f>IF(ISNA(VLOOKUP(MID($A170,5,1),Kanji_2_HanViet!$A:$C,2,FALSE)),"",VLOOKUP(MID($A170,5,1),Kanji_2_HanViet!$A:$C,2,FALSE))</f>
        <v/>
      </c>
      <c r="H170" s="15" t="str">
        <f>IF(ISNA(VLOOKUP(MID($A170,6,1),Kanji_2_HanViet!$A:$C,2,FALSE)),"",VLOOKUP(MID($A170,6,1),Kanji_2_HanViet!$A:$C,2,FALSE))</f>
        <v/>
      </c>
      <c r="I170" s="15" t="str">
        <f>IF(ISNA(VLOOKUP(MID($A170,7,1),Kanji_2_HanViet!$A:$C,2,FALSE)),"",VLOOKUP(MID($A170,7,1),Kanji_2_HanViet!$A:$C,2,FALSE))</f>
        <v/>
      </c>
      <c r="J170" s="15" t="str">
        <f>IF(ISNA(VLOOKUP(MID($A170,8,1),Kanji_2_HanViet!$A:$C,2,FALSE)),"",VLOOKUP(MID($A170,8,1),Kanji_2_HanViet!$A:$C,2,FALSE))</f>
        <v/>
      </c>
      <c r="K170" s="15" t="str">
        <f>IF(ISNA(VLOOKUP(MID($A170,9,1),Kanji_2_HanViet!$A:$C,2,FALSE)),"",VLOOKUP(MID($A170,9,1),Kanji_2_HanViet!$A:$C,2,FALSE))</f>
        <v/>
      </c>
    </row>
    <row r="171" spans="1:11">
      <c r="A171" s="13">
        <f>Master!B177</f>
        <v>0</v>
      </c>
      <c r="B171" s="16" t="str">
        <f t="shared" si="2"/>
        <v/>
      </c>
      <c r="C171" s="15" t="str">
        <f>IF(ISNA(VLOOKUP(MID($A171,1,1),Kanji_2_HanViet!$A:$C,2,FALSE)),"",VLOOKUP(MID($A171,1,1),Kanji_2_HanViet!$A:$C,2,FALSE))</f>
        <v/>
      </c>
      <c r="D171" s="15" t="str">
        <f>IF(ISNA(VLOOKUP(MID($A171,2,1),Kanji_2_HanViet!$A:$C,2,FALSE)),"",VLOOKUP(MID($A171,2,1),Kanji_2_HanViet!$A:$C,2,FALSE))</f>
        <v/>
      </c>
      <c r="E171" s="15" t="str">
        <f>IF(ISNA(VLOOKUP(MID($A171,3,1),Kanji_2_HanViet!$A:$C,2,FALSE)),"",VLOOKUP(MID($A171,3,1),Kanji_2_HanViet!$A:$C,2,FALSE))</f>
        <v/>
      </c>
      <c r="F171" s="15" t="str">
        <f>IF(ISNA(VLOOKUP(MID($A171,4,1),Kanji_2_HanViet!$A:$C,2,FALSE)),"",VLOOKUP(MID($A171,4,1),Kanji_2_HanViet!$A:$C,2,FALSE))</f>
        <v/>
      </c>
      <c r="G171" s="15" t="str">
        <f>IF(ISNA(VLOOKUP(MID($A171,5,1),Kanji_2_HanViet!$A:$C,2,FALSE)),"",VLOOKUP(MID($A171,5,1),Kanji_2_HanViet!$A:$C,2,FALSE))</f>
        <v/>
      </c>
      <c r="H171" s="15" t="str">
        <f>IF(ISNA(VLOOKUP(MID($A171,6,1),Kanji_2_HanViet!$A:$C,2,FALSE)),"",VLOOKUP(MID($A171,6,1),Kanji_2_HanViet!$A:$C,2,FALSE))</f>
        <v/>
      </c>
      <c r="I171" s="15" t="str">
        <f>IF(ISNA(VLOOKUP(MID($A171,7,1),Kanji_2_HanViet!$A:$C,2,FALSE)),"",VLOOKUP(MID($A171,7,1),Kanji_2_HanViet!$A:$C,2,FALSE))</f>
        <v/>
      </c>
      <c r="J171" s="15" t="str">
        <f>IF(ISNA(VLOOKUP(MID($A171,8,1),Kanji_2_HanViet!$A:$C,2,FALSE)),"",VLOOKUP(MID($A171,8,1),Kanji_2_HanViet!$A:$C,2,FALSE))</f>
        <v/>
      </c>
      <c r="K171" s="15" t="str">
        <f>IF(ISNA(VLOOKUP(MID($A171,9,1),Kanji_2_HanViet!$A:$C,2,FALSE)),"",VLOOKUP(MID($A171,9,1),Kanji_2_HanViet!$A:$C,2,FALSE))</f>
        <v/>
      </c>
    </row>
    <row r="172" spans="1:11">
      <c r="A172" s="13">
        <f>Master!B178</f>
        <v>0</v>
      </c>
      <c r="B172" s="16" t="str">
        <f t="shared" si="2"/>
        <v/>
      </c>
      <c r="C172" s="15" t="str">
        <f>IF(ISNA(VLOOKUP(MID($A172,1,1),Kanji_2_HanViet!$A:$C,2,FALSE)),"",VLOOKUP(MID($A172,1,1),Kanji_2_HanViet!$A:$C,2,FALSE))</f>
        <v/>
      </c>
      <c r="D172" s="15" t="str">
        <f>IF(ISNA(VLOOKUP(MID($A172,2,1),Kanji_2_HanViet!$A:$C,2,FALSE)),"",VLOOKUP(MID($A172,2,1),Kanji_2_HanViet!$A:$C,2,FALSE))</f>
        <v/>
      </c>
      <c r="E172" s="15" t="str">
        <f>IF(ISNA(VLOOKUP(MID($A172,3,1),Kanji_2_HanViet!$A:$C,2,FALSE)),"",VLOOKUP(MID($A172,3,1),Kanji_2_HanViet!$A:$C,2,FALSE))</f>
        <v/>
      </c>
      <c r="F172" s="15" t="str">
        <f>IF(ISNA(VLOOKUP(MID($A172,4,1),Kanji_2_HanViet!$A:$C,2,FALSE)),"",VLOOKUP(MID($A172,4,1),Kanji_2_HanViet!$A:$C,2,FALSE))</f>
        <v/>
      </c>
      <c r="G172" s="15" t="str">
        <f>IF(ISNA(VLOOKUP(MID($A172,5,1),Kanji_2_HanViet!$A:$C,2,FALSE)),"",VLOOKUP(MID($A172,5,1),Kanji_2_HanViet!$A:$C,2,FALSE))</f>
        <v/>
      </c>
      <c r="H172" s="15" t="str">
        <f>IF(ISNA(VLOOKUP(MID($A172,6,1),Kanji_2_HanViet!$A:$C,2,FALSE)),"",VLOOKUP(MID($A172,6,1),Kanji_2_HanViet!$A:$C,2,FALSE))</f>
        <v/>
      </c>
      <c r="I172" s="15" t="str">
        <f>IF(ISNA(VLOOKUP(MID($A172,7,1),Kanji_2_HanViet!$A:$C,2,FALSE)),"",VLOOKUP(MID($A172,7,1),Kanji_2_HanViet!$A:$C,2,FALSE))</f>
        <v/>
      </c>
      <c r="J172" s="15" t="str">
        <f>IF(ISNA(VLOOKUP(MID($A172,8,1),Kanji_2_HanViet!$A:$C,2,FALSE)),"",VLOOKUP(MID($A172,8,1),Kanji_2_HanViet!$A:$C,2,FALSE))</f>
        <v/>
      </c>
      <c r="K172" s="15" t="str">
        <f>IF(ISNA(VLOOKUP(MID($A172,9,1),Kanji_2_HanViet!$A:$C,2,FALSE)),"",VLOOKUP(MID($A172,9,1),Kanji_2_HanViet!$A:$C,2,FALSE))</f>
        <v/>
      </c>
    </row>
    <row r="173" spans="1:11">
      <c r="A173" s="13">
        <f>Master!B179</f>
        <v>0</v>
      </c>
      <c r="B173" s="16" t="str">
        <f t="shared" si="2"/>
        <v/>
      </c>
      <c r="C173" s="15" t="str">
        <f>IF(ISNA(VLOOKUP(MID($A173,1,1),Kanji_2_HanViet!$A:$C,2,FALSE)),"",VLOOKUP(MID($A173,1,1),Kanji_2_HanViet!$A:$C,2,FALSE))</f>
        <v/>
      </c>
      <c r="D173" s="15" t="str">
        <f>IF(ISNA(VLOOKUP(MID($A173,2,1),Kanji_2_HanViet!$A:$C,2,FALSE)),"",VLOOKUP(MID($A173,2,1),Kanji_2_HanViet!$A:$C,2,FALSE))</f>
        <v/>
      </c>
      <c r="E173" s="15" t="str">
        <f>IF(ISNA(VLOOKUP(MID($A173,3,1),Kanji_2_HanViet!$A:$C,2,FALSE)),"",VLOOKUP(MID($A173,3,1),Kanji_2_HanViet!$A:$C,2,FALSE))</f>
        <v/>
      </c>
      <c r="F173" s="15" t="str">
        <f>IF(ISNA(VLOOKUP(MID($A173,4,1),Kanji_2_HanViet!$A:$C,2,FALSE)),"",VLOOKUP(MID($A173,4,1),Kanji_2_HanViet!$A:$C,2,FALSE))</f>
        <v/>
      </c>
      <c r="G173" s="15" t="str">
        <f>IF(ISNA(VLOOKUP(MID($A173,5,1),Kanji_2_HanViet!$A:$C,2,FALSE)),"",VLOOKUP(MID($A173,5,1),Kanji_2_HanViet!$A:$C,2,FALSE))</f>
        <v/>
      </c>
      <c r="H173" s="15" t="str">
        <f>IF(ISNA(VLOOKUP(MID($A173,6,1),Kanji_2_HanViet!$A:$C,2,FALSE)),"",VLOOKUP(MID($A173,6,1),Kanji_2_HanViet!$A:$C,2,FALSE))</f>
        <v/>
      </c>
      <c r="I173" s="15" t="str">
        <f>IF(ISNA(VLOOKUP(MID($A173,7,1),Kanji_2_HanViet!$A:$C,2,FALSE)),"",VLOOKUP(MID($A173,7,1),Kanji_2_HanViet!$A:$C,2,FALSE))</f>
        <v/>
      </c>
      <c r="J173" s="15" t="str">
        <f>IF(ISNA(VLOOKUP(MID($A173,8,1),Kanji_2_HanViet!$A:$C,2,FALSE)),"",VLOOKUP(MID($A173,8,1),Kanji_2_HanViet!$A:$C,2,FALSE))</f>
        <v/>
      </c>
      <c r="K173" s="15" t="str">
        <f>IF(ISNA(VLOOKUP(MID($A173,9,1),Kanji_2_HanViet!$A:$C,2,FALSE)),"",VLOOKUP(MID($A173,9,1),Kanji_2_HanViet!$A:$C,2,FALSE))</f>
        <v/>
      </c>
    </row>
    <row r="174" spans="1:11">
      <c r="A174" s="13">
        <f>Master!B180</f>
        <v>0</v>
      </c>
      <c r="B174" s="16" t="str">
        <f t="shared" si="2"/>
        <v/>
      </c>
      <c r="C174" s="15" t="str">
        <f>IF(ISNA(VLOOKUP(MID($A174,1,1),Kanji_2_HanViet!$A:$C,2,FALSE)),"",VLOOKUP(MID($A174,1,1),Kanji_2_HanViet!$A:$C,2,FALSE))</f>
        <v/>
      </c>
      <c r="D174" s="15" t="str">
        <f>IF(ISNA(VLOOKUP(MID($A174,2,1),Kanji_2_HanViet!$A:$C,2,FALSE)),"",VLOOKUP(MID($A174,2,1),Kanji_2_HanViet!$A:$C,2,FALSE))</f>
        <v/>
      </c>
      <c r="E174" s="15" t="str">
        <f>IF(ISNA(VLOOKUP(MID($A174,3,1),Kanji_2_HanViet!$A:$C,2,FALSE)),"",VLOOKUP(MID($A174,3,1),Kanji_2_HanViet!$A:$C,2,FALSE))</f>
        <v/>
      </c>
      <c r="F174" s="15" t="str">
        <f>IF(ISNA(VLOOKUP(MID($A174,4,1),Kanji_2_HanViet!$A:$C,2,FALSE)),"",VLOOKUP(MID($A174,4,1),Kanji_2_HanViet!$A:$C,2,FALSE))</f>
        <v/>
      </c>
      <c r="G174" s="15" t="str">
        <f>IF(ISNA(VLOOKUP(MID($A174,5,1),Kanji_2_HanViet!$A:$C,2,FALSE)),"",VLOOKUP(MID($A174,5,1),Kanji_2_HanViet!$A:$C,2,FALSE))</f>
        <v/>
      </c>
      <c r="H174" s="15" t="str">
        <f>IF(ISNA(VLOOKUP(MID($A174,6,1),Kanji_2_HanViet!$A:$C,2,FALSE)),"",VLOOKUP(MID($A174,6,1),Kanji_2_HanViet!$A:$C,2,FALSE))</f>
        <v/>
      </c>
      <c r="I174" s="15" t="str">
        <f>IF(ISNA(VLOOKUP(MID($A174,7,1),Kanji_2_HanViet!$A:$C,2,FALSE)),"",VLOOKUP(MID($A174,7,1),Kanji_2_HanViet!$A:$C,2,FALSE))</f>
        <v/>
      </c>
      <c r="J174" s="15" t="str">
        <f>IF(ISNA(VLOOKUP(MID($A174,8,1),Kanji_2_HanViet!$A:$C,2,FALSE)),"",VLOOKUP(MID($A174,8,1),Kanji_2_HanViet!$A:$C,2,FALSE))</f>
        <v/>
      </c>
      <c r="K174" s="15" t="str">
        <f>IF(ISNA(VLOOKUP(MID($A174,9,1),Kanji_2_HanViet!$A:$C,2,FALSE)),"",VLOOKUP(MID($A174,9,1),Kanji_2_HanViet!$A:$C,2,FALSE))</f>
        <v/>
      </c>
    </row>
    <row r="175" spans="1:11">
      <c r="A175" s="13">
        <f>Master!B181</f>
        <v>0</v>
      </c>
      <c r="B175" s="16" t="str">
        <f t="shared" si="2"/>
        <v/>
      </c>
      <c r="C175" s="15" t="str">
        <f>IF(ISNA(VLOOKUP(MID($A175,1,1),Kanji_2_HanViet!$A:$C,2,FALSE)),"",VLOOKUP(MID($A175,1,1),Kanji_2_HanViet!$A:$C,2,FALSE))</f>
        <v/>
      </c>
      <c r="D175" s="15" t="str">
        <f>IF(ISNA(VLOOKUP(MID($A175,2,1),Kanji_2_HanViet!$A:$C,2,FALSE)),"",VLOOKUP(MID($A175,2,1),Kanji_2_HanViet!$A:$C,2,FALSE))</f>
        <v/>
      </c>
      <c r="E175" s="15" t="str">
        <f>IF(ISNA(VLOOKUP(MID($A175,3,1),Kanji_2_HanViet!$A:$C,2,FALSE)),"",VLOOKUP(MID($A175,3,1),Kanji_2_HanViet!$A:$C,2,FALSE))</f>
        <v/>
      </c>
      <c r="F175" s="15" t="str">
        <f>IF(ISNA(VLOOKUP(MID($A175,4,1),Kanji_2_HanViet!$A:$C,2,FALSE)),"",VLOOKUP(MID($A175,4,1),Kanji_2_HanViet!$A:$C,2,FALSE))</f>
        <v/>
      </c>
      <c r="G175" s="15" t="str">
        <f>IF(ISNA(VLOOKUP(MID($A175,5,1),Kanji_2_HanViet!$A:$C,2,FALSE)),"",VLOOKUP(MID($A175,5,1),Kanji_2_HanViet!$A:$C,2,FALSE))</f>
        <v/>
      </c>
      <c r="H175" s="15" t="str">
        <f>IF(ISNA(VLOOKUP(MID($A175,6,1),Kanji_2_HanViet!$A:$C,2,FALSE)),"",VLOOKUP(MID($A175,6,1),Kanji_2_HanViet!$A:$C,2,FALSE))</f>
        <v/>
      </c>
      <c r="I175" s="15" t="str">
        <f>IF(ISNA(VLOOKUP(MID($A175,7,1),Kanji_2_HanViet!$A:$C,2,FALSE)),"",VLOOKUP(MID($A175,7,1),Kanji_2_HanViet!$A:$C,2,FALSE))</f>
        <v/>
      </c>
      <c r="J175" s="15" t="str">
        <f>IF(ISNA(VLOOKUP(MID($A175,8,1),Kanji_2_HanViet!$A:$C,2,FALSE)),"",VLOOKUP(MID($A175,8,1),Kanji_2_HanViet!$A:$C,2,FALSE))</f>
        <v/>
      </c>
      <c r="K175" s="15" t="str">
        <f>IF(ISNA(VLOOKUP(MID($A175,9,1),Kanji_2_HanViet!$A:$C,2,FALSE)),"",VLOOKUP(MID($A175,9,1),Kanji_2_HanViet!$A:$C,2,FALSE))</f>
        <v/>
      </c>
    </row>
    <row r="176" spans="1:11">
      <c r="A176" s="13">
        <f>Master!B182</f>
        <v>0</v>
      </c>
      <c r="B176" s="16" t="str">
        <f t="shared" si="2"/>
        <v/>
      </c>
      <c r="C176" s="15" t="str">
        <f>IF(ISNA(VLOOKUP(MID($A176,1,1),Kanji_2_HanViet!$A:$C,2,FALSE)),"",VLOOKUP(MID($A176,1,1),Kanji_2_HanViet!$A:$C,2,FALSE))</f>
        <v/>
      </c>
      <c r="D176" s="15" t="str">
        <f>IF(ISNA(VLOOKUP(MID($A176,2,1),Kanji_2_HanViet!$A:$C,2,FALSE)),"",VLOOKUP(MID($A176,2,1),Kanji_2_HanViet!$A:$C,2,FALSE))</f>
        <v/>
      </c>
      <c r="E176" s="15" t="str">
        <f>IF(ISNA(VLOOKUP(MID($A176,3,1),Kanji_2_HanViet!$A:$C,2,FALSE)),"",VLOOKUP(MID($A176,3,1),Kanji_2_HanViet!$A:$C,2,FALSE))</f>
        <v/>
      </c>
      <c r="F176" s="15" t="str">
        <f>IF(ISNA(VLOOKUP(MID($A176,4,1),Kanji_2_HanViet!$A:$C,2,FALSE)),"",VLOOKUP(MID($A176,4,1),Kanji_2_HanViet!$A:$C,2,FALSE))</f>
        <v/>
      </c>
      <c r="G176" s="15" t="str">
        <f>IF(ISNA(VLOOKUP(MID($A176,5,1),Kanji_2_HanViet!$A:$C,2,FALSE)),"",VLOOKUP(MID($A176,5,1),Kanji_2_HanViet!$A:$C,2,FALSE))</f>
        <v/>
      </c>
      <c r="H176" s="15" t="str">
        <f>IF(ISNA(VLOOKUP(MID($A176,6,1),Kanji_2_HanViet!$A:$C,2,FALSE)),"",VLOOKUP(MID($A176,6,1),Kanji_2_HanViet!$A:$C,2,FALSE))</f>
        <v/>
      </c>
      <c r="I176" s="15" t="str">
        <f>IF(ISNA(VLOOKUP(MID($A176,7,1),Kanji_2_HanViet!$A:$C,2,FALSE)),"",VLOOKUP(MID($A176,7,1),Kanji_2_HanViet!$A:$C,2,FALSE))</f>
        <v/>
      </c>
      <c r="J176" s="15" t="str">
        <f>IF(ISNA(VLOOKUP(MID($A176,8,1),Kanji_2_HanViet!$A:$C,2,FALSE)),"",VLOOKUP(MID($A176,8,1),Kanji_2_HanViet!$A:$C,2,FALSE))</f>
        <v/>
      </c>
      <c r="K176" s="15" t="str">
        <f>IF(ISNA(VLOOKUP(MID($A176,9,1),Kanji_2_HanViet!$A:$C,2,FALSE)),"",VLOOKUP(MID($A176,9,1),Kanji_2_HanViet!$A:$C,2,FALSE))</f>
        <v/>
      </c>
    </row>
    <row r="177" spans="1:11">
      <c r="A177" s="13">
        <f>Master!B183</f>
        <v>0</v>
      </c>
      <c r="B177" s="16" t="str">
        <f t="shared" si="2"/>
        <v/>
      </c>
      <c r="C177" s="15" t="str">
        <f>IF(ISNA(VLOOKUP(MID($A177,1,1),Kanji_2_HanViet!$A:$C,2,FALSE)),"",VLOOKUP(MID($A177,1,1),Kanji_2_HanViet!$A:$C,2,FALSE))</f>
        <v/>
      </c>
      <c r="D177" s="15" t="str">
        <f>IF(ISNA(VLOOKUP(MID($A177,2,1),Kanji_2_HanViet!$A:$C,2,FALSE)),"",VLOOKUP(MID($A177,2,1),Kanji_2_HanViet!$A:$C,2,FALSE))</f>
        <v/>
      </c>
      <c r="E177" s="15" t="str">
        <f>IF(ISNA(VLOOKUP(MID($A177,3,1),Kanji_2_HanViet!$A:$C,2,FALSE)),"",VLOOKUP(MID($A177,3,1),Kanji_2_HanViet!$A:$C,2,FALSE))</f>
        <v/>
      </c>
      <c r="F177" s="15" t="str">
        <f>IF(ISNA(VLOOKUP(MID($A177,4,1),Kanji_2_HanViet!$A:$C,2,FALSE)),"",VLOOKUP(MID($A177,4,1),Kanji_2_HanViet!$A:$C,2,FALSE))</f>
        <v/>
      </c>
      <c r="G177" s="15" t="str">
        <f>IF(ISNA(VLOOKUP(MID($A177,5,1),Kanji_2_HanViet!$A:$C,2,FALSE)),"",VLOOKUP(MID($A177,5,1),Kanji_2_HanViet!$A:$C,2,FALSE))</f>
        <v/>
      </c>
      <c r="H177" s="15" t="str">
        <f>IF(ISNA(VLOOKUP(MID($A177,6,1),Kanji_2_HanViet!$A:$C,2,FALSE)),"",VLOOKUP(MID($A177,6,1),Kanji_2_HanViet!$A:$C,2,FALSE))</f>
        <v/>
      </c>
      <c r="I177" s="15" t="str">
        <f>IF(ISNA(VLOOKUP(MID($A177,7,1),Kanji_2_HanViet!$A:$C,2,FALSE)),"",VLOOKUP(MID($A177,7,1),Kanji_2_HanViet!$A:$C,2,FALSE))</f>
        <v/>
      </c>
      <c r="J177" s="15" t="str">
        <f>IF(ISNA(VLOOKUP(MID($A177,8,1),Kanji_2_HanViet!$A:$C,2,FALSE)),"",VLOOKUP(MID($A177,8,1),Kanji_2_HanViet!$A:$C,2,FALSE))</f>
        <v/>
      </c>
      <c r="K177" s="15" t="str">
        <f>IF(ISNA(VLOOKUP(MID($A177,9,1),Kanji_2_HanViet!$A:$C,2,FALSE)),"",VLOOKUP(MID($A177,9,1),Kanji_2_HanViet!$A:$C,2,FALSE))</f>
        <v/>
      </c>
    </row>
    <row r="178" spans="1:11">
      <c r="A178" s="13">
        <f>Master!B184</f>
        <v>0</v>
      </c>
      <c r="B178" s="16" t="str">
        <f t="shared" si="2"/>
        <v/>
      </c>
      <c r="C178" s="15" t="str">
        <f>IF(ISNA(VLOOKUP(MID($A178,1,1),Kanji_2_HanViet!$A:$C,2,FALSE)),"",VLOOKUP(MID($A178,1,1),Kanji_2_HanViet!$A:$C,2,FALSE))</f>
        <v/>
      </c>
      <c r="D178" s="15" t="str">
        <f>IF(ISNA(VLOOKUP(MID($A178,2,1),Kanji_2_HanViet!$A:$C,2,FALSE)),"",VLOOKUP(MID($A178,2,1),Kanji_2_HanViet!$A:$C,2,FALSE))</f>
        <v/>
      </c>
      <c r="E178" s="15" t="str">
        <f>IF(ISNA(VLOOKUP(MID($A178,3,1),Kanji_2_HanViet!$A:$C,2,FALSE)),"",VLOOKUP(MID($A178,3,1),Kanji_2_HanViet!$A:$C,2,FALSE))</f>
        <v/>
      </c>
      <c r="F178" s="15" t="str">
        <f>IF(ISNA(VLOOKUP(MID($A178,4,1),Kanji_2_HanViet!$A:$C,2,FALSE)),"",VLOOKUP(MID($A178,4,1),Kanji_2_HanViet!$A:$C,2,FALSE))</f>
        <v/>
      </c>
      <c r="G178" s="15" t="str">
        <f>IF(ISNA(VLOOKUP(MID($A178,5,1),Kanji_2_HanViet!$A:$C,2,FALSE)),"",VLOOKUP(MID($A178,5,1),Kanji_2_HanViet!$A:$C,2,FALSE))</f>
        <v/>
      </c>
      <c r="H178" s="15" t="str">
        <f>IF(ISNA(VLOOKUP(MID($A178,6,1),Kanji_2_HanViet!$A:$C,2,FALSE)),"",VLOOKUP(MID($A178,6,1),Kanji_2_HanViet!$A:$C,2,FALSE))</f>
        <v/>
      </c>
      <c r="I178" s="15" t="str">
        <f>IF(ISNA(VLOOKUP(MID($A178,7,1),Kanji_2_HanViet!$A:$C,2,FALSE)),"",VLOOKUP(MID($A178,7,1),Kanji_2_HanViet!$A:$C,2,FALSE))</f>
        <v/>
      </c>
      <c r="J178" s="15" t="str">
        <f>IF(ISNA(VLOOKUP(MID($A178,8,1),Kanji_2_HanViet!$A:$C,2,FALSE)),"",VLOOKUP(MID($A178,8,1),Kanji_2_HanViet!$A:$C,2,FALSE))</f>
        <v/>
      </c>
      <c r="K178" s="15" t="str">
        <f>IF(ISNA(VLOOKUP(MID($A178,9,1),Kanji_2_HanViet!$A:$C,2,FALSE)),"",VLOOKUP(MID($A178,9,1),Kanji_2_HanViet!$A:$C,2,FALSE))</f>
        <v/>
      </c>
    </row>
    <row r="179" spans="1:11">
      <c r="A179" s="13">
        <f>Master!B185</f>
        <v>0</v>
      </c>
      <c r="B179" s="16" t="str">
        <f t="shared" si="2"/>
        <v/>
      </c>
      <c r="C179" s="15" t="str">
        <f>IF(ISNA(VLOOKUP(MID($A179,1,1),Kanji_2_HanViet!$A:$C,2,FALSE)),"",VLOOKUP(MID($A179,1,1),Kanji_2_HanViet!$A:$C,2,FALSE))</f>
        <v/>
      </c>
      <c r="D179" s="15" t="str">
        <f>IF(ISNA(VLOOKUP(MID($A179,2,1),Kanji_2_HanViet!$A:$C,2,FALSE)),"",VLOOKUP(MID($A179,2,1),Kanji_2_HanViet!$A:$C,2,FALSE))</f>
        <v/>
      </c>
      <c r="E179" s="15" t="str">
        <f>IF(ISNA(VLOOKUP(MID($A179,3,1),Kanji_2_HanViet!$A:$C,2,FALSE)),"",VLOOKUP(MID($A179,3,1),Kanji_2_HanViet!$A:$C,2,FALSE))</f>
        <v/>
      </c>
      <c r="F179" s="15" t="str">
        <f>IF(ISNA(VLOOKUP(MID($A179,4,1),Kanji_2_HanViet!$A:$C,2,FALSE)),"",VLOOKUP(MID($A179,4,1),Kanji_2_HanViet!$A:$C,2,FALSE))</f>
        <v/>
      </c>
      <c r="G179" s="15" t="str">
        <f>IF(ISNA(VLOOKUP(MID($A179,5,1),Kanji_2_HanViet!$A:$C,2,FALSE)),"",VLOOKUP(MID($A179,5,1),Kanji_2_HanViet!$A:$C,2,FALSE))</f>
        <v/>
      </c>
      <c r="H179" s="15" t="str">
        <f>IF(ISNA(VLOOKUP(MID($A179,6,1),Kanji_2_HanViet!$A:$C,2,FALSE)),"",VLOOKUP(MID($A179,6,1),Kanji_2_HanViet!$A:$C,2,FALSE))</f>
        <v/>
      </c>
      <c r="I179" s="15" t="str">
        <f>IF(ISNA(VLOOKUP(MID($A179,7,1),Kanji_2_HanViet!$A:$C,2,FALSE)),"",VLOOKUP(MID($A179,7,1),Kanji_2_HanViet!$A:$C,2,FALSE))</f>
        <v/>
      </c>
      <c r="J179" s="15" t="str">
        <f>IF(ISNA(VLOOKUP(MID($A179,8,1),Kanji_2_HanViet!$A:$C,2,FALSE)),"",VLOOKUP(MID($A179,8,1),Kanji_2_HanViet!$A:$C,2,FALSE))</f>
        <v/>
      </c>
      <c r="K179" s="15" t="str">
        <f>IF(ISNA(VLOOKUP(MID($A179,9,1),Kanji_2_HanViet!$A:$C,2,FALSE)),"",VLOOKUP(MID($A179,9,1),Kanji_2_HanViet!$A:$C,2,FALSE))</f>
        <v/>
      </c>
    </row>
    <row r="180" spans="1:11">
      <c r="A180" s="13">
        <f>Master!B186</f>
        <v>0</v>
      </c>
      <c r="B180" s="16" t="str">
        <f t="shared" si="2"/>
        <v/>
      </c>
      <c r="C180" s="15" t="str">
        <f>IF(ISNA(VLOOKUP(MID($A180,1,1),Kanji_2_HanViet!$A:$C,2,FALSE)),"",VLOOKUP(MID($A180,1,1),Kanji_2_HanViet!$A:$C,2,FALSE))</f>
        <v/>
      </c>
      <c r="D180" s="15" t="str">
        <f>IF(ISNA(VLOOKUP(MID($A180,2,1),Kanji_2_HanViet!$A:$C,2,FALSE)),"",VLOOKUP(MID($A180,2,1),Kanji_2_HanViet!$A:$C,2,FALSE))</f>
        <v/>
      </c>
      <c r="E180" s="15" t="str">
        <f>IF(ISNA(VLOOKUP(MID($A180,3,1),Kanji_2_HanViet!$A:$C,2,FALSE)),"",VLOOKUP(MID($A180,3,1),Kanji_2_HanViet!$A:$C,2,FALSE))</f>
        <v/>
      </c>
      <c r="F180" s="15" t="str">
        <f>IF(ISNA(VLOOKUP(MID($A180,4,1),Kanji_2_HanViet!$A:$C,2,FALSE)),"",VLOOKUP(MID($A180,4,1),Kanji_2_HanViet!$A:$C,2,FALSE))</f>
        <v/>
      </c>
      <c r="G180" s="15" t="str">
        <f>IF(ISNA(VLOOKUP(MID($A180,5,1),Kanji_2_HanViet!$A:$C,2,FALSE)),"",VLOOKUP(MID($A180,5,1),Kanji_2_HanViet!$A:$C,2,FALSE))</f>
        <v/>
      </c>
      <c r="H180" s="15" t="str">
        <f>IF(ISNA(VLOOKUP(MID($A180,6,1),Kanji_2_HanViet!$A:$C,2,FALSE)),"",VLOOKUP(MID($A180,6,1),Kanji_2_HanViet!$A:$C,2,FALSE))</f>
        <v/>
      </c>
      <c r="I180" s="15" t="str">
        <f>IF(ISNA(VLOOKUP(MID($A180,7,1),Kanji_2_HanViet!$A:$C,2,FALSE)),"",VLOOKUP(MID($A180,7,1),Kanji_2_HanViet!$A:$C,2,FALSE))</f>
        <v/>
      </c>
      <c r="J180" s="15" t="str">
        <f>IF(ISNA(VLOOKUP(MID($A180,8,1),Kanji_2_HanViet!$A:$C,2,FALSE)),"",VLOOKUP(MID($A180,8,1),Kanji_2_HanViet!$A:$C,2,FALSE))</f>
        <v/>
      </c>
      <c r="K180" s="15" t="str">
        <f>IF(ISNA(VLOOKUP(MID($A180,9,1),Kanji_2_HanViet!$A:$C,2,FALSE)),"",VLOOKUP(MID($A180,9,1),Kanji_2_HanViet!$A:$C,2,FALSE))</f>
        <v/>
      </c>
    </row>
    <row r="181" spans="1:11">
      <c r="A181" s="13">
        <f>Master!B187</f>
        <v>0</v>
      </c>
      <c r="B181" s="16" t="str">
        <f t="shared" si="2"/>
        <v/>
      </c>
      <c r="C181" s="15" t="str">
        <f>IF(ISNA(VLOOKUP(MID($A181,1,1),Kanji_2_HanViet!$A:$C,2,FALSE)),"",VLOOKUP(MID($A181,1,1),Kanji_2_HanViet!$A:$C,2,FALSE))</f>
        <v/>
      </c>
      <c r="D181" s="15" t="str">
        <f>IF(ISNA(VLOOKUP(MID($A181,2,1),Kanji_2_HanViet!$A:$C,2,FALSE)),"",VLOOKUP(MID($A181,2,1),Kanji_2_HanViet!$A:$C,2,FALSE))</f>
        <v/>
      </c>
      <c r="E181" s="15" t="str">
        <f>IF(ISNA(VLOOKUP(MID($A181,3,1),Kanji_2_HanViet!$A:$C,2,FALSE)),"",VLOOKUP(MID($A181,3,1),Kanji_2_HanViet!$A:$C,2,FALSE))</f>
        <v/>
      </c>
      <c r="F181" s="15" t="str">
        <f>IF(ISNA(VLOOKUP(MID($A181,4,1),Kanji_2_HanViet!$A:$C,2,FALSE)),"",VLOOKUP(MID($A181,4,1),Kanji_2_HanViet!$A:$C,2,FALSE))</f>
        <v/>
      </c>
      <c r="G181" s="15" t="str">
        <f>IF(ISNA(VLOOKUP(MID($A181,5,1),Kanji_2_HanViet!$A:$C,2,FALSE)),"",VLOOKUP(MID($A181,5,1),Kanji_2_HanViet!$A:$C,2,FALSE))</f>
        <v/>
      </c>
      <c r="H181" s="15" t="str">
        <f>IF(ISNA(VLOOKUP(MID($A181,6,1),Kanji_2_HanViet!$A:$C,2,FALSE)),"",VLOOKUP(MID($A181,6,1),Kanji_2_HanViet!$A:$C,2,FALSE))</f>
        <v/>
      </c>
      <c r="I181" s="15" t="str">
        <f>IF(ISNA(VLOOKUP(MID($A181,7,1),Kanji_2_HanViet!$A:$C,2,FALSE)),"",VLOOKUP(MID($A181,7,1),Kanji_2_HanViet!$A:$C,2,FALSE))</f>
        <v/>
      </c>
      <c r="J181" s="15" t="str">
        <f>IF(ISNA(VLOOKUP(MID($A181,8,1),Kanji_2_HanViet!$A:$C,2,FALSE)),"",VLOOKUP(MID($A181,8,1),Kanji_2_HanViet!$A:$C,2,FALSE))</f>
        <v/>
      </c>
      <c r="K181" s="15" t="str">
        <f>IF(ISNA(VLOOKUP(MID($A181,9,1),Kanji_2_HanViet!$A:$C,2,FALSE)),"",VLOOKUP(MID($A181,9,1),Kanji_2_HanViet!$A:$C,2,FALSE))</f>
        <v/>
      </c>
    </row>
    <row r="182" spans="1:11">
      <c r="A182" s="13">
        <f>Master!B188</f>
        <v>0</v>
      </c>
      <c r="B182" s="16" t="str">
        <f t="shared" si="2"/>
        <v/>
      </c>
      <c r="C182" s="15" t="str">
        <f>IF(ISNA(VLOOKUP(MID($A182,1,1),Kanji_2_HanViet!$A:$C,2,FALSE)),"",VLOOKUP(MID($A182,1,1),Kanji_2_HanViet!$A:$C,2,FALSE))</f>
        <v/>
      </c>
      <c r="D182" s="15" t="str">
        <f>IF(ISNA(VLOOKUP(MID($A182,2,1),Kanji_2_HanViet!$A:$C,2,FALSE)),"",VLOOKUP(MID($A182,2,1),Kanji_2_HanViet!$A:$C,2,FALSE))</f>
        <v/>
      </c>
      <c r="E182" s="15" t="str">
        <f>IF(ISNA(VLOOKUP(MID($A182,3,1),Kanji_2_HanViet!$A:$C,2,FALSE)),"",VLOOKUP(MID($A182,3,1),Kanji_2_HanViet!$A:$C,2,FALSE))</f>
        <v/>
      </c>
      <c r="F182" s="15" t="str">
        <f>IF(ISNA(VLOOKUP(MID($A182,4,1),Kanji_2_HanViet!$A:$C,2,FALSE)),"",VLOOKUP(MID($A182,4,1),Kanji_2_HanViet!$A:$C,2,FALSE))</f>
        <v/>
      </c>
      <c r="G182" s="15" t="str">
        <f>IF(ISNA(VLOOKUP(MID($A182,5,1),Kanji_2_HanViet!$A:$C,2,FALSE)),"",VLOOKUP(MID($A182,5,1),Kanji_2_HanViet!$A:$C,2,FALSE))</f>
        <v/>
      </c>
      <c r="H182" s="15" t="str">
        <f>IF(ISNA(VLOOKUP(MID($A182,6,1),Kanji_2_HanViet!$A:$C,2,FALSE)),"",VLOOKUP(MID($A182,6,1),Kanji_2_HanViet!$A:$C,2,FALSE))</f>
        <v/>
      </c>
      <c r="I182" s="15" t="str">
        <f>IF(ISNA(VLOOKUP(MID($A182,7,1),Kanji_2_HanViet!$A:$C,2,FALSE)),"",VLOOKUP(MID($A182,7,1),Kanji_2_HanViet!$A:$C,2,FALSE))</f>
        <v/>
      </c>
      <c r="J182" s="15" t="str">
        <f>IF(ISNA(VLOOKUP(MID($A182,8,1),Kanji_2_HanViet!$A:$C,2,FALSE)),"",VLOOKUP(MID($A182,8,1),Kanji_2_HanViet!$A:$C,2,FALSE))</f>
        <v/>
      </c>
      <c r="K182" s="15" t="str">
        <f>IF(ISNA(VLOOKUP(MID($A182,9,1),Kanji_2_HanViet!$A:$C,2,FALSE)),"",VLOOKUP(MID($A182,9,1),Kanji_2_HanViet!$A:$C,2,FALSE))</f>
        <v/>
      </c>
    </row>
    <row r="183" spans="1:11">
      <c r="A183" s="13">
        <f>Master!B189</f>
        <v>0</v>
      </c>
      <c r="B183" s="16" t="str">
        <f t="shared" si="2"/>
        <v/>
      </c>
      <c r="C183" s="15" t="str">
        <f>IF(ISNA(VLOOKUP(MID($A183,1,1),Kanji_2_HanViet!$A:$C,2,FALSE)),"",VLOOKUP(MID($A183,1,1),Kanji_2_HanViet!$A:$C,2,FALSE))</f>
        <v/>
      </c>
      <c r="D183" s="15" t="str">
        <f>IF(ISNA(VLOOKUP(MID($A183,2,1),Kanji_2_HanViet!$A:$C,2,FALSE)),"",VLOOKUP(MID($A183,2,1),Kanji_2_HanViet!$A:$C,2,FALSE))</f>
        <v/>
      </c>
      <c r="E183" s="15" t="str">
        <f>IF(ISNA(VLOOKUP(MID($A183,3,1),Kanji_2_HanViet!$A:$C,2,FALSE)),"",VLOOKUP(MID($A183,3,1),Kanji_2_HanViet!$A:$C,2,FALSE))</f>
        <v/>
      </c>
      <c r="F183" s="15" t="str">
        <f>IF(ISNA(VLOOKUP(MID($A183,4,1),Kanji_2_HanViet!$A:$C,2,FALSE)),"",VLOOKUP(MID($A183,4,1),Kanji_2_HanViet!$A:$C,2,FALSE))</f>
        <v/>
      </c>
      <c r="G183" s="15" t="str">
        <f>IF(ISNA(VLOOKUP(MID($A183,5,1),Kanji_2_HanViet!$A:$C,2,FALSE)),"",VLOOKUP(MID($A183,5,1),Kanji_2_HanViet!$A:$C,2,FALSE))</f>
        <v/>
      </c>
      <c r="H183" s="15" t="str">
        <f>IF(ISNA(VLOOKUP(MID($A183,6,1),Kanji_2_HanViet!$A:$C,2,FALSE)),"",VLOOKUP(MID($A183,6,1),Kanji_2_HanViet!$A:$C,2,FALSE))</f>
        <v/>
      </c>
      <c r="I183" s="15" t="str">
        <f>IF(ISNA(VLOOKUP(MID($A183,7,1),Kanji_2_HanViet!$A:$C,2,FALSE)),"",VLOOKUP(MID($A183,7,1),Kanji_2_HanViet!$A:$C,2,FALSE))</f>
        <v/>
      </c>
      <c r="J183" s="15" t="str">
        <f>IF(ISNA(VLOOKUP(MID($A183,8,1),Kanji_2_HanViet!$A:$C,2,FALSE)),"",VLOOKUP(MID($A183,8,1),Kanji_2_HanViet!$A:$C,2,FALSE))</f>
        <v/>
      </c>
      <c r="K183" s="15" t="str">
        <f>IF(ISNA(VLOOKUP(MID($A183,9,1),Kanji_2_HanViet!$A:$C,2,FALSE)),"",VLOOKUP(MID($A183,9,1),Kanji_2_HanViet!$A:$C,2,FALSE))</f>
        <v/>
      </c>
    </row>
    <row r="184" spans="1:11">
      <c r="A184" s="13">
        <f>Master!B190</f>
        <v>0</v>
      </c>
      <c r="B184" s="16" t="str">
        <f t="shared" si="2"/>
        <v/>
      </c>
      <c r="C184" s="15" t="str">
        <f>IF(ISNA(VLOOKUP(MID($A184,1,1),Kanji_2_HanViet!$A:$C,2,FALSE)),"",VLOOKUP(MID($A184,1,1),Kanji_2_HanViet!$A:$C,2,FALSE))</f>
        <v/>
      </c>
      <c r="D184" s="15" t="str">
        <f>IF(ISNA(VLOOKUP(MID($A184,2,1),Kanji_2_HanViet!$A:$C,2,FALSE)),"",VLOOKUP(MID($A184,2,1),Kanji_2_HanViet!$A:$C,2,FALSE))</f>
        <v/>
      </c>
      <c r="E184" s="15" t="str">
        <f>IF(ISNA(VLOOKUP(MID($A184,3,1),Kanji_2_HanViet!$A:$C,2,FALSE)),"",VLOOKUP(MID($A184,3,1),Kanji_2_HanViet!$A:$C,2,FALSE))</f>
        <v/>
      </c>
      <c r="F184" s="15" t="str">
        <f>IF(ISNA(VLOOKUP(MID($A184,4,1),Kanji_2_HanViet!$A:$C,2,FALSE)),"",VLOOKUP(MID($A184,4,1),Kanji_2_HanViet!$A:$C,2,FALSE))</f>
        <v/>
      </c>
      <c r="G184" s="15" t="str">
        <f>IF(ISNA(VLOOKUP(MID($A184,5,1),Kanji_2_HanViet!$A:$C,2,FALSE)),"",VLOOKUP(MID($A184,5,1),Kanji_2_HanViet!$A:$C,2,FALSE))</f>
        <v/>
      </c>
      <c r="H184" s="15" t="str">
        <f>IF(ISNA(VLOOKUP(MID($A184,6,1),Kanji_2_HanViet!$A:$C,2,FALSE)),"",VLOOKUP(MID($A184,6,1),Kanji_2_HanViet!$A:$C,2,FALSE))</f>
        <v/>
      </c>
      <c r="I184" s="15" t="str">
        <f>IF(ISNA(VLOOKUP(MID($A184,7,1),Kanji_2_HanViet!$A:$C,2,FALSE)),"",VLOOKUP(MID($A184,7,1),Kanji_2_HanViet!$A:$C,2,FALSE))</f>
        <v/>
      </c>
      <c r="J184" s="15" t="str">
        <f>IF(ISNA(VLOOKUP(MID($A184,8,1),Kanji_2_HanViet!$A:$C,2,FALSE)),"",VLOOKUP(MID($A184,8,1),Kanji_2_HanViet!$A:$C,2,FALSE))</f>
        <v/>
      </c>
      <c r="K184" s="15" t="str">
        <f>IF(ISNA(VLOOKUP(MID($A184,9,1),Kanji_2_HanViet!$A:$C,2,FALSE)),"",VLOOKUP(MID($A184,9,1),Kanji_2_HanViet!$A:$C,2,FALSE))</f>
        <v/>
      </c>
    </row>
    <row r="185" spans="1:11">
      <c r="A185" s="13">
        <f>Master!B191</f>
        <v>0</v>
      </c>
      <c r="B185" s="16" t="str">
        <f t="shared" si="2"/>
        <v/>
      </c>
      <c r="C185" s="15" t="str">
        <f>IF(ISNA(VLOOKUP(MID($A185,1,1),Kanji_2_HanViet!$A:$C,2,FALSE)),"",VLOOKUP(MID($A185,1,1),Kanji_2_HanViet!$A:$C,2,FALSE))</f>
        <v/>
      </c>
      <c r="D185" s="15" t="str">
        <f>IF(ISNA(VLOOKUP(MID($A185,2,1),Kanji_2_HanViet!$A:$C,2,FALSE)),"",VLOOKUP(MID($A185,2,1),Kanji_2_HanViet!$A:$C,2,FALSE))</f>
        <v/>
      </c>
      <c r="E185" s="15" t="str">
        <f>IF(ISNA(VLOOKUP(MID($A185,3,1),Kanji_2_HanViet!$A:$C,2,FALSE)),"",VLOOKUP(MID($A185,3,1),Kanji_2_HanViet!$A:$C,2,FALSE))</f>
        <v/>
      </c>
      <c r="F185" s="15" t="str">
        <f>IF(ISNA(VLOOKUP(MID($A185,4,1),Kanji_2_HanViet!$A:$C,2,FALSE)),"",VLOOKUP(MID($A185,4,1),Kanji_2_HanViet!$A:$C,2,FALSE))</f>
        <v/>
      </c>
      <c r="G185" s="15" t="str">
        <f>IF(ISNA(VLOOKUP(MID($A185,5,1),Kanji_2_HanViet!$A:$C,2,FALSE)),"",VLOOKUP(MID($A185,5,1),Kanji_2_HanViet!$A:$C,2,FALSE))</f>
        <v/>
      </c>
      <c r="H185" s="15" t="str">
        <f>IF(ISNA(VLOOKUP(MID($A185,6,1),Kanji_2_HanViet!$A:$C,2,FALSE)),"",VLOOKUP(MID($A185,6,1),Kanji_2_HanViet!$A:$C,2,FALSE))</f>
        <v/>
      </c>
      <c r="I185" s="15" t="str">
        <f>IF(ISNA(VLOOKUP(MID($A185,7,1),Kanji_2_HanViet!$A:$C,2,FALSE)),"",VLOOKUP(MID($A185,7,1),Kanji_2_HanViet!$A:$C,2,FALSE))</f>
        <v/>
      </c>
      <c r="J185" s="15" t="str">
        <f>IF(ISNA(VLOOKUP(MID($A185,8,1),Kanji_2_HanViet!$A:$C,2,FALSE)),"",VLOOKUP(MID($A185,8,1),Kanji_2_HanViet!$A:$C,2,FALSE))</f>
        <v/>
      </c>
      <c r="K185" s="15" t="str">
        <f>IF(ISNA(VLOOKUP(MID($A185,9,1),Kanji_2_HanViet!$A:$C,2,FALSE)),"",VLOOKUP(MID($A185,9,1),Kanji_2_HanViet!$A:$C,2,FALSE))</f>
        <v/>
      </c>
    </row>
    <row r="186" spans="1:11">
      <c r="A186" s="13">
        <f>Master!B192</f>
        <v>0</v>
      </c>
      <c r="B186" s="16" t="str">
        <f t="shared" si="2"/>
        <v/>
      </c>
      <c r="C186" s="15" t="str">
        <f>IF(ISNA(VLOOKUP(MID($A186,1,1),Kanji_2_HanViet!$A:$C,2,FALSE)),"",VLOOKUP(MID($A186,1,1),Kanji_2_HanViet!$A:$C,2,FALSE))</f>
        <v/>
      </c>
      <c r="D186" s="15" t="str">
        <f>IF(ISNA(VLOOKUP(MID($A186,2,1),Kanji_2_HanViet!$A:$C,2,FALSE)),"",VLOOKUP(MID($A186,2,1),Kanji_2_HanViet!$A:$C,2,FALSE))</f>
        <v/>
      </c>
      <c r="E186" s="15" t="str">
        <f>IF(ISNA(VLOOKUP(MID($A186,3,1),Kanji_2_HanViet!$A:$C,2,FALSE)),"",VLOOKUP(MID($A186,3,1),Kanji_2_HanViet!$A:$C,2,FALSE))</f>
        <v/>
      </c>
      <c r="F186" s="15" t="str">
        <f>IF(ISNA(VLOOKUP(MID($A186,4,1),Kanji_2_HanViet!$A:$C,2,FALSE)),"",VLOOKUP(MID($A186,4,1),Kanji_2_HanViet!$A:$C,2,FALSE))</f>
        <v/>
      </c>
      <c r="G186" s="15" t="str">
        <f>IF(ISNA(VLOOKUP(MID($A186,5,1),Kanji_2_HanViet!$A:$C,2,FALSE)),"",VLOOKUP(MID($A186,5,1),Kanji_2_HanViet!$A:$C,2,FALSE))</f>
        <v/>
      </c>
      <c r="H186" s="15" t="str">
        <f>IF(ISNA(VLOOKUP(MID($A186,6,1),Kanji_2_HanViet!$A:$C,2,FALSE)),"",VLOOKUP(MID($A186,6,1),Kanji_2_HanViet!$A:$C,2,FALSE))</f>
        <v/>
      </c>
      <c r="I186" s="15" t="str">
        <f>IF(ISNA(VLOOKUP(MID($A186,7,1),Kanji_2_HanViet!$A:$C,2,FALSE)),"",VLOOKUP(MID($A186,7,1),Kanji_2_HanViet!$A:$C,2,FALSE))</f>
        <v/>
      </c>
      <c r="J186" s="15" t="str">
        <f>IF(ISNA(VLOOKUP(MID($A186,8,1),Kanji_2_HanViet!$A:$C,2,FALSE)),"",VLOOKUP(MID($A186,8,1),Kanji_2_HanViet!$A:$C,2,FALSE))</f>
        <v/>
      </c>
      <c r="K186" s="15" t="str">
        <f>IF(ISNA(VLOOKUP(MID($A186,9,1),Kanji_2_HanViet!$A:$C,2,FALSE)),"",VLOOKUP(MID($A186,9,1),Kanji_2_HanViet!$A:$C,2,FALSE))</f>
        <v/>
      </c>
    </row>
    <row r="187" spans="1:11">
      <c r="A187" s="13">
        <f>Master!B193</f>
        <v>0</v>
      </c>
      <c r="B187" s="16" t="str">
        <f t="shared" si="2"/>
        <v/>
      </c>
      <c r="C187" s="15" t="str">
        <f>IF(ISNA(VLOOKUP(MID($A187,1,1),Kanji_2_HanViet!$A:$C,2,FALSE)),"",VLOOKUP(MID($A187,1,1),Kanji_2_HanViet!$A:$C,2,FALSE))</f>
        <v/>
      </c>
      <c r="D187" s="15" t="str">
        <f>IF(ISNA(VLOOKUP(MID($A187,2,1),Kanji_2_HanViet!$A:$C,2,FALSE)),"",VLOOKUP(MID($A187,2,1),Kanji_2_HanViet!$A:$C,2,FALSE))</f>
        <v/>
      </c>
      <c r="E187" s="15" t="str">
        <f>IF(ISNA(VLOOKUP(MID($A187,3,1),Kanji_2_HanViet!$A:$C,2,FALSE)),"",VLOOKUP(MID($A187,3,1),Kanji_2_HanViet!$A:$C,2,FALSE))</f>
        <v/>
      </c>
      <c r="F187" s="15" t="str">
        <f>IF(ISNA(VLOOKUP(MID($A187,4,1),Kanji_2_HanViet!$A:$C,2,FALSE)),"",VLOOKUP(MID($A187,4,1),Kanji_2_HanViet!$A:$C,2,FALSE))</f>
        <v/>
      </c>
      <c r="G187" s="15" t="str">
        <f>IF(ISNA(VLOOKUP(MID($A187,5,1),Kanji_2_HanViet!$A:$C,2,FALSE)),"",VLOOKUP(MID($A187,5,1),Kanji_2_HanViet!$A:$C,2,FALSE))</f>
        <v/>
      </c>
      <c r="H187" s="15" t="str">
        <f>IF(ISNA(VLOOKUP(MID($A187,6,1),Kanji_2_HanViet!$A:$C,2,FALSE)),"",VLOOKUP(MID($A187,6,1),Kanji_2_HanViet!$A:$C,2,FALSE))</f>
        <v/>
      </c>
      <c r="I187" s="15" t="str">
        <f>IF(ISNA(VLOOKUP(MID($A187,7,1),Kanji_2_HanViet!$A:$C,2,FALSE)),"",VLOOKUP(MID($A187,7,1),Kanji_2_HanViet!$A:$C,2,FALSE))</f>
        <v/>
      </c>
      <c r="J187" s="15" t="str">
        <f>IF(ISNA(VLOOKUP(MID($A187,8,1),Kanji_2_HanViet!$A:$C,2,FALSE)),"",VLOOKUP(MID($A187,8,1),Kanji_2_HanViet!$A:$C,2,FALSE))</f>
        <v/>
      </c>
      <c r="K187" s="15" t="str">
        <f>IF(ISNA(VLOOKUP(MID($A187,9,1),Kanji_2_HanViet!$A:$C,2,FALSE)),"",VLOOKUP(MID($A187,9,1),Kanji_2_HanViet!$A:$C,2,FALSE))</f>
        <v/>
      </c>
    </row>
    <row r="188" spans="1:11">
      <c r="A188" s="13">
        <f>Master!B194</f>
        <v>0</v>
      </c>
      <c r="B188" s="16" t="str">
        <f t="shared" si="2"/>
        <v/>
      </c>
      <c r="C188" s="15" t="str">
        <f>IF(ISNA(VLOOKUP(MID($A188,1,1),Kanji_2_HanViet!$A:$C,2,FALSE)),"",VLOOKUP(MID($A188,1,1),Kanji_2_HanViet!$A:$C,2,FALSE))</f>
        <v/>
      </c>
      <c r="D188" s="15" t="str">
        <f>IF(ISNA(VLOOKUP(MID($A188,2,1),Kanji_2_HanViet!$A:$C,2,FALSE)),"",VLOOKUP(MID($A188,2,1),Kanji_2_HanViet!$A:$C,2,FALSE))</f>
        <v/>
      </c>
      <c r="E188" s="15" t="str">
        <f>IF(ISNA(VLOOKUP(MID($A188,3,1),Kanji_2_HanViet!$A:$C,2,FALSE)),"",VLOOKUP(MID($A188,3,1),Kanji_2_HanViet!$A:$C,2,FALSE))</f>
        <v/>
      </c>
      <c r="F188" s="15" t="str">
        <f>IF(ISNA(VLOOKUP(MID($A188,4,1),Kanji_2_HanViet!$A:$C,2,FALSE)),"",VLOOKUP(MID($A188,4,1),Kanji_2_HanViet!$A:$C,2,FALSE))</f>
        <v/>
      </c>
      <c r="G188" s="15" t="str">
        <f>IF(ISNA(VLOOKUP(MID($A188,5,1),Kanji_2_HanViet!$A:$C,2,FALSE)),"",VLOOKUP(MID($A188,5,1),Kanji_2_HanViet!$A:$C,2,FALSE))</f>
        <v/>
      </c>
      <c r="H188" s="15" t="str">
        <f>IF(ISNA(VLOOKUP(MID($A188,6,1),Kanji_2_HanViet!$A:$C,2,FALSE)),"",VLOOKUP(MID($A188,6,1),Kanji_2_HanViet!$A:$C,2,FALSE))</f>
        <v/>
      </c>
      <c r="I188" s="15" t="str">
        <f>IF(ISNA(VLOOKUP(MID($A188,7,1),Kanji_2_HanViet!$A:$C,2,FALSE)),"",VLOOKUP(MID($A188,7,1),Kanji_2_HanViet!$A:$C,2,FALSE))</f>
        <v/>
      </c>
      <c r="J188" s="15" t="str">
        <f>IF(ISNA(VLOOKUP(MID($A188,8,1),Kanji_2_HanViet!$A:$C,2,FALSE)),"",VLOOKUP(MID($A188,8,1),Kanji_2_HanViet!$A:$C,2,FALSE))</f>
        <v/>
      </c>
      <c r="K188" s="15" t="str">
        <f>IF(ISNA(VLOOKUP(MID($A188,9,1),Kanji_2_HanViet!$A:$C,2,FALSE)),"",VLOOKUP(MID($A188,9,1),Kanji_2_HanViet!$A:$C,2,FALSE))</f>
        <v/>
      </c>
    </row>
    <row r="189" spans="1:11">
      <c r="A189" s="13">
        <f>Master!B195</f>
        <v>0</v>
      </c>
      <c r="B189" s="16" t="str">
        <f t="shared" si="2"/>
        <v/>
      </c>
      <c r="C189" s="15" t="str">
        <f>IF(ISNA(VLOOKUP(MID($A189,1,1),Kanji_2_HanViet!$A:$C,2,FALSE)),"",VLOOKUP(MID($A189,1,1),Kanji_2_HanViet!$A:$C,2,FALSE))</f>
        <v/>
      </c>
      <c r="D189" s="15" t="str">
        <f>IF(ISNA(VLOOKUP(MID($A189,2,1),Kanji_2_HanViet!$A:$C,2,FALSE)),"",VLOOKUP(MID($A189,2,1),Kanji_2_HanViet!$A:$C,2,FALSE))</f>
        <v/>
      </c>
      <c r="E189" s="15" t="str">
        <f>IF(ISNA(VLOOKUP(MID($A189,3,1),Kanji_2_HanViet!$A:$C,2,FALSE)),"",VLOOKUP(MID($A189,3,1),Kanji_2_HanViet!$A:$C,2,FALSE))</f>
        <v/>
      </c>
      <c r="F189" s="15" t="str">
        <f>IF(ISNA(VLOOKUP(MID($A189,4,1),Kanji_2_HanViet!$A:$C,2,FALSE)),"",VLOOKUP(MID($A189,4,1),Kanji_2_HanViet!$A:$C,2,FALSE))</f>
        <v/>
      </c>
      <c r="G189" s="15" t="str">
        <f>IF(ISNA(VLOOKUP(MID($A189,5,1),Kanji_2_HanViet!$A:$C,2,FALSE)),"",VLOOKUP(MID($A189,5,1),Kanji_2_HanViet!$A:$C,2,FALSE))</f>
        <v/>
      </c>
      <c r="H189" s="15" t="str">
        <f>IF(ISNA(VLOOKUP(MID($A189,6,1),Kanji_2_HanViet!$A:$C,2,FALSE)),"",VLOOKUP(MID($A189,6,1),Kanji_2_HanViet!$A:$C,2,FALSE))</f>
        <v/>
      </c>
      <c r="I189" s="15" t="str">
        <f>IF(ISNA(VLOOKUP(MID($A189,7,1),Kanji_2_HanViet!$A:$C,2,FALSE)),"",VLOOKUP(MID($A189,7,1),Kanji_2_HanViet!$A:$C,2,FALSE))</f>
        <v/>
      </c>
      <c r="J189" s="15" t="str">
        <f>IF(ISNA(VLOOKUP(MID($A189,8,1),Kanji_2_HanViet!$A:$C,2,FALSE)),"",VLOOKUP(MID($A189,8,1),Kanji_2_HanViet!$A:$C,2,FALSE))</f>
        <v/>
      </c>
      <c r="K189" s="15" t="str">
        <f>IF(ISNA(VLOOKUP(MID($A189,9,1),Kanji_2_HanViet!$A:$C,2,FALSE)),"",VLOOKUP(MID($A189,9,1),Kanji_2_HanViet!$A:$C,2,FALSE))</f>
        <v/>
      </c>
    </row>
    <row r="190" spans="1:11">
      <c r="A190" s="13">
        <f>Master!B196</f>
        <v>0</v>
      </c>
      <c r="B190" s="16" t="str">
        <f t="shared" si="2"/>
        <v/>
      </c>
      <c r="C190" s="15" t="str">
        <f>IF(ISNA(VLOOKUP(MID($A190,1,1),Kanji_2_HanViet!$A:$C,2,FALSE)),"",VLOOKUP(MID($A190,1,1),Kanji_2_HanViet!$A:$C,2,FALSE))</f>
        <v/>
      </c>
      <c r="D190" s="15" t="str">
        <f>IF(ISNA(VLOOKUP(MID($A190,2,1),Kanji_2_HanViet!$A:$C,2,FALSE)),"",VLOOKUP(MID($A190,2,1),Kanji_2_HanViet!$A:$C,2,FALSE))</f>
        <v/>
      </c>
      <c r="E190" s="15" t="str">
        <f>IF(ISNA(VLOOKUP(MID($A190,3,1),Kanji_2_HanViet!$A:$C,2,FALSE)),"",VLOOKUP(MID($A190,3,1),Kanji_2_HanViet!$A:$C,2,FALSE))</f>
        <v/>
      </c>
      <c r="F190" s="15" t="str">
        <f>IF(ISNA(VLOOKUP(MID($A190,4,1),Kanji_2_HanViet!$A:$C,2,FALSE)),"",VLOOKUP(MID($A190,4,1),Kanji_2_HanViet!$A:$C,2,FALSE))</f>
        <v/>
      </c>
      <c r="G190" s="15" t="str">
        <f>IF(ISNA(VLOOKUP(MID($A190,5,1),Kanji_2_HanViet!$A:$C,2,FALSE)),"",VLOOKUP(MID($A190,5,1),Kanji_2_HanViet!$A:$C,2,FALSE))</f>
        <v/>
      </c>
      <c r="H190" s="15" t="str">
        <f>IF(ISNA(VLOOKUP(MID($A190,6,1),Kanji_2_HanViet!$A:$C,2,FALSE)),"",VLOOKUP(MID($A190,6,1),Kanji_2_HanViet!$A:$C,2,FALSE))</f>
        <v/>
      </c>
      <c r="I190" s="15" t="str">
        <f>IF(ISNA(VLOOKUP(MID($A190,7,1),Kanji_2_HanViet!$A:$C,2,FALSE)),"",VLOOKUP(MID($A190,7,1),Kanji_2_HanViet!$A:$C,2,FALSE))</f>
        <v/>
      </c>
      <c r="J190" s="15" t="str">
        <f>IF(ISNA(VLOOKUP(MID($A190,8,1),Kanji_2_HanViet!$A:$C,2,FALSE)),"",VLOOKUP(MID($A190,8,1),Kanji_2_HanViet!$A:$C,2,FALSE))</f>
        <v/>
      </c>
      <c r="K190" s="15" t="str">
        <f>IF(ISNA(VLOOKUP(MID($A190,9,1),Kanji_2_HanViet!$A:$C,2,FALSE)),"",VLOOKUP(MID($A190,9,1),Kanji_2_HanViet!$A:$C,2,FALSE))</f>
        <v/>
      </c>
    </row>
    <row r="191" spans="1:11">
      <c r="A191" s="13">
        <f>Master!B197</f>
        <v>0</v>
      </c>
      <c r="B191" s="16" t="str">
        <f t="shared" si="2"/>
        <v/>
      </c>
      <c r="C191" s="15" t="str">
        <f>IF(ISNA(VLOOKUP(MID($A191,1,1),Kanji_2_HanViet!$A:$C,2,FALSE)),"",VLOOKUP(MID($A191,1,1),Kanji_2_HanViet!$A:$C,2,FALSE))</f>
        <v/>
      </c>
      <c r="D191" s="15" t="str">
        <f>IF(ISNA(VLOOKUP(MID($A191,2,1),Kanji_2_HanViet!$A:$C,2,FALSE)),"",VLOOKUP(MID($A191,2,1),Kanji_2_HanViet!$A:$C,2,FALSE))</f>
        <v/>
      </c>
      <c r="E191" s="15" t="str">
        <f>IF(ISNA(VLOOKUP(MID($A191,3,1),Kanji_2_HanViet!$A:$C,2,FALSE)),"",VLOOKUP(MID($A191,3,1),Kanji_2_HanViet!$A:$C,2,FALSE))</f>
        <v/>
      </c>
      <c r="F191" s="15" t="str">
        <f>IF(ISNA(VLOOKUP(MID($A191,4,1),Kanji_2_HanViet!$A:$C,2,FALSE)),"",VLOOKUP(MID($A191,4,1),Kanji_2_HanViet!$A:$C,2,FALSE))</f>
        <v/>
      </c>
      <c r="G191" s="15" t="str">
        <f>IF(ISNA(VLOOKUP(MID($A191,5,1),Kanji_2_HanViet!$A:$C,2,FALSE)),"",VLOOKUP(MID($A191,5,1),Kanji_2_HanViet!$A:$C,2,FALSE))</f>
        <v/>
      </c>
      <c r="H191" s="15" t="str">
        <f>IF(ISNA(VLOOKUP(MID($A191,6,1),Kanji_2_HanViet!$A:$C,2,FALSE)),"",VLOOKUP(MID($A191,6,1),Kanji_2_HanViet!$A:$C,2,FALSE))</f>
        <v/>
      </c>
      <c r="I191" s="15" t="str">
        <f>IF(ISNA(VLOOKUP(MID($A191,7,1),Kanji_2_HanViet!$A:$C,2,FALSE)),"",VLOOKUP(MID($A191,7,1),Kanji_2_HanViet!$A:$C,2,FALSE))</f>
        <v/>
      </c>
      <c r="J191" s="15" t="str">
        <f>IF(ISNA(VLOOKUP(MID($A191,8,1),Kanji_2_HanViet!$A:$C,2,FALSE)),"",VLOOKUP(MID($A191,8,1),Kanji_2_HanViet!$A:$C,2,FALSE))</f>
        <v/>
      </c>
      <c r="K191" s="15" t="str">
        <f>IF(ISNA(VLOOKUP(MID($A191,9,1),Kanji_2_HanViet!$A:$C,2,FALSE)),"",VLOOKUP(MID($A191,9,1),Kanji_2_HanViet!$A:$C,2,FALSE))</f>
        <v/>
      </c>
    </row>
    <row r="192" spans="1:11">
      <c r="A192" s="13">
        <f>Master!B198</f>
        <v>0</v>
      </c>
      <c r="B192" s="16" t="str">
        <f t="shared" si="2"/>
        <v/>
      </c>
      <c r="C192" s="15" t="str">
        <f>IF(ISNA(VLOOKUP(MID($A192,1,1),Kanji_2_HanViet!$A:$C,2,FALSE)),"",VLOOKUP(MID($A192,1,1),Kanji_2_HanViet!$A:$C,2,FALSE))</f>
        <v/>
      </c>
      <c r="D192" s="15" t="str">
        <f>IF(ISNA(VLOOKUP(MID($A192,2,1),Kanji_2_HanViet!$A:$C,2,FALSE)),"",VLOOKUP(MID($A192,2,1),Kanji_2_HanViet!$A:$C,2,FALSE))</f>
        <v/>
      </c>
      <c r="E192" s="15" t="str">
        <f>IF(ISNA(VLOOKUP(MID($A192,3,1),Kanji_2_HanViet!$A:$C,2,FALSE)),"",VLOOKUP(MID($A192,3,1),Kanji_2_HanViet!$A:$C,2,FALSE))</f>
        <v/>
      </c>
      <c r="F192" s="15" t="str">
        <f>IF(ISNA(VLOOKUP(MID($A192,4,1),Kanji_2_HanViet!$A:$C,2,FALSE)),"",VLOOKUP(MID($A192,4,1),Kanji_2_HanViet!$A:$C,2,FALSE))</f>
        <v/>
      </c>
      <c r="G192" s="15" t="str">
        <f>IF(ISNA(VLOOKUP(MID($A192,5,1),Kanji_2_HanViet!$A:$C,2,FALSE)),"",VLOOKUP(MID($A192,5,1),Kanji_2_HanViet!$A:$C,2,FALSE))</f>
        <v/>
      </c>
      <c r="H192" s="15" t="str">
        <f>IF(ISNA(VLOOKUP(MID($A192,6,1),Kanji_2_HanViet!$A:$C,2,FALSE)),"",VLOOKUP(MID($A192,6,1),Kanji_2_HanViet!$A:$C,2,FALSE))</f>
        <v/>
      </c>
      <c r="I192" s="15" t="str">
        <f>IF(ISNA(VLOOKUP(MID($A192,7,1),Kanji_2_HanViet!$A:$C,2,FALSE)),"",VLOOKUP(MID($A192,7,1),Kanji_2_HanViet!$A:$C,2,FALSE))</f>
        <v/>
      </c>
      <c r="J192" s="15" t="str">
        <f>IF(ISNA(VLOOKUP(MID($A192,8,1),Kanji_2_HanViet!$A:$C,2,FALSE)),"",VLOOKUP(MID($A192,8,1),Kanji_2_HanViet!$A:$C,2,FALSE))</f>
        <v/>
      </c>
      <c r="K192" s="15" t="str">
        <f>IF(ISNA(VLOOKUP(MID($A192,9,1),Kanji_2_HanViet!$A:$C,2,FALSE)),"",VLOOKUP(MID($A192,9,1),Kanji_2_HanViet!$A:$C,2,FALSE))</f>
        <v/>
      </c>
    </row>
    <row r="193" spans="1:11">
      <c r="A193" s="13">
        <f>Master!B199</f>
        <v>0</v>
      </c>
      <c r="B193" s="16" t="str">
        <f t="shared" si="2"/>
        <v/>
      </c>
      <c r="C193" s="15" t="str">
        <f>IF(ISNA(VLOOKUP(MID($A193,1,1),Kanji_2_HanViet!$A:$C,2,FALSE)),"",VLOOKUP(MID($A193,1,1),Kanji_2_HanViet!$A:$C,2,FALSE))</f>
        <v/>
      </c>
      <c r="D193" s="15" t="str">
        <f>IF(ISNA(VLOOKUP(MID($A193,2,1),Kanji_2_HanViet!$A:$C,2,FALSE)),"",VLOOKUP(MID($A193,2,1),Kanji_2_HanViet!$A:$C,2,FALSE))</f>
        <v/>
      </c>
      <c r="E193" s="15" t="str">
        <f>IF(ISNA(VLOOKUP(MID($A193,3,1),Kanji_2_HanViet!$A:$C,2,FALSE)),"",VLOOKUP(MID($A193,3,1),Kanji_2_HanViet!$A:$C,2,FALSE))</f>
        <v/>
      </c>
      <c r="F193" s="15" t="str">
        <f>IF(ISNA(VLOOKUP(MID($A193,4,1),Kanji_2_HanViet!$A:$C,2,FALSE)),"",VLOOKUP(MID($A193,4,1),Kanji_2_HanViet!$A:$C,2,FALSE))</f>
        <v/>
      </c>
      <c r="G193" s="15" t="str">
        <f>IF(ISNA(VLOOKUP(MID($A193,5,1),Kanji_2_HanViet!$A:$C,2,FALSE)),"",VLOOKUP(MID($A193,5,1),Kanji_2_HanViet!$A:$C,2,FALSE))</f>
        <v/>
      </c>
      <c r="H193" s="15" t="str">
        <f>IF(ISNA(VLOOKUP(MID($A193,6,1),Kanji_2_HanViet!$A:$C,2,FALSE)),"",VLOOKUP(MID($A193,6,1),Kanji_2_HanViet!$A:$C,2,FALSE))</f>
        <v/>
      </c>
      <c r="I193" s="15" t="str">
        <f>IF(ISNA(VLOOKUP(MID($A193,7,1),Kanji_2_HanViet!$A:$C,2,FALSE)),"",VLOOKUP(MID($A193,7,1),Kanji_2_HanViet!$A:$C,2,FALSE))</f>
        <v/>
      </c>
      <c r="J193" s="15" t="str">
        <f>IF(ISNA(VLOOKUP(MID($A193,8,1),Kanji_2_HanViet!$A:$C,2,FALSE)),"",VLOOKUP(MID($A193,8,1),Kanji_2_HanViet!$A:$C,2,FALSE))</f>
        <v/>
      </c>
      <c r="K193" s="15" t="str">
        <f>IF(ISNA(VLOOKUP(MID($A193,9,1),Kanji_2_HanViet!$A:$C,2,FALSE)),"",VLOOKUP(MID($A193,9,1),Kanji_2_HanViet!$A:$C,2,FALSE))</f>
        <v/>
      </c>
    </row>
    <row r="194" spans="1:11">
      <c r="A194" s="13">
        <f>Master!B200</f>
        <v>0</v>
      </c>
      <c r="B194" s="16" t="str">
        <f t="shared" si="2"/>
        <v/>
      </c>
      <c r="C194" s="15" t="str">
        <f>IF(ISNA(VLOOKUP(MID($A194,1,1),Kanji_2_HanViet!$A:$C,2,FALSE)),"",VLOOKUP(MID($A194,1,1),Kanji_2_HanViet!$A:$C,2,FALSE))</f>
        <v/>
      </c>
      <c r="D194" s="15" t="str">
        <f>IF(ISNA(VLOOKUP(MID($A194,2,1),Kanji_2_HanViet!$A:$C,2,FALSE)),"",VLOOKUP(MID($A194,2,1),Kanji_2_HanViet!$A:$C,2,FALSE))</f>
        <v/>
      </c>
      <c r="E194" s="15" t="str">
        <f>IF(ISNA(VLOOKUP(MID($A194,3,1),Kanji_2_HanViet!$A:$C,2,FALSE)),"",VLOOKUP(MID($A194,3,1),Kanji_2_HanViet!$A:$C,2,FALSE))</f>
        <v/>
      </c>
      <c r="F194" s="15" t="str">
        <f>IF(ISNA(VLOOKUP(MID($A194,4,1),Kanji_2_HanViet!$A:$C,2,FALSE)),"",VLOOKUP(MID($A194,4,1),Kanji_2_HanViet!$A:$C,2,FALSE))</f>
        <v/>
      </c>
      <c r="G194" s="15" t="str">
        <f>IF(ISNA(VLOOKUP(MID($A194,5,1),Kanji_2_HanViet!$A:$C,2,FALSE)),"",VLOOKUP(MID($A194,5,1),Kanji_2_HanViet!$A:$C,2,FALSE))</f>
        <v/>
      </c>
      <c r="H194" s="15" t="str">
        <f>IF(ISNA(VLOOKUP(MID($A194,6,1),Kanji_2_HanViet!$A:$C,2,FALSE)),"",VLOOKUP(MID($A194,6,1),Kanji_2_HanViet!$A:$C,2,FALSE))</f>
        <v/>
      </c>
      <c r="I194" s="15" t="str">
        <f>IF(ISNA(VLOOKUP(MID($A194,7,1),Kanji_2_HanViet!$A:$C,2,FALSE)),"",VLOOKUP(MID($A194,7,1),Kanji_2_HanViet!$A:$C,2,FALSE))</f>
        <v/>
      </c>
      <c r="J194" s="15" t="str">
        <f>IF(ISNA(VLOOKUP(MID($A194,8,1),Kanji_2_HanViet!$A:$C,2,FALSE)),"",VLOOKUP(MID($A194,8,1),Kanji_2_HanViet!$A:$C,2,FALSE))</f>
        <v/>
      </c>
      <c r="K194" s="15" t="str">
        <f>IF(ISNA(VLOOKUP(MID($A194,9,1),Kanji_2_HanViet!$A:$C,2,FALSE)),"",VLOOKUP(MID($A194,9,1),Kanji_2_HanViet!$A:$C,2,FALSE))</f>
        <v/>
      </c>
    </row>
    <row r="195" spans="1:11">
      <c r="A195" s="13">
        <f>Master!B201</f>
        <v>0</v>
      </c>
      <c r="B195" s="16" t="str">
        <f t="shared" ref="B195:B251" si="3">TRIM(CONCATENATE($C195," ",$D195," ",$E195," ",$F195," ",$G195," ",$H195," ",$I195," ",$J195," ",$K195))</f>
        <v/>
      </c>
      <c r="C195" s="15" t="str">
        <f>IF(ISNA(VLOOKUP(MID($A195,1,1),Kanji_2_HanViet!$A:$C,2,FALSE)),"",VLOOKUP(MID($A195,1,1),Kanji_2_HanViet!$A:$C,2,FALSE))</f>
        <v/>
      </c>
      <c r="D195" s="15" t="str">
        <f>IF(ISNA(VLOOKUP(MID($A195,2,1),Kanji_2_HanViet!$A:$C,2,FALSE)),"",VLOOKUP(MID($A195,2,1),Kanji_2_HanViet!$A:$C,2,FALSE))</f>
        <v/>
      </c>
      <c r="E195" s="15" t="str">
        <f>IF(ISNA(VLOOKUP(MID($A195,3,1),Kanji_2_HanViet!$A:$C,2,FALSE)),"",VLOOKUP(MID($A195,3,1),Kanji_2_HanViet!$A:$C,2,FALSE))</f>
        <v/>
      </c>
      <c r="F195" s="15" t="str">
        <f>IF(ISNA(VLOOKUP(MID($A195,4,1),Kanji_2_HanViet!$A:$C,2,FALSE)),"",VLOOKUP(MID($A195,4,1),Kanji_2_HanViet!$A:$C,2,FALSE))</f>
        <v/>
      </c>
      <c r="G195" s="15" t="str">
        <f>IF(ISNA(VLOOKUP(MID($A195,5,1),Kanji_2_HanViet!$A:$C,2,FALSE)),"",VLOOKUP(MID($A195,5,1),Kanji_2_HanViet!$A:$C,2,FALSE))</f>
        <v/>
      </c>
      <c r="H195" s="15" t="str">
        <f>IF(ISNA(VLOOKUP(MID($A195,6,1),Kanji_2_HanViet!$A:$C,2,FALSE)),"",VLOOKUP(MID($A195,6,1),Kanji_2_HanViet!$A:$C,2,FALSE))</f>
        <v/>
      </c>
      <c r="I195" s="15" t="str">
        <f>IF(ISNA(VLOOKUP(MID($A195,7,1),Kanji_2_HanViet!$A:$C,2,FALSE)),"",VLOOKUP(MID($A195,7,1),Kanji_2_HanViet!$A:$C,2,FALSE))</f>
        <v/>
      </c>
      <c r="J195" s="15" t="str">
        <f>IF(ISNA(VLOOKUP(MID($A195,8,1),Kanji_2_HanViet!$A:$C,2,FALSE)),"",VLOOKUP(MID($A195,8,1),Kanji_2_HanViet!$A:$C,2,FALSE))</f>
        <v/>
      </c>
      <c r="K195" s="15" t="str">
        <f>IF(ISNA(VLOOKUP(MID($A195,9,1),Kanji_2_HanViet!$A:$C,2,FALSE)),"",VLOOKUP(MID($A195,9,1),Kanji_2_HanViet!$A:$C,2,FALSE))</f>
        <v/>
      </c>
    </row>
    <row r="196" spans="1:11">
      <c r="A196" s="13">
        <f>Master!B202</f>
        <v>0</v>
      </c>
      <c r="B196" s="16" t="str">
        <f t="shared" si="3"/>
        <v/>
      </c>
      <c r="C196" s="15" t="str">
        <f>IF(ISNA(VLOOKUP(MID($A196,1,1),Kanji_2_HanViet!$A:$C,2,FALSE)),"",VLOOKUP(MID($A196,1,1),Kanji_2_HanViet!$A:$C,2,FALSE))</f>
        <v/>
      </c>
      <c r="D196" s="15" t="str">
        <f>IF(ISNA(VLOOKUP(MID($A196,2,1),Kanji_2_HanViet!$A:$C,2,FALSE)),"",VLOOKUP(MID($A196,2,1),Kanji_2_HanViet!$A:$C,2,FALSE))</f>
        <v/>
      </c>
      <c r="E196" s="15" t="str">
        <f>IF(ISNA(VLOOKUP(MID($A196,3,1),Kanji_2_HanViet!$A:$C,2,FALSE)),"",VLOOKUP(MID($A196,3,1),Kanji_2_HanViet!$A:$C,2,FALSE))</f>
        <v/>
      </c>
      <c r="F196" s="15" t="str">
        <f>IF(ISNA(VLOOKUP(MID($A196,4,1),Kanji_2_HanViet!$A:$C,2,FALSE)),"",VLOOKUP(MID($A196,4,1),Kanji_2_HanViet!$A:$C,2,FALSE))</f>
        <v/>
      </c>
      <c r="G196" s="15" t="str">
        <f>IF(ISNA(VLOOKUP(MID($A196,5,1),Kanji_2_HanViet!$A:$C,2,FALSE)),"",VLOOKUP(MID($A196,5,1),Kanji_2_HanViet!$A:$C,2,FALSE))</f>
        <v/>
      </c>
      <c r="H196" s="15" t="str">
        <f>IF(ISNA(VLOOKUP(MID($A196,6,1),Kanji_2_HanViet!$A:$C,2,FALSE)),"",VLOOKUP(MID($A196,6,1),Kanji_2_HanViet!$A:$C,2,FALSE))</f>
        <v/>
      </c>
      <c r="I196" s="15" t="str">
        <f>IF(ISNA(VLOOKUP(MID($A196,7,1),Kanji_2_HanViet!$A:$C,2,FALSE)),"",VLOOKUP(MID($A196,7,1),Kanji_2_HanViet!$A:$C,2,FALSE))</f>
        <v/>
      </c>
      <c r="J196" s="15" t="str">
        <f>IF(ISNA(VLOOKUP(MID($A196,8,1),Kanji_2_HanViet!$A:$C,2,FALSE)),"",VLOOKUP(MID($A196,8,1),Kanji_2_HanViet!$A:$C,2,FALSE))</f>
        <v/>
      </c>
      <c r="K196" s="15" t="str">
        <f>IF(ISNA(VLOOKUP(MID($A196,9,1),Kanji_2_HanViet!$A:$C,2,FALSE)),"",VLOOKUP(MID($A196,9,1),Kanji_2_HanViet!$A:$C,2,FALSE))</f>
        <v/>
      </c>
    </row>
    <row r="197" spans="1:11">
      <c r="A197" s="13">
        <f>Master!B203</f>
        <v>0</v>
      </c>
      <c r="B197" s="16" t="str">
        <f t="shared" si="3"/>
        <v/>
      </c>
      <c r="C197" s="15" t="str">
        <f>IF(ISNA(VLOOKUP(MID($A197,1,1),Kanji_2_HanViet!$A:$C,2,FALSE)),"",VLOOKUP(MID($A197,1,1),Kanji_2_HanViet!$A:$C,2,FALSE))</f>
        <v/>
      </c>
      <c r="D197" s="15" t="str">
        <f>IF(ISNA(VLOOKUP(MID($A197,2,1),Kanji_2_HanViet!$A:$C,2,FALSE)),"",VLOOKUP(MID($A197,2,1),Kanji_2_HanViet!$A:$C,2,FALSE))</f>
        <v/>
      </c>
      <c r="E197" s="15" t="str">
        <f>IF(ISNA(VLOOKUP(MID($A197,3,1),Kanji_2_HanViet!$A:$C,2,FALSE)),"",VLOOKUP(MID($A197,3,1),Kanji_2_HanViet!$A:$C,2,FALSE))</f>
        <v/>
      </c>
      <c r="F197" s="15" t="str">
        <f>IF(ISNA(VLOOKUP(MID($A197,4,1),Kanji_2_HanViet!$A:$C,2,FALSE)),"",VLOOKUP(MID($A197,4,1),Kanji_2_HanViet!$A:$C,2,FALSE))</f>
        <v/>
      </c>
      <c r="G197" s="15" t="str">
        <f>IF(ISNA(VLOOKUP(MID($A197,5,1),Kanji_2_HanViet!$A:$C,2,FALSE)),"",VLOOKUP(MID($A197,5,1),Kanji_2_HanViet!$A:$C,2,FALSE))</f>
        <v/>
      </c>
      <c r="H197" s="15" t="str">
        <f>IF(ISNA(VLOOKUP(MID($A197,6,1),Kanji_2_HanViet!$A:$C,2,FALSE)),"",VLOOKUP(MID($A197,6,1),Kanji_2_HanViet!$A:$C,2,FALSE))</f>
        <v/>
      </c>
      <c r="I197" s="15" t="str">
        <f>IF(ISNA(VLOOKUP(MID($A197,7,1),Kanji_2_HanViet!$A:$C,2,FALSE)),"",VLOOKUP(MID($A197,7,1),Kanji_2_HanViet!$A:$C,2,FALSE))</f>
        <v/>
      </c>
      <c r="J197" s="15" t="str">
        <f>IF(ISNA(VLOOKUP(MID($A197,8,1),Kanji_2_HanViet!$A:$C,2,FALSE)),"",VLOOKUP(MID($A197,8,1),Kanji_2_HanViet!$A:$C,2,FALSE))</f>
        <v/>
      </c>
      <c r="K197" s="15" t="str">
        <f>IF(ISNA(VLOOKUP(MID($A197,9,1),Kanji_2_HanViet!$A:$C,2,FALSE)),"",VLOOKUP(MID($A197,9,1),Kanji_2_HanViet!$A:$C,2,FALSE))</f>
        <v/>
      </c>
    </row>
    <row r="198" spans="1:11">
      <c r="A198" s="13">
        <f>Master!B204</f>
        <v>0</v>
      </c>
      <c r="B198" s="16" t="str">
        <f t="shared" si="3"/>
        <v/>
      </c>
      <c r="C198" s="15" t="str">
        <f>IF(ISNA(VLOOKUP(MID($A198,1,1),Kanji_2_HanViet!$A:$C,2,FALSE)),"",VLOOKUP(MID($A198,1,1),Kanji_2_HanViet!$A:$C,2,FALSE))</f>
        <v/>
      </c>
      <c r="D198" s="15" t="str">
        <f>IF(ISNA(VLOOKUP(MID($A198,2,1),Kanji_2_HanViet!$A:$C,2,FALSE)),"",VLOOKUP(MID($A198,2,1),Kanji_2_HanViet!$A:$C,2,FALSE))</f>
        <v/>
      </c>
      <c r="E198" s="15" t="str">
        <f>IF(ISNA(VLOOKUP(MID($A198,3,1),Kanji_2_HanViet!$A:$C,2,FALSE)),"",VLOOKUP(MID($A198,3,1),Kanji_2_HanViet!$A:$C,2,FALSE))</f>
        <v/>
      </c>
      <c r="F198" s="15" t="str">
        <f>IF(ISNA(VLOOKUP(MID($A198,4,1),Kanji_2_HanViet!$A:$C,2,FALSE)),"",VLOOKUP(MID($A198,4,1),Kanji_2_HanViet!$A:$C,2,FALSE))</f>
        <v/>
      </c>
      <c r="G198" s="15" t="str">
        <f>IF(ISNA(VLOOKUP(MID($A198,5,1),Kanji_2_HanViet!$A:$C,2,FALSE)),"",VLOOKUP(MID($A198,5,1),Kanji_2_HanViet!$A:$C,2,FALSE))</f>
        <v/>
      </c>
      <c r="H198" s="15" t="str">
        <f>IF(ISNA(VLOOKUP(MID($A198,6,1),Kanji_2_HanViet!$A:$C,2,FALSE)),"",VLOOKUP(MID($A198,6,1),Kanji_2_HanViet!$A:$C,2,FALSE))</f>
        <v/>
      </c>
      <c r="I198" s="15" t="str">
        <f>IF(ISNA(VLOOKUP(MID($A198,7,1),Kanji_2_HanViet!$A:$C,2,FALSE)),"",VLOOKUP(MID($A198,7,1),Kanji_2_HanViet!$A:$C,2,FALSE))</f>
        <v/>
      </c>
      <c r="J198" s="15" t="str">
        <f>IF(ISNA(VLOOKUP(MID($A198,8,1),Kanji_2_HanViet!$A:$C,2,FALSE)),"",VLOOKUP(MID($A198,8,1),Kanji_2_HanViet!$A:$C,2,FALSE))</f>
        <v/>
      </c>
      <c r="K198" s="15" t="str">
        <f>IF(ISNA(VLOOKUP(MID($A198,9,1),Kanji_2_HanViet!$A:$C,2,FALSE)),"",VLOOKUP(MID($A198,9,1),Kanji_2_HanViet!$A:$C,2,FALSE))</f>
        <v/>
      </c>
    </row>
    <row r="199" spans="1:11">
      <c r="A199" s="13">
        <f>Master!B205</f>
        <v>0</v>
      </c>
      <c r="B199" s="16" t="str">
        <f t="shared" si="3"/>
        <v/>
      </c>
      <c r="C199" s="15" t="str">
        <f>IF(ISNA(VLOOKUP(MID($A199,1,1),Kanji_2_HanViet!$A:$C,2,FALSE)),"",VLOOKUP(MID($A199,1,1),Kanji_2_HanViet!$A:$C,2,FALSE))</f>
        <v/>
      </c>
      <c r="D199" s="15" t="str">
        <f>IF(ISNA(VLOOKUP(MID($A199,2,1),Kanji_2_HanViet!$A:$C,2,FALSE)),"",VLOOKUP(MID($A199,2,1),Kanji_2_HanViet!$A:$C,2,FALSE))</f>
        <v/>
      </c>
      <c r="E199" s="15" t="str">
        <f>IF(ISNA(VLOOKUP(MID($A199,3,1),Kanji_2_HanViet!$A:$C,2,FALSE)),"",VLOOKUP(MID($A199,3,1),Kanji_2_HanViet!$A:$C,2,FALSE))</f>
        <v/>
      </c>
      <c r="F199" s="15" t="str">
        <f>IF(ISNA(VLOOKUP(MID($A199,4,1),Kanji_2_HanViet!$A:$C,2,FALSE)),"",VLOOKUP(MID($A199,4,1),Kanji_2_HanViet!$A:$C,2,FALSE))</f>
        <v/>
      </c>
      <c r="G199" s="15" t="str">
        <f>IF(ISNA(VLOOKUP(MID($A199,5,1),Kanji_2_HanViet!$A:$C,2,FALSE)),"",VLOOKUP(MID($A199,5,1),Kanji_2_HanViet!$A:$C,2,FALSE))</f>
        <v/>
      </c>
      <c r="H199" s="15" t="str">
        <f>IF(ISNA(VLOOKUP(MID($A199,6,1),Kanji_2_HanViet!$A:$C,2,FALSE)),"",VLOOKUP(MID($A199,6,1),Kanji_2_HanViet!$A:$C,2,FALSE))</f>
        <v/>
      </c>
      <c r="I199" s="15" t="str">
        <f>IF(ISNA(VLOOKUP(MID($A199,7,1),Kanji_2_HanViet!$A:$C,2,FALSE)),"",VLOOKUP(MID($A199,7,1),Kanji_2_HanViet!$A:$C,2,FALSE))</f>
        <v/>
      </c>
      <c r="J199" s="15" t="str">
        <f>IF(ISNA(VLOOKUP(MID($A199,8,1),Kanji_2_HanViet!$A:$C,2,FALSE)),"",VLOOKUP(MID($A199,8,1),Kanji_2_HanViet!$A:$C,2,FALSE))</f>
        <v/>
      </c>
      <c r="K199" s="15" t="str">
        <f>IF(ISNA(VLOOKUP(MID($A199,9,1),Kanji_2_HanViet!$A:$C,2,FALSE)),"",VLOOKUP(MID($A199,9,1),Kanji_2_HanViet!$A:$C,2,FALSE))</f>
        <v/>
      </c>
    </row>
    <row r="200" spans="1:11">
      <c r="A200" s="13">
        <f>Master!B206</f>
        <v>0</v>
      </c>
      <c r="B200" s="16" t="str">
        <f t="shared" si="3"/>
        <v/>
      </c>
      <c r="C200" s="15" t="str">
        <f>IF(ISNA(VLOOKUP(MID($A200,1,1),Kanji_2_HanViet!$A:$C,2,FALSE)),"",VLOOKUP(MID($A200,1,1),Kanji_2_HanViet!$A:$C,2,FALSE))</f>
        <v/>
      </c>
      <c r="D200" s="15" t="str">
        <f>IF(ISNA(VLOOKUP(MID($A200,2,1),Kanji_2_HanViet!$A:$C,2,FALSE)),"",VLOOKUP(MID($A200,2,1),Kanji_2_HanViet!$A:$C,2,FALSE))</f>
        <v/>
      </c>
      <c r="E200" s="15" t="str">
        <f>IF(ISNA(VLOOKUP(MID($A200,3,1),Kanji_2_HanViet!$A:$C,2,FALSE)),"",VLOOKUP(MID($A200,3,1),Kanji_2_HanViet!$A:$C,2,FALSE))</f>
        <v/>
      </c>
      <c r="F200" s="15" t="str">
        <f>IF(ISNA(VLOOKUP(MID($A200,4,1),Kanji_2_HanViet!$A:$C,2,FALSE)),"",VLOOKUP(MID($A200,4,1),Kanji_2_HanViet!$A:$C,2,FALSE))</f>
        <v/>
      </c>
      <c r="G200" s="15" t="str">
        <f>IF(ISNA(VLOOKUP(MID($A200,5,1),Kanji_2_HanViet!$A:$C,2,FALSE)),"",VLOOKUP(MID($A200,5,1),Kanji_2_HanViet!$A:$C,2,FALSE))</f>
        <v/>
      </c>
      <c r="H200" s="15" t="str">
        <f>IF(ISNA(VLOOKUP(MID($A200,6,1),Kanji_2_HanViet!$A:$C,2,FALSE)),"",VLOOKUP(MID($A200,6,1),Kanji_2_HanViet!$A:$C,2,FALSE))</f>
        <v/>
      </c>
      <c r="I200" s="15" t="str">
        <f>IF(ISNA(VLOOKUP(MID($A200,7,1),Kanji_2_HanViet!$A:$C,2,FALSE)),"",VLOOKUP(MID($A200,7,1),Kanji_2_HanViet!$A:$C,2,FALSE))</f>
        <v/>
      </c>
      <c r="J200" s="15" t="str">
        <f>IF(ISNA(VLOOKUP(MID($A200,8,1),Kanji_2_HanViet!$A:$C,2,FALSE)),"",VLOOKUP(MID($A200,8,1),Kanji_2_HanViet!$A:$C,2,FALSE))</f>
        <v/>
      </c>
      <c r="K200" s="15" t="str">
        <f>IF(ISNA(VLOOKUP(MID($A200,9,1),Kanji_2_HanViet!$A:$C,2,FALSE)),"",VLOOKUP(MID($A200,9,1),Kanji_2_HanViet!$A:$C,2,FALSE))</f>
        <v/>
      </c>
    </row>
    <row r="201" spans="1:11">
      <c r="A201" s="13">
        <f>Master!B207</f>
        <v>0</v>
      </c>
      <c r="B201" s="16" t="str">
        <f t="shared" si="3"/>
        <v/>
      </c>
      <c r="C201" s="15" t="str">
        <f>IF(ISNA(VLOOKUP(MID($A201,1,1),Kanji_2_HanViet!$A:$C,2,FALSE)),"",VLOOKUP(MID($A201,1,1),Kanji_2_HanViet!$A:$C,2,FALSE))</f>
        <v/>
      </c>
      <c r="D201" s="15" t="str">
        <f>IF(ISNA(VLOOKUP(MID($A201,2,1),Kanji_2_HanViet!$A:$C,2,FALSE)),"",VLOOKUP(MID($A201,2,1),Kanji_2_HanViet!$A:$C,2,FALSE))</f>
        <v/>
      </c>
      <c r="E201" s="15" t="str">
        <f>IF(ISNA(VLOOKUP(MID($A201,3,1),Kanji_2_HanViet!$A:$C,2,FALSE)),"",VLOOKUP(MID($A201,3,1),Kanji_2_HanViet!$A:$C,2,FALSE))</f>
        <v/>
      </c>
      <c r="F201" s="15" t="str">
        <f>IF(ISNA(VLOOKUP(MID($A201,4,1),Kanji_2_HanViet!$A:$C,2,FALSE)),"",VLOOKUP(MID($A201,4,1),Kanji_2_HanViet!$A:$C,2,FALSE))</f>
        <v/>
      </c>
      <c r="G201" s="15" t="str">
        <f>IF(ISNA(VLOOKUP(MID($A201,5,1),Kanji_2_HanViet!$A:$C,2,FALSE)),"",VLOOKUP(MID($A201,5,1),Kanji_2_HanViet!$A:$C,2,FALSE))</f>
        <v/>
      </c>
      <c r="H201" s="15" t="str">
        <f>IF(ISNA(VLOOKUP(MID($A201,6,1),Kanji_2_HanViet!$A:$C,2,FALSE)),"",VLOOKUP(MID($A201,6,1),Kanji_2_HanViet!$A:$C,2,FALSE))</f>
        <v/>
      </c>
      <c r="I201" s="15" t="str">
        <f>IF(ISNA(VLOOKUP(MID($A201,7,1),Kanji_2_HanViet!$A:$C,2,FALSE)),"",VLOOKUP(MID($A201,7,1),Kanji_2_HanViet!$A:$C,2,FALSE))</f>
        <v/>
      </c>
      <c r="J201" s="15" t="str">
        <f>IF(ISNA(VLOOKUP(MID($A201,8,1),Kanji_2_HanViet!$A:$C,2,FALSE)),"",VLOOKUP(MID($A201,8,1),Kanji_2_HanViet!$A:$C,2,FALSE))</f>
        <v/>
      </c>
      <c r="K201" s="15" t="str">
        <f>IF(ISNA(VLOOKUP(MID($A201,9,1),Kanji_2_HanViet!$A:$C,2,FALSE)),"",VLOOKUP(MID($A201,9,1),Kanji_2_HanViet!$A:$C,2,FALSE))</f>
        <v/>
      </c>
    </row>
    <row r="202" spans="1:11">
      <c r="A202" s="13">
        <f>Master!B208</f>
        <v>0</v>
      </c>
      <c r="B202" s="16" t="str">
        <f t="shared" si="3"/>
        <v/>
      </c>
      <c r="C202" s="15" t="str">
        <f>IF(ISNA(VLOOKUP(MID($A202,1,1),Kanji_2_HanViet!$A:$C,2,FALSE)),"",VLOOKUP(MID($A202,1,1),Kanji_2_HanViet!$A:$C,2,FALSE))</f>
        <v/>
      </c>
      <c r="D202" s="15" t="str">
        <f>IF(ISNA(VLOOKUP(MID($A202,2,1),Kanji_2_HanViet!$A:$C,2,FALSE)),"",VLOOKUP(MID($A202,2,1),Kanji_2_HanViet!$A:$C,2,FALSE))</f>
        <v/>
      </c>
      <c r="E202" s="15" t="str">
        <f>IF(ISNA(VLOOKUP(MID($A202,3,1),Kanji_2_HanViet!$A:$C,2,FALSE)),"",VLOOKUP(MID($A202,3,1),Kanji_2_HanViet!$A:$C,2,FALSE))</f>
        <v/>
      </c>
      <c r="F202" s="15" t="str">
        <f>IF(ISNA(VLOOKUP(MID($A202,4,1),Kanji_2_HanViet!$A:$C,2,FALSE)),"",VLOOKUP(MID($A202,4,1),Kanji_2_HanViet!$A:$C,2,FALSE))</f>
        <v/>
      </c>
      <c r="G202" s="15" t="str">
        <f>IF(ISNA(VLOOKUP(MID($A202,5,1),Kanji_2_HanViet!$A:$C,2,FALSE)),"",VLOOKUP(MID($A202,5,1),Kanji_2_HanViet!$A:$C,2,FALSE))</f>
        <v/>
      </c>
      <c r="H202" s="15" t="str">
        <f>IF(ISNA(VLOOKUP(MID($A202,6,1),Kanji_2_HanViet!$A:$C,2,FALSE)),"",VLOOKUP(MID($A202,6,1),Kanji_2_HanViet!$A:$C,2,FALSE))</f>
        <v/>
      </c>
      <c r="I202" s="15" t="str">
        <f>IF(ISNA(VLOOKUP(MID($A202,7,1),Kanji_2_HanViet!$A:$C,2,FALSE)),"",VLOOKUP(MID($A202,7,1),Kanji_2_HanViet!$A:$C,2,FALSE))</f>
        <v/>
      </c>
      <c r="J202" s="15" t="str">
        <f>IF(ISNA(VLOOKUP(MID($A202,8,1),Kanji_2_HanViet!$A:$C,2,FALSE)),"",VLOOKUP(MID($A202,8,1),Kanji_2_HanViet!$A:$C,2,FALSE))</f>
        <v/>
      </c>
      <c r="K202" s="15" t="str">
        <f>IF(ISNA(VLOOKUP(MID($A202,9,1),Kanji_2_HanViet!$A:$C,2,FALSE)),"",VLOOKUP(MID($A202,9,1),Kanji_2_HanViet!$A:$C,2,FALSE))</f>
        <v/>
      </c>
    </row>
    <row r="203" spans="1:11">
      <c r="A203" s="13">
        <f>Master!B209</f>
        <v>0</v>
      </c>
      <c r="B203" s="16" t="str">
        <f t="shared" si="3"/>
        <v/>
      </c>
      <c r="C203" s="15" t="str">
        <f>IF(ISNA(VLOOKUP(MID($A203,1,1),Kanji_2_HanViet!$A:$C,2,FALSE)),"",VLOOKUP(MID($A203,1,1),Kanji_2_HanViet!$A:$C,2,FALSE))</f>
        <v/>
      </c>
      <c r="D203" s="15" t="str">
        <f>IF(ISNA(VLOOKUP(MID($A203,2,1),Kanji_2_HanViet!$A:$C,2,FALSE)),"",VLOOKUP(MID($A203,2,1),Kanji_2_HanViet!$A:$C,2,FALSE))</f>
        <v/>
      </c>
      <c r="E203" s="15" t="str">
        <f>IF(ISNA(VLOOKUP(MID($A203,3,1),Kanji_2_HanViet!$A:$C,2,FALSE)),"",VLOOKUP(MID($A203,3,1),Kanji_2_HanViet!$A:$C,2,FALSE))</f>
        <v/>
      </c>
      <c r="F203" s="15" t="str">
        <f>IF(ISNA(VLOOKUP(MID($A203,4,1),Kanji_2_HanViet!$A:$C,2,FALSE)),"",VLOOKUP(MID($A203,4,1),Kanji_2_HanViet!$A:$C,2,FALSE))</f>
        <v/>
      </c>
      <c r="G203" s="15" t="str">
        <f>IF(ISNA(VLOOKUP(MID($A203,5,1),Kanji_2_HanViet!$A:$C,2,FALSE)),"",VLOOKUP(MID($A203,5,1),Kanji_2_HanViet!$A:$C,2,FALSE))</f>
        <v/>
      </c>
      <c r="H203" s="15" t="str">
        <f>IF(ISNA(VLOOKUP(MID($A203,6,1),Kanji_2_HanViet!$A:$C,2,FALSE)),"",VLOOKUP(MID($A203,6,1),Kanji_2_HanViet!$A:$C,2,FALSE))</f>
        <v/>
      </c>
      <c r="I203" s="15" t="str">
        <f>IF(ISNA(VLOOKUP(MID($A203,7,1),Kanji_2_HanViet!$A:$C,2,FALSE)),"",VLOOKUP(MID($A203,7,1),Kanji_2_HanViet!$A:$C,2,FALSE))</f>
        <v/>
      </c>
      <c r="J203" s="15" t="str">
        <f>IF(ISNA(VLOOKUP(MID($A203,8,1),Kanji_2_HanViet!$A:$C,2,FALSE)),"",VLOOKUP(MID($A203,8,1),Kanji_2_HanViet!$A:$C,2,FALSE))</f>
        <v/>
      </c>
      <c r="K203" s="15" t="str">
        <f>IF(ISNA(VLOOKUP(MID($A203,9,1),Kanji_2_HanViet!$A:$C,2,FALSE)),"",VLOOKUP(MID($A203,9,1),Kanji_2_HanViet!$A:$C,2,FALSE))</f>
        <v/>
      </c>
    </row>
    <row r="204" spans="1:11">
      <c r="A204" s="13">
        <f>Master!B210</f>
        <v>0</v>
      </c>
      <c r="B204" s="16" t="str">
        <f t="shared" si="3"/>
        <v/>
      </c>
      <c r="C204" s="15" t="str">
        <f>IF(ISNA(VLOOKUP(MID($A204,1,1),Kanji_2_HanViet!$A:$C,2,FALSE)),"",VLOOKUP(MID($A204,1,1),Kanji_2_HanViet!$A:$C,2,FALSE))</f>
        <v/>
      </c>
      <c r="D204" s="15" t="str">
        <f>IF(ISNA(VLOOKUP(MID($A204,2,1),Kanji_2_HanViet!$A:$C,2,FALSE)),"",VLOOKUP(MID($A204,2,1),Kanji_2_HanViet!$A:$C,2,FALSE))</f>
        <v/>
      </c>
      <c r="E204" s="15" t="str">
        <f>IF(ISNA(VLOOKUP(MID($A204,3,1),Kanji_2_HanViet!$A:$C,2,FALSE)),"",VLOOKUP(MID($A204,3,1),Kanji_2_HanViet!$A:$C,2,FALSE))</f>
        <v/>
      </c>
      <c r="F204" s="15" t="str">
        <f>IF(ISNA(VLOOKUP(MID($A204,4,1),Kanji_2_HanViet!$A:$C,2,FALSE)),"",VLOOKUP(MID($A204,4,1),Kanji_2_HanViet!$A:$C,2,FALSE))</f>
        <v/>
      </c>
      <c r="G204" s="15" t="str">
        <f>IF(ISNA(VLOOKUP(MID($A204,5,1),Kanji_2_HanViet!$A:$C,2,FALSE)),"",VLOOKUP(MID($A204,5,1),Kanji_2_HanViet!$A:$C,2,FALSE))</f>
        <v/>
      </c>
      <c r="H204" s="15" t="str">
        <f>IF(ISNA(VLOOKUP(MID($A204,6,1),Kanji_2_HanViet!$A:$C,2,FALSE)),"",VLOOKUP(MID($A204,6,1),Kanji_2_HanViet!$A:$C,2,FALSE))</f>
        <v/>
      </c>
      <c r="I204" s="15" t="str">
        <f>IF(ISNA(VLOOKUP(MID($A204,7,1),Kanji_2_HanViet!$A:$C,2,FALSE)),"",VLOOKUP(MID($A204,7,1),Kanji_2_HanViet!$A:$C,2,FALSE))</f>
        <v/>
      </c>
      <c r="J204" s="15" t="str">
        <f>IF(ISNA(VLOOKUP(MID($A204,8,1),Kanji_2_HanViet!$A:$C,2,FALSE)),"",VLOOKUP(MID($A204,8,1),Kanji_2_HanViet!$A:$C,2,FALSE))</f>
        <v/>
      </c>
      <c r="K204" s="15" t="str">
        <f>IF(ISNA(VLOOKUP(MID($A204,9,1),Kanji_2_HanViet!$A:$C,2,FALSE)),"",VLOOKUP(MID($A204,9,1),Kanji_2_HanViet!$A:$C,2,FALSE))</f>
        <v/>
      </c>
    </row>
    <row r="205" spans="1:11">
      <c r="A205" s="13">
        <f>Master!B211</f>
        <v>0</v>
      </c>
      <c r="B205" s="16" t="str">
        <f t="shared" si="3"/>
        <v/>
      </c>
      <c r="C205" s="15" t="str">
        <f>IF(ISNA(VLOOKUP(MID($A205,1,1),Kanji_2_HanViet!$A:$C,2,FALSE)),"",VLOOKUP(MID($A205,1,1),Kanji_2_HanViet!$A:$C,2,FALSE))</f>
        <v/>
      </c>
      <c r="D205" s="15" t="str">
        <f>IF(ISNA(VLOOKUP(MID($A205,2,1),Kanji_2_HanViet!$A:$C,2,FALSE)),"",VLOOKUP(MID($A205,2,1),Kanji_2_HanViet!$A:$C,2,FALSE))</f>
        <v/>
      </c>
      <c r="E205" s="15" t="str">
        <f>IF(ISNA(VLOOKUP(MID($A205,3,1),Kanji_2_HanViet!$A:$C,2,FALSE)),"",VLOOKUP(MID($A205,3,1),Kanji_2_HanViet!$A:$C,2,FALSE))</f>
        <v/>
      </c>
      <c r="F205" s="15" t="str">
        <f>IF(ISNA(VLOOKUP(MID($A205,4,1),Kanji_2_HanViet!$A:$C,2,FALSE)),"",VLOOKUP(MID($A205,4,1),Kanji_2_HanViet!$A:$C,2,FALSE))</f>
        <v/>
      </c>
      <c r="G205" s="15" t="str">
        <f>IF(ISNA(VLOOKUP(MID($A205,5,1),Kanji_2_HanViet!$A:$C,2,FALSE)),"",VLOOKUP(MID($A205,5,1),Kanji_2_HanViet!$A:$C,2,FALSE))</f>
        <v/>
      </c>
      <c r="H205" s="15" t="str">
        <f>IF(ISNA(VLOOKUP(MID($A205,6,1),Kanji_2_HanViet!$A:$C,2,FALSE)),"",VLOOKUP(MID($A205,6,1),Kanji_2_HanViet!$A:$C,2,FALSE))</f>
        <v/>
      </c>
      <c r="I205" s="15" t="str">
        <f>IF(ISNA(VLOOKUP(MID($A205,7,1),Kanji_2_HanViet!$A:$C,2,FALSE)),"",VLOOKUP(MID($A205,7,1),Kanji_2_HanViet!$A:$C,2,FALSE))</f>
        <v/>
      </c>
      <c r="J205" s="15" t="str">
        <f>IF(ISNA(VLOOKUP(MID($A205,8,1),Kanji_2_HanViet!$A:$C,2,FALSE)),"",VLOOKUP(MID($A205,8,1),Kanji_2_HanViet!$A:$C,2,FALSE))</f>
        <v/>
      </c>
      <c r="K205" s="15" t="str">
        <f>IF(ISNA(VLOOKUP(MID($A205,9,1),Kanji_2_HanViet!$A:$C,2,FALSE)),"",VLOOKUP(MID($A205,9,1),Kanji_2_HanViet!$A:$C,2,FALSE))</f>
        <v/>
      </c>
    </row>
    <row r="206" spans="1:11">
      <c r="A206" s="13">
        <f>Master!B212</f>
        <v>0</v>
      </c>
      <c r="B206" s="16" t="str">
        <f t="shared" si="3"/>
        <v/>
      </c>
      <c r="C206" s="15" t="str">
        <f>IF(ISNA(VLOOKUP(MID($A206,1,1),Kanji_2_HanViet!$A:$C,2,FALSE)),"",VLOOKUP(MID($A206,1,1),Kanji_2_HanViet!$A:$C,2,FALSE))</f>
        <v/>
      </c>
      <c r="D206" s="15" t="str">
        <f>IF(ISNA(VLOOKUP(MID($A206,2,1),Kanji_2_HanViet!$A:$C,2,FALSE)),"",VLOOKUP(MID($A206,2,1),Kanji_2_HanViet!$A:$C,2,FALSE))</f>
        <v/>
      </c>
      <c r="E206" s="15" t="str">
        <f>IF(ISNA(VLOOKUP(MID($A206,3,1),Kanji_2_HanViet!$A:$C,2,FALSE)),"",VLOOKUP(MID($A206,3,1),Kanji_2_HanViet!$A:$C,2,FALSE))</f>
        <v/>
      </c>
      <c r="F206" s="15" t="str">
        <f>IF(ISNA(VLOOKUP(MID($A206,4,1),Kanji_2_HanViet!$A:$C,2,FALSE)),"",VLOOKUP(MID($A206,4,1),Kanji_2_HanViet!$A:$C,2,FALSE))</f>
        <v/>
      </c>
      <c r="G206" s="15" t="str">
        <f>IF(ISNA(VLOOKUP(MID($A206,5,1),Kanji_2_HanViet!$A:$C,2,FALSE)),"",VLOOKUP(MID($A206,5,1),Kanji_2_HanViet!$A:$C,2,FALSE))</f>
        <v/>
      </c>
      <c r="H206" s="15" t="str">
        <f>IF(ISNA(VLOOKUP(MID($A206,6,1),Kanji_2_HanViet!$A:$C,2,FALSE)),"",VLOOKUP(MID($A206,6,1),Kanji_2_HanViet!$A:$C,2,FALSE))</f>
        <v/>
      </c>
      <c r="I206" s="15" t="str">
        <f>IF(ISNA(VLOOKUP(MID($A206,7,1),Kanji_2_HanViet!$A:$C,2,FALSE)),"",VLOOKUP(MID($A206,7,1),Kanji_2_HanViet!$A:$C,2,FALSE))</f>
        <v/>
      </c>
      <c r="J206" s="15" t="str">
        <f>IF(ISNA(VLOOKUP(MID($A206,8,1),Kanji_2_HanViet!$A:$C,2,FALSE)),"",VLOOKUP(MID($A206,8,1),Kanji_2_HanViet!$A:$C,2,FALSE))</f>
        <v/>
      </c>
      <c r="K206" s="15" t="str">
        <f>IF(ISNA(VLOOKUP(MID($A206,9,1),Kanji_2_HanViet!$A:$C,2,FALSE)),"",VLOOKUP(MID($A206,9,1),Kanji_2_HanViet!$A:$C,2,FALSE))</f>
        <v/>
      </c>
    </row>
    <row r="207" spans="1:11">
      <c r="A207" s="13">
        <f>Master!B213</f>
        <v>0</v>
      </c>
      <c r="B207" s="16" t="str">
        <f t="shared" si="3"/>
        <v/>
      </c>
      <c r="C207" s="15" t="str">
        <f>IF(ISNA(VLOOKUP(MID($A207,1,1),Kanji_2_HanViet!$A:$C,2,FALSE)),"",VLOOKUP(MID($A207,1,1),Kanji_2_HanViet!$A:$C,2,FALSE))</f>
        <v/>
      </c>
      <c r="D207" s="15" t="str">
        <f>IF(ISNA(VLOOKUP(MID($A207,2,1),Kanji_2_HanViet!$A:$C,2,FALSE)),"",VLOOKUP(MID($A207,2,1),Kanji_2_HanViet!$A:$C,2,FALSE))</f>
        <v/>
      </c>
      <c r="E207" s="15" t="str">
        <f>IF(ISNA(VLOOKUP(MID($A207,3,1),Kanji_2_HanViet!$A:$C,2,FALSE)),"",VLOOKUP(MID($A207,3,1),Kanji_2_HanViet!$A:$C,2,FALSE))</f>
        <v/>
      </c>
      <c r="F207" s="15" t="str">
        <f>IF(ISNA(VLOOKUP(MID($A207,4,1),Kanji_2_HanViet!$A:$C,2,FALSE)),"",VLOOKUP(MID($A207,4,1),Kanji_2_HanViet!$A:$C,2,FALSE))</f>
        <v/>
      </c>
      <c r="G207" s="15" t="str">
        <f>IF(ISNA(VLOOKUP(MID($A207,5,1),Kanji_2_HanViet!$A:$C,2,FALSE)),"",VLOOKUP(MID($A207,5,1),Kanji_2_HanViet!$A:$C,2,FALSE))</f>
        <v/>
      </c>
      <c r="H207" s="15" t="str">
        <f>IF(ISNA(VLOOKUP(MID($A207,6,1),Kanji_2_HanViet!$A:$C,2,FALSE)),"",VLOOKUP(MID($A207,6,1),Kanji_2_HanViet!$A:$C,2,FALSE))</f>
        <v/>
      </c>
      <c r="I207" s="15" t="str">
        <f>IF(ISNA(VLOOKUP(MID($A207,7,1),Kanji_2_HanViet!$A:$C,2,FALSE)),"",VLOOKUP(MID($A207,7,1),Kanji_2_HanViet!$A:$C,2,FALSE))</f>
        <v/>
      </c>
      <c r="J207" s="15" t="str">
        <f>IF(ISNA(VLOOKUP(MID($A207,8,1),Kanji_2_HanViet!$A:$C,2,FALSE)),"",VLOOKUP(MID($A207,8,1),Kanji_2_HanViet!$A:$C,2,FALSE))</f>
        <v/>
      </c>
      <c r="K207" s="15" t="str">
        <f>IF(ISNA(VLOOKUP(MID($A207,9,1),Kanji_2_HanViet!$A:$C,2,FALSE)),"",VLOOKUP(MID($A207,9,1),Kanji_2_HanViet!$A:$C,2,FALSE))</f>
        <v/>
      </c>
    </row>
    <row r="208" spans="1:11">
      <c r="A208" s="13">
        <f>Master!B214</f>
        <v>0</v>
      </c>
      <c r="B208" s="16" t="str">
        <f t="shared" si="3"/>
        <v/>
      </c>
      <c r="C208" s="15" t="str">
        <f>IF(ISNA(VLOOKUP(MID($A208,1,1),Kanji_2_HanViet!$A:$C,2,FALSE)),"",VLOOKUP(MID($A208,1,1),Kanji_2_HanViet!$A:$C,2,FALSE))</f>
        <v/>
      </c>
      <c r="D208" s="15" t="str">
        <f>IF(ISNA(VLOOKUP(MID($A208,2,1),Kanji_2_HanViet!$A:$C,2,FALSE)),"",VLOOKUP(MID($A208,2,1),Kanji_2_HanViet!$A:$C,2,FALSE))</f>
        <v/>
      </c>
      <c r="E208" s="15" t="str">
        <f>IF(ISNA(VLOOKUP(MID($A208,3,1),Kanji_2_HanViet!$A:$C,2,FALSE)),"",VLOOKUP(MID($A208,3,1),Kanji_2_HanViet!$A:$C,2,FALSE))</f>
        <v/>
      </c>
      <c r="F208" s="15" t="str">
        <f>IF(ISNA(VLOOKUP(MID($A208,4,1),Kanji_2_HanViet!$A:$C,2,FALSE)),"",VLOOKUP(MID($A208,4,1),Kanji_2_HanViet!$A:$C,2,FALSE))</f>
        <v/>
      </c>
      <c r="G208" s="15" t="str">
        <f>IF(ISNA(VLOOKUP(MID($A208,5,1),Kanji_2_HanViet!$A:$C,2,FALSE)),"",VLOOKUP(MID($A208,5,1),Kanji_2_HanViet!$A:$C,2,FALSE))</f>
        <v/>
      </c>
      <c r="H208" s="15" t="str">
        <f>IF(ISNA(VLOOKUP(MID($A208,6,1),Kanji_2_HanViet!$A:$C,2,FALSE)),"",VLOOKUP(MID($A208,6,1),Kanji_2_HanViet!$A:$C,2,FALSE))</f>
        <v/>
      </c>
      <c r="I208" s="15" t="str">
        <f>IF(ISNA(VLOOKUP(MID($A208,7,1),Kanji_2_HanViet!$A:$C,2,FALSE)),"",VLOOKUP(MID($A208,7,1),Kanji_2_HanViet!$A:$C,2,FALSE))</f>
        <v/>
      </c>
      <c r="J208" s="15" t="str">
        <f>IF(ISNA(VLOOKUP(MID($A208,8,1),Kanji_2_HanViet!$A:$C,2,FALSE)),"",VLOOKUP(MID($A208,8,1),Kanji_2_HanViet!$A:$C,2,FALSE))</f>
        <v/>
      </c>
      <c r="K208" s="15" t="str">
        <f>IF(ISNA(VLOOKUP(MID($A208,9,1),Kanji_2_HanViet!$A:$C,2,FALSE)),"",VLOOKUP(MID($A208,9,1),Kanji_2_HanViet!$A:$C,2,FALSE))</f>
        <v/>
      </c>
    </row>
    <row r="209" spans="1:11">
      <c r="A209" s="13">
        <f>Master!B215</f>
        <v>0</v>
      </c>
      <c r="B209" s="16" t="str">
        <f t="shared" si="3"/>
        <v/>
      </c>
      <c r="C209" s="15" t="str">
        <f>IF(ISNA(VLOOKUP(MID($A209,1,1),Kanji_2_HanViet!$A:$C,2,FALSE)),"",VLOOKUP(MID($A209,1,1),Kanji_2_HanViet!$A:$C,2,FALSE))</f>
        <v/>
      </c>
      <c r="D209" s="15" t="str">
        <f>IF(ISNA(VLOOKUP(MID($A209,2,1),Kanji_2_HanViet!$A:$C,2,FALSE)),"",VLOOKUP(MID($A209,2,1),Kanji_2_HanViet!$A:$C,2,FALSE))</f>
        <v/>
      </c>
      <c r="E209" s="15" t="str">
        <f>IF(ISNA(VLOOKUP(MID($A209,3,1),Kanji_2_HanViet!$A:$C,2,FALSE)),"",VLOOKUP(MID($A209,3,1),Kanji_2_HanViet!$A:$C,2,FALSE))</f>
        <v/>
      </c>
      <c r="F209" s="15" t="str">
        <f>IF(ISNA(VLOOKUP(MID($A209,4,1),Kanji_2_HanViet!$A:$C,2,FALSE)),"",VLOOKUP(MID($A209,4,1),Kanji_2_HanViet!$A:$C,2,FALSE))</f>
        <v/>
      </c>
      <c r="G209" s="15" t="str">
        <f>IF(ISNA(VLOOKUP(MID($A209,5,1),Kanji_2_HanViet!$A:$C,2,FALSE)),"",VLOOKUP(MID($A209,5,1),Kanji_2_HanViet!$A:$C,2,FALSE))</f>
        <v/>
      </c>
      <c r="H209" s="15" t="str">
        <f>IF(ISNA(VLOOKUP(MID($A209,6,1),Kanji_2_HanViet!$A:$C,2,FALSE)),"",VLOOKUP(MID($A209,6,1),Kanji_2_HanViet!$A:$C,2,FALSE))</f>
        <v/>
      </c>
      <c r="I209" s="15" t="str">
        <f>IF(ISNA(VLOOKUP(MID($A209,7,1),Kanji_2_HanViet!$A:$C,2,FALSE)),"",VLOOKUP(MID($A209,7,1),Kanji_2_HanViet!$A:$C,2,FALSE))</f>
        <v/>
      </c>
      <c r="J209" s="15" t="str">
        <f>IF(ISNA(VLOOKUP(MID($A209,8,1),Kanji_2_HanViet!$A:$C,2,FALSE)),"",VLOOKUP(MID($A209,8,1),Kanji_2_HanViet!$A:$C,2,FALSE))</f>
        <v/>
      </c>
      <c r="K209" s="15" t="str">
        <f>IF(ISNA(VLOOKUP(MID($A209,9,1),Kanji_2_HanViet!$A:$C,2,FALSE)),"",VLOOKUP(MID($A209,9,1),Kanji_2_HanViet!$A:$C,2,FALSE))</f>
        <v/>
      </c>
    </row>
    <row r="210" spans="1:11">
      <c r="A210" s="13">
        <f>Master!B216</f>
        <v>0</v>
      </c>
      <c r="B210" s="16" t="str">
        <f t="shared" si="3"/>
        <v/>
      </c>
      <c r="C210" s="15" t="str">
        <f>IF(ISNA(VLOOKUP(MID($A210,1,1),Kanji_2_HanViet!$A:$C,2,FALSE)),"",VLOOKUP(MID($A210,1,1),Kanji_2_HanViet!$A:$C,2,FALSE))</f>
        <v/>
      </c>
      <c r="D210" s="15" t="str">
        <f>IF(ISNA(VLOOKUP(MID($A210,2,1),Kanji_2_HanViet!$A:$C,2,FALSE)),"",VLOOKUP(MID($A210,2,1),Kanji_2_HanViet!$A:$C,2,FALSE))</f>
        <v/>
      </c>
      <c r="E210" s="15" t="str">
        <f>IF(ISNA(VLOOKUP(MID($A210,3,1),Kanji_2_HanViet!$A:$C,2,FALSE)),"",VLOOKUP(MID($A210,3,1),Kanji_2_HanViet!$A:$C,2,FALSE))</f>
        <v/>
      </c>
      <c r="F210" s="15" t="str">
        <f>IF(ISNA(VLOOKUP(MID($A210,4,1),Kanji_2_HanViet!$A:$C,2,FALSE)),"",VLOOKUP(MID($A210,4,1),Kanji_2_HanViet!$A:$C,2,FALSE))</f>
        <v/>
      </c>
      <c r="G210" s="15" t="str">
        <f>IF(ISNA(VLOOKUP(MID($A210,5,1),Kanji_2_HanViet!$A:$C,2,FALSE)),"",VLOOKUP(MID($A210,5,1),Kanji_2_HanViet!$A:$C,2,FALSE))</f>
        <v/>
      </c>
      <c r="H210" s="15" t="str">
        <f>IF(ISNA(VLOOKUP(MID($A210,6,1),Kanji_2_HanViet!$A:$C,2,FALSE)),"",VLOOKUP(MID($A210,6,1),Kanji_2_HanViet!$A:$C,2,FALSE))</f>
        <v/>
      </c>
      <c r="I210" s="15" t="str">
        <f>IF(ISNA(VLOOKUP(MID($A210,7,1),Kanji_2_HanViet!$A:$C,2,FALSE)),"",VLOOKUP(MID($A210,7,1),Kanji_2_HanViet!$A:$C,2,FALSE))</f>
        <v/>
      </c>
      <c r="J210" s="15" t="str">
        <f>IF(ISNA(VLOOKUP(MID($A210,8,1),Kanji_2_HanViet!$A:$C,2,FALSE)),"",VLOOKUP(MID($A210,8,1),Kanji_2_HanViet!$A:$C,2,FALSE))</f>
        <v/>
      </c>
      <c r="K210" s="15" t="str">
        <f>IF(ISNA(VLOOKUP(MID($A210,9,1),Kanji_2_HanViet!$A:$C,2,FALSE)),"",VLOOKUP(MID($A210,9,1),Kanji_2_HanViet!$A:$C,2,FALSE))</f>
        <v/>
      </c>
    </row>
    <row r="211" spans="1:11">
      <c r="A211" s="13">
        <f>Master!B217</f>
        <v>0</v>
      </c>
      <c r="B211" s="16" t="str">
        <f t="shared" si="3"/>
        <v/>
      </c>
      <c r="C211" s="15" t="str">
        <f>IF(ISNA(VLOOKUP(MID($A211,1,1),Kanji_2_HanViet!$A:$C,2,FALSE)),"",VLOOKUP(MID($A211,1,1),Kanji_2_HanViet!$A:$C,2,FALSE))</f>
        <v/>
      </c>
      <c r="D211" s="15" t="str">
        <f>IF(ISNA(VLOOKUP(MID($A211,2,1),Kanji_2_HanViet!$A:$C,2,FALSE)),"",VLOOKUP(MID($A211,2,1),Kanji_2_HanViet!$A:$C,2,FALSE))</f>
        <v/>
      </c>
      <c r="E211" s="15" t="str">
        <f>IF(ISNA(VLOOKUP(MID($A211,3,1),Kanji_2_HanViet!$A:$C,2,FALSE)),"",VLOOKUP(MID($A211,3,1),Kanji_2_HanViet!$A:$C,2,FALSE))</f>
        <v/>
      </c>
      <c r="F211" s="15" t="str">
        <f>IF(ISNA(VLOOKUP(MID($A211,4,1),Kanji_2_HanViet!$A:$C,2,FALSE)),"",VLOOKUP(MID($A211,4,1),Kanji_2_HanViet!$A:$C,2,FALSE))</f>
        <v/>
      </c>
      <c r="G211" s="15" t="str">
        <f>IF(ISNA(VLOOKUP(MID($A211,5,1),Kanji_2_HanViet!$A:$C,2,FALSE)),"",VLOOKUP(MID($A211,5,1),Kanji_2_HanViet!$A:$C,2,FALSE))</f>
        <v/>
      </c>
      <c r="H211" s="15" t="str">
        <f>IF(ISNA(VLOOKUP(MID($A211,6,1),Kanji_2_HanViet!$A:$C,2,FALSE)),"",VLOOKUP(MID($A211,6,1),Kanji_2_HanViet!$A:$C,2,FALSE))</f>
        <v/>
      </c>
      <c r="I211" s="15" t="str">
        <f>IF(ISNA(VLOOKUP(MID($A211,7,1),Kanji_2_HanViet!$A:$C,2,FALSE)),"",VLOOKUP(MID($A211,7,1),Kanji_2_HanViet!$A:$C,2,FALSE))</f>
        <v/>
      </c>
      <c r="J211" s="15" t="str">
        <f>IF(ISNA(VLOOKUP(MID($A211,8,1),Kanji_2_HanViet!$A:$C,2,FALSE)),"",VLOOKUP(MID($A211,8,1),Kanji_2_HanViet!$A:$C,2,FALSE))</f>
        <v/>
      </c>
      <c r="K211" s="15" t="str">
        <f>IF(ISNA(VLOOKUP(MID($A211,9,1),Kanji_2_HanViet!$A:$C,2,FALSE)),"",VLOOKUP(MID($A211,9,1),Kanji_2_HanViet!$A:$C,2,FALSE))</f>
        <v/>
      </c>
    </row>
    <row r="212" spans="1:11">
      <c r="A212" s="13">
        <f>Master!B218</f>
        <v>0</v>
      </c>
      <c r="B212" s="16" t="str">
        <f t="shared" si="3"/>
        <v/>
      </c>
      <c r="C212" s="15" t="str">
        <f>IF(ISNA(VLOOKUP(MID($A212,1,1),Kanji_2_HanViet!$A:$C,2,FALSE)),"",VLOOKUP(MID($A212,1,1),Kanji_2_HanViet!$A:$C,2,FALSE))</f>
        <v/>
      </c>
      <c r="D212" s="15" t="str">
        <f>IF(ISNA(VLOOKUP(MID($A212,2,1),Kanji_2_HanViet!$A:$C,2,FALSE)),"",VLOOKUP(MID($A212,2,1),Kanji_2_HanViet!$A:$C,2,FALSE))</f>
        <v/>
      </c>
      <c r="E212" s="15" t="str">
        <f>IF(ISNA(VLOOKUP(MID($A212,3,1),Kanji_2_HanViet!$A:$C,2,FALSE)),"",VLOOKUP(MID($A212,3,1),Kanji_2_HanViet!$A:$C,2,FALSE))</f>
        <v/>
      </c>
      <c r="F212" s="15" t="str">
        <f>IF(ISNA(VLOOKUP(MID($A212,4,1),Kanji_2_HanViet!$A:$C,2,FALSE)),"",VLOOKUP(MID($A212,4,1),Kanji_2_HanViet!$A:$C,2,FALSE))</f>
        <v/>
      </c>
      <c r="G212" s="15" t="str">
        <f>IF(ISNA(VLOOKUP(MID($A212,5,1),Kanji_2_HanViet!$A:$C,2,FALSE)),"",VLOOKUP(MID($A212,5,1),Kanji_2_HanViet!$A:$C,2,FALSE))</f>
        <v/>
      </c>
      <c r="H212" s="15" t="str">
        <f>IF(ISNA(VLOOKUP(MID($A212,6,1),Kanji_2_HanViet!$A:$C,2,FALSE)),"",VLOOKUP(MID($A212,6,1),Kanji_2_HanViet!$A:$C,2,FALSE))</f>
        <v/>
      </c>
      <c r="I212" s="15" t="str">
        <f>IF(ISNA(VLOOKUP(MID($A212,7,1),Kanji_2_HanViet!$A:$C,2,FALSE)),"",VLOOKUP(MID($A212,7,1),Kanji_2_HanViet!$A:$C,2,FALSE))</f>
        <v/>
      </c>
      <c r="J212" s="15" t="str">
        <f>IF(ISNA(VLOOKUP(MID($A212,8,1),Kanji_2_HanViet!$A:$C,2,FALSE)),"",VLOOKUP(MID($A212,8,1),Kanji_2_HanViet!$A:$C,2,FALSE))</f>
        <v/>
      </c>
      <c r="K212" s="15" t="str">
        <f>IF(ISNA(VLOOKUP(MID($A212,9,1),Kanji_2_HanViet!$A:$C,2,FALSE)),"",VLOOKUP(MID($A212,9,1),Kanji_2_HanViet!$A:$C,2,FALSE))</f>
        <v/>
      </c>
    </row>
    <row r="213" spans="1:11">
      <c r="A213" s="13">
        <f>Master!B219</f>
        <v>0</v>
      </c>
      <c r="B213" s="16" t="str">
        <f t="shared" si="3"/>
        <v/>
      </c>
      <c r="C213" s="15" t="str">
        <f>IF(ISNA(VLOOKUP(MID($A213,1,1),Kanji_2_HanViet!$A:$C,2,FALSE)),"",VLOOKUP(MID($A213,1,1),Kanji_2_HanViet!$A:$C,2,FALSE))</f>
        <v/>
      </c>
      <c r="D213" s="15" t="str">
        <f>IF(ISNA(VLOOKUP(MID($A213,2,1),Kanji_2_HanViet!$A:$C,2,FALSE)),"",VLOOKUP(MID($A213,2,1),Kanji_2_HanViet!$A:$C,2,FALSE))</f>
        <v/>
      </c>
      <c r="E213" s="15" t="str">
        <f>IF(ISNA(VLOOKUP(MID($A213,3,1),Kanji_2_HanViet!$A:$C,2,FALSE)),"",VLOOKUP(MID($A213,3,1),Kanji_2_HanViet!$A:$C,2,FALSE))</f>
        <v/>
      </c>
      <c r="F213" s="15" t="str">
        <f>IF(ISNA(VLOOKUP(MID($A213,4,1),Kanji_2_HanViet!$A:$C,2,FALSE)),"",VLOOKUP(MID($A213,4,1),Kanji_2_HanViet!$A:$C,2,FALSE))</f>
        <v/>
      </c>
      <c r="G213" s="15" t="str">
        <f>IF(ISNA(VLOOKUP(MID($A213,5,1),Kanji_2_HanViet!$A:$C,2,FALSE)),"",VLOOKUP(MID($A213,5,1),Kanji_2_HanViet!$A:$C,2,FALSE))</f>
        <v/>
      </c>
      <c r="H213" s="15" t="str">
        <f>IF(ISNA(VLOOKUP(MID($A213,6,1),Kanji_2_HanViet!$A:$C,2,FALSE)),"",VLOOKUP(MID($A213,6,1),Kanji_2_HanViet!$A:$C,2,FALSE))</f>
        <v/>
      </c>
      <c r="I213" s="15" t="str">
        <f>IF(ISNA(VLOOKUP(MID($A213,7,1),Kanji_2_HanViet!$A:$C,2,FALSE)),"",VLOOKUP(MID($A213,7,1),Kanji_2_HanViet!$A:$C,2,FALSE))</f>
        <v/>
      </c>
      <c r="J213" s="15" t="str">
        <f>IF(ISNA(VLOOKUP(MID($A213,8,1),Kanji_2_HanViet!$A:$C,2,FALSE)),"",VLOOKUP(MID($A213,8,1),Kanji_2_HanViet!$A:$C,2,FALSE))</f>
        <v/>
      </c>
      <c r="K213" s="15" t="str">
        <f>IF(ISNA(VLOOKUP(MID($A213,9,1),Kanji_2_HanViet!$A:$C,2,FALSE)),"",VLOOKUP(MID($A213,9,1),Kanji_2_HanViet!$A:$C,2,FALSE))</f>
        <v/>
      </c>
    </row>
    <row r="214" spans="1:11">
      <c r="A214" s="13">
        <f>Master!B220</f>
        <v>0</v>
      </c>
      <c r="B214" s="16" t="str">
        <f t="shared" si="3"/>
        <v/>
      </c>
      <c r="C214" s="15" t="str">
        <f>IF(ISNA(VLOOKUP(MID($A214,1,1),Kanji_2_HanViet!$A:$C,2,FALSE)),"",VLOOKUP(MID($A214,1,1),Kanji_2_HanViet!$A:$C,2,FALSE))</f>
        <v/>
      </c>
      <c r="D214" s="15" t="str">
        <f>IF(ISNA(VLOOKUP(MID($A214,2,1),Kanji_2_HanViet!$A:$C,2,FALSE)),"",VLOOKUP(MID($A214,2,1),Kanji_2_HanViet!$A:$C,2,FALSE))</f>
        <v/>
      </c>
      <c r="E214" s="15" t="str">
        <f>IF(ISNA(VLOOKUP(MID($A214,3,1),Kanji_2_HanViet!$A:$C,2,FALSE)),"",VLOOKUP(MID($A214,3,1),Kanji_2_HanViet!$A:$C,2,FALSE))</f>
        <v/>
      </c>
      <c r="F214" s="15" t="str">
        <f>IF(ISNA(VLOOKUP(MID($A214,4,1),Kanji_2_HanViet!$A:$C,2,FALSE)),"",VLOOKUP(MID($A214,4,1),Kanji_2_HanViet!$A:$C,2,FALSE))</f>
        <v/>
      </c>
      <c r="G214" s="15" t="str">
        <f>IF(ISNA(VLOOKUP(MID($A214,5,1),Kanji_2_HanViet!$A:$C,2,FALSE)),"",VLOOKUP(MID($A214,5,1),Kanji_2_HanViet!$A:$C,2,FALSE))</f>
        <v/>
      </c>
      <c r="H214" s="15" t="str">
        <f>IF(ISNA(VLOOKUP(MID($A214,6,1),Kanji_2_HanViet!$A:$C,2,FALSE)),"",VLOOKUP(MID($A214,6,1),Kanji_2_HanViet!$A:$C,2,FALSE))</f>
        <v/>
      </c>
      <c r="I214" s="15" t="str">
        <f>IF(ISNA(VLOOKUP(MID($A214,7,1),Kanji_2_HanViet!$A:$C,2,FALSE)),"",VLOOKUP(MID($A214,7,1),Kanji_2_HanViet!$A:$C,2,FALSE))</f>
        <v/>
      </c>
      <c r="J214" s="15" t="str">
        <f>IF(ISNA(VLOOKUP(MID($A214,8,1),Kanji_2_HanViet!$A:$C,2,FALSE)),"",VLOOKUP(MID($A214,8,1),Kanji_2_HanViet!$A:$C,2,FALSE))</f>
        <v/>
      </c>
      <c r="K214" s="15" t="str">
        <f>IF(ISNA(VLOOKUP(MID($A214,9,1),Kanji_2_HanViet!$A:$C,2,FALSE)),"",VLOOKUP(MID($A214,9,1),Kanji_2_HanViet!$A:$C,2,FALSE))</f>
        <v/>
      </c>
    </row>
    <row r="215" spans="1:11">
      <c r="A215" s="13">
        <f>Master!B221</f>
        <v>0</v>
      </c>
      <c r="B215" s="16" t="str">
        <f t="shared" si="3"/>
        <v/>
      </c>
      <c r="C215" s="15" t="str">
        <f>IF(ISNA(VLOOKUP(MID($A215,1,1),Kanji_2_HanViet!$A:$C,2,FALSE)),"",VLOOKUP(MID($A215,1,1),Kanji_2_HanViet!$A:$C,2,FALSE))</f>
        <v/>
      </c>
      <c r="D215" s="15" t="str">
        <f>IF(ISNA(VLOOKUP(MID($A215,2,1),Kanji_2_HanViet!$A:$C,2,FALSE)),"",VLOOKUP(MID($A215,2,1),Kanji_2_HanViet!$A:$C,2,FALSE))</f>
        <v/>
      </c>
      <c r="E215" s="15" t="str">
        <f>IF(ISNA(VLOOKUP(MID($A215,3,1),Kanji_2_HanViet!$A:$C,2,FALSE)),"",VLOOKUP(MID($A215,3,1),Kanji_2_HanViet!$A:$C,2,FALSE))</f>
        <v/>
      </c>
      <c r="F215" s="15" t="str">
        <f>IF(ISNA(VLOOKUP(MID($A215,4,1),Kanji_2_HanViet!$A:$C,2,FALSE)),"",VLOOKUP(MID($A215,4,1),Kanji_2_HanViet!$A:$C,2,FALSE))</f>
        <v/>
      </c>
      <c r="G215" s="15" t="str">
        <f>IF(ISNA(VLOOKUP(MID($A215,5,1),Kanji_2_HanViet!$A:$C,2,FALSE)),"",VLOOKUP(MID($A215,5,1),Kanji_2_HanViet!$A:$C,2,FALSE))</f>
        <v/>
      </c>
      <c r="H215" s="15" t="str">
        <f>IF(ISNA(VLOOKUP(MID($A215,6,1),Kanji_2_HanViet!$A:$C,2,FALSE)),"",VLOOKUP(MID($A215,6,1),Kanji_2_HanViet!$A:$C,2,FALSE))</f>
        <v/>
      </c>
      <c r="I215" s="15" t="str">
        <f>IF(ISNA(VLOOKUP(MID($A215,7,1),Kanji_2_HanViet!$A:$C,2,FALSE)),"",VLOOKUP(MID($A215,7,1),Kanji_2_HanViet!$A:$C,2,FALSE))</f>
        <v/>
      </c>
      <c r="J215" s="15" t="str">
        <f>IF(ISNA(VLOOKUP(MID($A215,8,1),Kanji_2_HanViet!$A:$C,2,FALSE)),"",VLOOKUP(MID($A215,8,1),Kanji_2_HanViet!$A:$C,2,FALSE))</f>
        <v/>
      </c>
      <c r="K215" s="15" t="str">
        <f>IF(ISNA(VLOOKUP(MID($A215,9,1),Kanji_2_HanViet!$A:$C,2,FALSE)),"",VLOOKUP(MID($A215,9,1),Kanji_2_HanViet!$A:$C,2,FALSE))</f>
        <v/>
      </c>
    </row>
    <row r="216" spans="1:11">
      <c r="A216" s="13">
        <f>Master!B222</f>
        <v>0</v>
      </c>
      <c r="B216" s="16" t="str">
        <f t="shared" si="3"/>
        <v/>
      </c>
      <c r="C216" s="15" t="str">
        <f>IF(ISNA(VLOOKUP(MID($A216,1,1),Kanji_2_HanViet!$A:$C,2,FALSE)),"",VLOOKUP(MID($A216,1,1),Kanji_2_HanViet!$A:$C,2,FALSE))</f>
        <v/>
      </c>
      <c r="D216" s="15" t="str">
        <f>IF(ISNA(VLOOKUP(MID($A216,2,1),Kanji_2_HanViet!$A:$C,2,FALSE)),"",VLOOKUP(MID($A216,2,1),Kanji_2_HanViet!$A:$C,2,FALSE))</f>
        <v/>
      </c>
      <c r="E216" s="15" t="str">
        <f>IF(ISNA(VLOOKUP(MID($A216,3,1),Kanji_2_HanViet!$A:$C,2,FALSE)),"",VLOOKUP(MID($A216,3,1),Kanji_2_HanViet!$A:$C,2,FALSE))</f>
        <v/>
      </c>
      <c r="F216" s="15" t="str">
        <f>IF(ISNA(VLOOKUP(MID($A216,4,1),Kanji_2_HanViet!$A:$C,2,FALSE)),"",VLOOKUP(MID($A216,4,1),Kanji_2_HanViet!$A:$C,2,FALSE))</f>
        <v/>
      </c>
      <c r="G216" s="15" t="str">
        <f>IF(ISNA(VLOOKUP(MID($A216,5,1),Kanji_2_HanViet!$A:$C,2,FALSE)),"",VLOOKUP(MID($A216,5,1),Kanji_2_HanViet!$A:$C,2,FALSE))</f>
        <v/>
      </c>
      <c r="H216" s="15" t="str">
        <f>IF(ISNA(VLOOKUP(MID($A216,6,1),Kanji_2_HanViet!$A:$C,2,FALSE)),"",VLOOKUP(MID($A216,6,1),Kanji_2_HanViet!$A:$C,2,FALSE))</f>
        <v/>
      </c>
      <c r="I216" s="15" t="str">
        <f>IF(ISNA(VLOOKUP(MID($A216,7,1),Kanji_2_HanViet!$A:$C,2,FALSE)),"",VLOOKUP(MID($A216,7,1),Kanji_2_HanViet!$A:$C,2,FALSE))</f>
        <v/>
      </c>
      <c r="J216" s="15" t="str">
        <f>IF(ISNA(VLOOKUP(MID($A216,8,1),Kanji_2_HanViet!$A:$C,2,FALSE)),"",VLOOKUP(MID($A216,8,1),Kanji_2_HanViet!$A:$C,2,FALSE))</f>
        <v/>
      </c>
      <c r="K216" s="15" t="str">
        <f>IF(ISNA(VLOOKUP(MID($A216,9,1),Kanji_2_HanViet!$A:$C,2,FALSE)),"",VLOOKUP(MID($A216,9,1),Kanji_2_HanViet!$A:$C,2,FALSE))</f>
        <v/>
      </c>
    </row>
    <row r="217" spans="1:11">
      <c r="A217" s="13">
        <f>Master!B223</f>
        <v>0</v>
      </c>
      <c r="B217" s="16" t="str">
        <f t="shared" si="3"/>
        <v/>
      </c>
      <c r="C217" s="15" t="str">
        <f>IF(ISNA(VLOOKUP(MID($A217,1,1),Kanji_2_HanViet!$A:$C,2,FALSE)),"",VLOOKUP(MID($A217,1,1),Kanji_2_HanViet!$A:$C,2,FALSE))</f>
        <v/>
      </c>
      <c r="D217" s="15" t="str">
        <f>IF(ISNA(VLOOKUP(MID($A217,2,1),Kanji_2_HanViet!$A:$C,2,FALSE)),"",VLOOKUP(MID($A217,2,1),Kanji_2_HanViet!$A:$C,2,FALSE))</f>
        <v/>
      </c>
      <c r="E217" s="15" t="str">
        <f>IF(ISNA(VLOOKUP(MID($A217,3,1),Kanji_2_HanViet!$A:$C,2,FALSE)),"",VLOOKUP(MID($A217,3,1),Kanji_2_HanViet!$A:$C,2,FALSE))</f>
        <v/>
      </c>
      <c r="F217" s="15" t="str">
        <f>IF(ISNA(VLOOKUP(MID($A217,4,1),Kanji_2_HanViet!$A:$C,2,FALSE)),"",VLOOKUP(MID($A217,4,1),Kanji_2_HanViet!$A:$C,2,FALSE))</f>
        <v/>
      </c>
      <c r="G217" s="15" t="str">
        <f>IF(ISNA(VLOOKUP(MID($A217,5,1),Kanji_2_HanViet!$A:$C,2,FALSE)),"",VLOOKUP(MID($A217,5,1),Kanji_2_HanViet!$A:$C,2,FALSE))</f>
        <v/>
      </c>
      <c r="H217" s="15" t="str">
        <f>IF(ISNA(VLOOKUP(MID($A217,6,1),Kanji_2_HanViet!$A:$C,2,FALSE)),"",VLOOKUP(MID($A217,6,1),Kanji_2_HanViet!$A:$C,2,FALSE))</f>
        <v/>
      </c>
      <c r="I217" s="15" t="str">
        <f>IF(ISNA(VLOOKUP(MID($A217,7,1),Kanji_2_HanViet!$A:$C,2,FALSE)),"",VLOOKUP(MID($A217,7,1),Kanji_2_HanViet!$A:$C,2,FALSE))</f>
        <v/>
      </c>
      <c r="J217" s="15" t="str">
        <f>IF(ISNA(VLOOKUP(MID($A217,8,1),Kanji_2_HanViet!$A:$C,2,FALSE)),"",VLOOKUP(MID($A217,8,1),Kanji_2_HanViet!$A:$C,2,FALSE))</f>
        <v/>
      </c>
      <c r="K217" s="15" t="str">
        <f>IF(ISNA(VLOOKUP(MID($A217,9,1),Kanji_2_HanViet!$A:$C,2,FALSE)),"",VLOOKUP(MID($A217,9,1),Kanji_2_HanViet!$A:$C,2,FALSE))</f>
        <v/>
      </c>
    </row>
    <row r="218" spans="1:11">
      <c r="A218" s="13">
        <f>Master!B224</f>
        <v>0</v>
      </c>
      <c r="B218" s="16" t="str">
        <f t="shared" si="3"/>
        <v/>
      </c>
      <c r="C218" s="15" t="str">
        <f>IF(ISNA(VLOOKUP(MID($A218,1,1),Kanji_2_HanViet!$A:$C,2,FALSE)),"",VLOOKUP(MID($A218,1,1),Kanji_2_HanViet!$A:$C,2,FALSE))</f>
        <v/>
      </c>
      <c r="D218" s="15" t="str">
        <f>IF(ISNA(VLOOKUP(MID($A218,2,1),Kanji_2_HanViet!$A:$C,2,FALSE)),"",VLOOKUP(MID($A218,2,1),Kanji_2_HanViet!$A:$C,2,FALSE))</f>
        <v/>
      </c>
      <c r="E218" s="15" t="str">
        <f>IF(ISNA(VLOOKUP(MID($A218,3,1),Kanji_2_HanViet!$A:$C,2,FALSE)),"",VLOOKUP(MID($A218,3,1),Kanji_2_HanViet!$A:$C,2,FALSE))</f>
        <v/>
      </c>
      <c r="F218" s="15" t="str">
        <f>IF(ISNA(VLOOKUP(MID($A218,4,1),Kanji_2_HanViet!$A:$C,2,FALSE)),"",VLOOKUP(MID($A218,4,1),Kanji_2_HanViet!$A:$C,2,FALSE))</f>
        <v/>
      </c>
      <c r="G218" s="15" t="str">
        <f>IF(ISNA(VLOOKUP(MID($A218,5,1),Kanji_2_HanViet!$A:$C,2,FALSE)),"",VLOOKUP(MID($A218,5,1),Kanji_2_HanViet!$A:$C,2,FALSE))</f>
        <v/>
      </c>
      <c r="H218" s="15" t="str">
        <f>IF(ISNA(VLOOKUP(MID($A218,6,1),Kanji_2_HanViet!$A:$C,2,FALSE)),"",VLOOKUP(MID($A218,6,1),Kanji_2_HanViet!$A:$C,2,FALSE))</f>
        <v/>
      </c>
      <c r="I218" s="15" t="str">
        <f>IF(ISNA(VLOOKUP(MID($A218,7,1),Kanji_2_HanViet!$A:$C,2,FALSE)),"",VLOOKUP(MID($A218,7,1),Kanji_2_HanViet!$A:$C,2,FALSE))</f>
        <v/>
      </c>
      <c r="J218" s="15" t="str">
        <f>IF(ISNA(VLOOKUP(MID($A218,8,1),Kanji_2_HanViet!$A:$C,2,FALSE)),"",VLOOKUP(MID($A218,8,1),Kanji_2_HanViet!$A:$C,2,FALSE))</f>
        <v/>
      </c>
      <c r="K218" s="15" t="str">
        <f>IF(ISNA(VLOOKUP(MID($A218,9,1),Kanji_2_HanViet!$A:$C,2,FALSE)),"",VLOOKUP(MID($A218,9,1),Kanji_2_HanViet!$A:$C,2,FALSE))</f>
        <v/>
      </c>
    </row>
    <row r="219" spans="1:11">
      <c r="A219" s="13">
        <f>Master!B225</f>
        <v>0</v>
      </c>
      <c r="B219" s="16" t="str">
        <f t="shared" si="3"/>
        <v/>
      </c>
      <c r="C219" s="15" t="str">
        <f>IF(ISNA(VLOOKUP(MID($A219,1,1),Kanji_2_HanViet!$A:$C,2,FALSE)),"",VLOOKUP(MID($A219,1,1),Kanji_2_HanViet!$A:$C,2,FALSE))</f>
        <v/>
      </c>
      <c r="D219" s="15" t="str">
        <f>IF(ISNA(VLOOKUP(MID($A219,2,1),Kanji_2_HanViet!$A:$C,2,FALSE)),"",VLOOKUP(MID($A219,2,1),Kanji_2_HanViet!$A:$C,2,FALSE))</f>
        <v/>
      </c>
      <c r="E219" s="15" t="str">
        <f>IF(ISNA(VLOOKUP(MID($A219,3,1),Kanji_2_HanViet!$A:$C,2,FALSE)),"",VLOOKUP(MID($A219,3,1),Kanji_2_HanViet!$A:$C,2,FALSE))</f>
        <v/>
      </c>
      <c r="F219" s="15" t="str">
        <f>IF(ISNA(VLOOKUP(MID($A219,4,1),Kanji_2_HanViet!$A:$C,2,FALSE)),"",VLOOKUP(MID($A219,4,1),Kanji_2_HanViet!$A:$C,2,FALSE))</f>
        <v/>
      </c>
      <c r="G219" s="15" t="str">
        <f>IF(ISNA(VLOOKUP(MID($A219,5,1),Kanji_2_HanViet!$A:$C,2,FALSE)),"",VLOOKUP(MID($A219,5,1),Kanji_2_HanViet!$A:$C,2,FALSE))</f>
        <v/>
      </c>
      <c r="H219" s="15" t="str">
        <f>IF(ISNA(VLOOKUP(MID($A219,6,1),Kanji_2_HanViet!$A:$C,2,FALSE)),"",VLOOKUP(MID($A219,6,1),Kanji_2_HanViet!$A:$C,2,FALSE))</f>
        <v/>
      </c>
      <c r="I219" s="15" t="str">
        <f>IF(ISNA(VLOOKUP(MID($A219,7,1),Kanji_2_HanViet!$A:$C,2,FALSE)),"",VLOOKUP(MID($A219,7,1),Kanji_2_HanViet!$A:$C,2,FALSE))</f>
        <v/>
      </c>
      <c r="J219" s="15" t="str">
        <f>IF(ISNA(VLOOKUP(MID($A219,8,1),Kanji_2_HanViet!$A:$C,2,FALSE)),"",VLOOKUP(MID($A219,8,1),Kanji_2_HanViet!$A:$C,2,FALSE))</f>
        <v/>
      </c>
      <c r="K219" s="15" t="str">
        <f>IF(ISNA(VLOOKUP(MID($A219,9,1),Kanji_2_HanViet!$A:$C,2,FALSE)),"",VLOOKUP(MID($A219,9,1),Kanji_2_HanViet!$A:$C,2,FALSE))</f>
        <v/>
      </c>
    </row>
    <row r="220" spans="1:11">
      <c r="A220" s="13">
        <f>Master!B226</f>
        <v>0</v>
      </c>
      <c r="B220" s="16" t="str">
        <f t="shared" si="3"/>
        <v/>
      </c>
      <c r="C220" s="15" t="str">
        <f>IF(ISNA(VLOOKUP(MID($A220,1,1),Kanji_2_HanViet!$A:$C,2,FALSE)),"",VLOOKUP(MID($A220,1,1),Kanji_2_HanViet!$A:$C,2,FALSE))</f>
        <v/>
      </c>
      <c r="D220" s="15" t="str">
        <f>IF(ISNA(VLOOKUP(MID($A220,2,1),Kanji_2_HanViet!$A:$C,2,FALSE)),"",VLOOKUP(MID($A220,2,1),Kanji_2_HanViet!$A:$C,2,FALSE))</f>
        <v/>
      </c>
      <c r="E220" s="15" t="str">
        <f>IF(ISNA(VLOOKUP(MID($A220,3,1),Kanji_2_HanViet!$A:$C,2,FALSE)),"",VLOOKUP(MID($A220,3,1),Kanji_2_HanViet!$A:$C,2,FALSE))</f>
        <v/>
      </c>
      <c r="F220" s="15" t="str">
        <f>IF(ISNA(VLOOKUP(MID($A220,4,1),Kanji_2_HanViet!$A:$C,2,FALSE)),"",VLOOKUP(MID($A220,4,1),Kanji_2_HanViet!$A:$C,2,FALSE))</f>
        <v/>
      </c>
      <c r="G220" s="15" t="str">
        <f>IF(ISNA(VLOOKUP(MID($A220,5,1),Kanji_2_HanViet!$A:$C,2,FALSE)),"",VLOOKUP(MID($A220,5,1),Kanji_2_HanViet!$A:$C,2,FALSE))</f>
        <v/>
      </c>
      <c r="H220" s="15" t="str">
        <f>IF(ISNA(VLOOKUP(MID($A220,6,1),Kanji_2_HanViet!$A:$C,2,FALSE)),"",VLOOKUP(MID($A220,6,1),Kanji_2_HanViet!$A:$C,2,FALSE))</f>
        <v/>
      </c>
      <c r="I220" s="15" t="str">
        <f>IF(ISNA(VLOOKUP(MID($A220,7,1),Kanji_2_HanViet!$A:$C,2,FALSE)),"",VLOOKUP(MID($A220,7,1),Kanji_2_HanViet!$A:$C,2,FALSE))</f>
        <v/>
      </c>
      <c r="J220" s="15" t="str">
        <f>IF(ISNA(VLOOKUP(MID($A220,8,1),Kanji_2_HanViet!$A:$C,2,FALSE)),"",VLOOKUP(MID($A220,8,1),Kanji_2_HanViet!$A:$C,2,FALSE))</f>
        <v/>
      </c>
      <c r="K220" s="15" t="str">
        <f>IF(ISNA(VLOOKUP(MID($A220,9,1),Kanji_2_HanViet!$A:$C,2,FALSE)),"",VLOOKUP(MID($A220,9,1),Kanji_2_HanViet!$A:$C,2,FALSE))</f>
        <v/>
      </c>
    </row>
    <row r="221" spans="1:11">
      <c r="A221" s="13">
        <f>Master!B227</f>
        <v>0</v>
      </c>
      <c r="B221" s="16" t="str">
        <f t="shared" si="3"/>
        <v/>
      </c>
      <c r="C221" s="15" t="str">
        <f>IF(ISNA(VLOOKUP(MID($A221,1,1),Kanji_2_HanViet!$A:$C,2,FALSE)),"",VLOOKUP(MID($A221,1,1),Kanji_2_HanViet!$A:$C,2,FALSE))</f>
        <v/>
      </c>
      <c r="D221" s="15" t="str">
        <f>IF(ISNA(VLOOKUP(MID($A221,2,1),Kanji_2_HanViet!$A:$C,2,FALSE)),"",VLOOKUP(MID($A221,2,1),Kanji_2_HanViet!$A:$C,2,FALSE))</f>
        <v/>
      </c>
      <c r="E221" s="15" t="str">
        <f>IF(ISNA(VLOOKUP(MID($A221,3,1),Kanji_2_HanViet!$A:$C,2,FALSE)),"",VLOOKUP(MID($A221,3,1),Kanji_2_HanViet!$A:$C,2,FALSE))</f>
        <v/>
      </c>
      <c r="F221" s="15" t="str">
        <f>IF(ISNA(VLOOKUP(MID($A221,4,1),Kanji_2_HanViet!$A:$C,2,FALSE)),"",VLOOKUP(MID($A221,4,1),Kanji_2_HanViet!$A:$C,2,FALSE))</f>
        <v/>
      </c>
      <c r="G221" s="15" t="str">
        <f>IF(ISNA(VLOOKUP(MID($A221,5,1),Kanji_2_HanViet!$A:$C,2,FALSE)),"",VLOOKUP(MID($A221,5,1),Kanji_2_HanViet!$A:$C,2,FALSE))</f>
        <v/>
      </c>
      <c r="H221" s="15" t="str">
        <f>IF(ISNA(VLOOKUP(MID($A221,6,1),Kanji_2_HanViet!$A:$C,2,FALSE)),"",VLOOKUP(MID($A221,6,1),Kanji_2_HanViet!$A:$C,2,FALSE))</f>
        <v/>
      </c>
      <c r="I221" s="15" t="str">
        <f>IF(ISNA(VLOOKUP(MID($A221,7,1),Kanji_2_HanViet!$A:$C,2,FALSE)),"",VLOOKUP(MID($A221,7,1),Kanji_2_HanViet!$A:$C,2,FALSE))</f>
        <v/>
      </c>
      <c r="J221" s="15" t="str">
        <f>IF(ISNA(VLOOKUP(MID($A221,8,1),Kanji_2_HanViet!$A:$C,2,FALSE)),"",VLOOKUP(MID($A221,8,1),Kanji_2_HanViet!$A:$C,2,FALSE))</f>
        <v/>
      </c>
      <c r="K221" s="15" t="str">
        <f>IF(ISNA(VLOOKUP(MID($A221,9,1),Kanji_2_HanViet!$A:$C,2,FALSE)),"",VLOOKUP(MID($A221,9,1),Kanji_2_HanViet!$A:$C,2,FALSE))</f>
        <v/>
      </c>
    </row>
    <row r="222" spans="1:11">
      <c r="A222" s="13">
        <f>Master!B228</f>
        <v>0</v>
      </c>
      <c r="B222" s="16" t="str">
        <f t="shared" si="3"/>
        <v/>
      </c>
      <c r="C222" s="15" t="str">
        <f>IF(ISNA(VLOOKUP(MID($A222,1,1),Kanji_2_HanViet!$A:$C,2,FALSE)),"",VLOOKUP(MID($A222,1,1),Kanji_2_HanViet!$A:$C,2,FALSE))</f>
        <v/>
      </c>
      <c r="D222" s="15" t="str">
        <f>IF(ISNA(VLOOKUP(MID($A222,2,1),Kanji_2_HanViet!$A:$C,2,FALSE)),"",VLOOKUP(MID($A222,2,1),Kanji_2_HanViet!$A:$C,2,FALSE))</f>
        <v/>
      </c>
      <c r="E222" s="15" t="str">
        <f>IF(ISNA(VLOOKUP(MID($A222,3,1),Kanji_2_HanViet!$A:$C,2,FALSE)),"",VLOOKUP(MID($A222,3,1),Kanji_2_HanViet!$A:$C,2,FALSE))</f>
        <v/>
      </c>
      <c r="F222" s="15" t="str">
        <f>IF(ISNA(VLOOKUP(MID($A222,4,1),Kanji_2_HanViet!$A:$C,2,FALSE)),"",VLOOKUP(MID($A222,4,1),Kanji_2_HanViet!$A:$C,2,FALSE))</f>
        <v/>
      </c>
      <c r="G222" s="15" t="str">
        <f>IF(ISNA(VLOOKUP(MID($A222,5,1),Kanji_2_HanViet!$A:$C,2,FALSE)),"",VLOOKUP(MID($A222,5,1),Kanji_2_HanViet!$A:$C,2,FALSE))</f>
        <v/>
      </c>
      <c r="H222" s="15" t="str">
        <f>IF(ISNA(VLOOKUP(MID($A222,6,1),Kanji_2_HanViet!$A:$C,2,FALSE)),"",VLOOKUP(MID($A222,6,1),Kanji_2_HanViet!$A:$C,2,FALSE))</f>
        <v/>
      </c>
      <c r="I222" s="15" t="str">
        <f>IF(ISNA(VLOOKUP(MID($A222,7,1),Kanji_2_HanViet!$A:$C,2,FALSE)),"",VLOOKUP(MID($A222,7,1),Kanji_2_HanViet!$A:$C,2,FALSE))</f>
        <v/>
      </c>
      <c r="J222" s="15" t="str">
        <f>IF(ISNA(VLOOKUP(MID($A222,8,1),Kanji_2_HanViet!$A:$C,2,FALSE)),"",VLOOKUP(MID($A222,8,1),Kanji_2_HanViet!$A:$C,2,FALSE))</f>
        <v/>
      </c>
      <c r="K222" s="15" t="str">
        <f>IF(ISNA(VLOOKUP(MID($A222,9,1),Kanji_2_HanViet!$A:$C,2,FALSE)),"",VLOOKUP(MID($A222,9,1),Kanji_2_HanViet!$A:$C,2,FALSE))</f>
        <v/>
      </c>
    </row>
    <row r="223" spans="1:11">
      <c r="A223" s="13">
        <f>Master!B229</f>
        <v>0</v>
      </c>
      <c r="B223" s="16" t="str">
        <f t="shared" si="3"/>
        <v/>
      </c>
      <c r="C223" s="15" t="str">
        <f>IF(ISNA(VLOOKUP(MID($A223,1,1),Kanji_2_HanViet!$A:$C,2,FALSE)),"",VLOOKUP(MID($A223,1,1),Kanji_2_HanViet!$A:$C,2,FALSE))</f>
        <v/>
      </c>
      <c r="D223" s="15" t="str">
        <f>IF(ISNA(VLOOKUP(MID($A223,2,1),Kanji_2_HanViet!$A:$C,2,FALSE)),"",VLOOKUP(MID($A223,2,1),Kanji_2_HanViet!$A:$C,2,FALSE))</f>
        <v/>
      </c>
      <c r="E223" s="15" t="str">
        <f>IF(ISNA(VLOOKUP(MID($A223,3,1),Kanji_2_HanViet!$A:$C,2,FALSE)),"",VLOOKUP(MID($A223,3,1),Kanji_2_HanViet!$A:$C,2,FALSE))</f>
        <v/>
      </c>
      <c r="F223" s="15" t="str">
        <f>IF(ISNA(VLOOKUP(MID($A223,4,1),Kanji_2_HanViet!$A:$C,2,FALSE)),"",VLOOKUP(MID($A223,4,1),Kanji_2_HanViet!$A:$C,2,FALSE))</f>
        <v/>
      </c>
      <c r="G223" s="15" t="str">
        <f>IF(ISNA(VLOOKUP(MID($A223,5,1),Kanji_2_HanViet!$A:$C,2,FALSE)),"",VLOOKUP(MID($A223,5,1),Kanji_2_HanViet!$A:$C,2,FALSE))</f>
        <v/>
      </c>
      <c r="H223" s="15" t="str">
        <f>IF(ISNA(VLOOKUP(MID($A223,6,1),Kanji_2_HanViet!$A:$C,2,FALSE)),"",VLOOKUP(MID($A223,6,1),Kanji_2_HanViet!$A:$C,2,FALSE))</f>
        <v/>
      </c>
      <c r="I223" s="15" t="str">
        <f>IF(ISNA(VLOOKUP(MID($A223,7,1),Kanji_2_HanViet!$A:$C,2,FALSE)),"",VLOOKUP(MID($A223,7,1),Kanji_2_HanViet!$A:$C,2,FALSE))</f>
        <v/>
      </c>
      <c r="J223" s="15" t="str">
        <f>IF(ISNA(VLOOKUP(MID($A223,8,1),Kanji_2_HanViet!$A:$C,2,FALSE)),"",VLOOKUP(MID($A223,8,1),Kanji_2_HanViet!$A:$C,2,FALSE))</f>
        <v/>
      </c>
      <c r="K223" s="15" t="str">
        <f>IF(ISNA(VLOOKUP(MID($A223,9,1),Kanji_2_HanViet!$A:$C,2,FALSE)),"",VLOOKUP(MID($A223,9,1),Kanji_2_HanViet!$A:$C,2,FALSE))</f>
        <v/>
      </c>
    </row>
    <row r="224" spans="1:11">
      <c r="A224" s="13">
        <f>Master!B230</f>
        <v>0</v>
      </c>
      <c r="B224" s="16" t="str">
        <f t="shared" si="3"/>
        <v/>
      </c>
      <c r="C224" s="15" t="str">
        <f>IF(ISNA(VLOOKUP(MID($A224,1,1),Kanji_2_HanViet!$A:$C,2,FALSE)),"",VLOOKUP(MID($A224,1,1),Kanji_2_HanViet!$A:$C,2,FALSE))</f>
        <v/>
      </c>
      <c r="D224" s="15" t="str">
        <f>IF(ISNA(VLOOKUP(MID($A224,2,1),Kanji_2_HanViet!$A:$C,2,FALSE)),"",VLOOKUP(MID($A224,2,1),Kanji_2_HanViet!$A:$C,2,FALSE))</f>
        <v/>
      </c>
      <c r="E224" s="15" t="str">
        <f>IF(ISNA(VLOOKUP(MID($A224,3,1),Kanji_2_HanViet!$A:$C,2,FALSE)),"",VLOOKUP(MID($A224,3,1),Kanji_2_HanViet!$A:$C,2,FALSE))</f>
        <v/>
      </c>
      <c r="F224" s="15" t="str">
        <f>IF(ISNA(VLOOKUP(MID($A224,4,1),Kanji_2_HanViet!$A:$C,2,FALSE)),"",VLOOKUP(MID($A224,4,1),Kanji_2_HanViet!$A:$C,2,FALSE))</f>
        <v/>
      </c>
      <c r="G224" s="15" t="str">
        <f>IF(ISNA(VLOOKUP(MID($A224,5,1),Kanji_2_HanViet!$A:$C,2,FALSE)),"",VLOOKUP(MID($A224,5,1),Kanji_2_HanViet!$A:$C,2,FALSE))</f>
        <v/>
      </c>
      <c r="H224" s="15" t="str">
        <f>IF(ISNA(VLOOKUP(MID($A224,6,1),Kanji_2_HanViet!$A:$C,2,FALSE)),"",VLOOKUP(MID($A224,6,1),Kanji_2_HanViet!$A:$C,2,FALSE))</f>
        <v/>
      </c>
      <c r="I224" s="15" t="str">
        <f>IF(ISNA(VLOOKUP(MID($A224,7,1),Kanji_2_HanViet!$A:$C,2,FALSE)),"",VLOOKUP(MID($A224,7,1),Kanji_2_HanViet!$A:$C,2,FALSE))</f>
        <v/>
      </c>
      <c r="J224" s="15" t="str">
        <f>IF(ISNA(VLOOKUP(MID($A224,8,1),Kanji_2_HanViet!$A:$C,2,FALSE)),"",VLOOKUP(MID($A224,8,1),Kanji_2_HanViet!$A:$C,2,FALSE))</f>
        <v/>
      </c>
      <c r="K224" s="15" t="str">
        <f>IF(ISNA(VLOOKUP(MID($A224,9,1),Kanji_2_HanViet!$A:$C,2,FALSE)),"",VLOOKUP(MID($A224,9,1),Kanji_2_HanViet!$A:$C,2,FALSE))</f>
        <v/>
      </c>
    </row>
    <row r="225" spans="1:11">
      <c r="A225" s="13">
        <f>Master!B231</f>
        <v>0</v>
      </c>
      <c r="B225" s="16" t="str">
        <f t="shared" si="3"/>
        <v/>
      </c>
      <c r="C225" s="15" t="str">
        <f>IF(ISNA(VLOOKUP(MID($A225,1,1),Kanji_2_HanViet!$A:$C,2,FALSE)),"",VLOOKUP(MID($A225,1,1),Kanji_2_HanViet!$A:$C,2,FALSE))</f>
        <v/>
      </c>
      <c r="D225" s="15" t="str">
        <f>IF(ISNA(VLOOKUP(MID($A225,2,1),Kanji_2_HanViet!$A:$C,2,FALSE)),"",VLOOKUP(MID($A225,2,1),Kanji_2_HanViet!$A:$C,2,FALSE))</f>
        <v/>
      </c>
      <c r="E225" s="15" t="str">
        <f>IF(ISNA(VLOOKUP(MID($A225,3,1),Kanji_2_HanViet!$A:$C,2,FALSE)),"",VLOOKUP(MID($A225,3,1),Kanji_2_HanViet!$A:$C,2,FALSE))</f>
        <v/>
      </c>
      <c r="F225" s="15" t="str">
        <f>IF(ISNA(VLOOKUP(MID($A225,4,1),Kanji_2_HanViet!$A:$C,2,FALSE)),"",VLOOKUP(MID($A225,4,1),Kanji_2_HanViet!$A:$C,2,FALSE))</f>
        <v/>
      </c>
      <c r="G225" s="15" t="str">
        <f>IF(ISNA(VLOOKUP(MID($A225,5,1),Kanji_2_HanViet!$A:$C,2,FALSE)),"",VLOOKUP(MID($A225,5,1),Kanji_2_HanViet!$A:$C,2,FALSE))</f>
        <v/>
      </c>
      <c r="H225" s="15" t="str">
        <f>IF(ISNA(VLOOKUP(MID($A225,6,1),Kanji_2_HanViet!$A:$C,2,FALSE)),"",VLOOKUP(MID($A225,6,1),Kanji_2_HanViet!$A:$C,2,FALSE))</f>
        <v/>
      </c>
      <c r="I225" s="15" t="str">
        <f>IF(ISNA(VLOOKUP(MID($A225,7,1),Kanji_2_HanViet!$A:$C,2,FALSE)),"",VLOOKUP(MID($A225,7,1),Kanji_2_HanViet!$A:$C,2,FALSE))</f>
        <v/>
      </c>
      <c r="J225" s="15" t="str">
        <f>IF(ISNA(VLOOKUP(MID($A225,8,1),Kanji_2_HanViet!$A:$C,2,FALSE)),"",VLOOKUP(MID($A225,8,1),Kanji_2_HanViet!$A:$C,2,FALSE))</f>
        <v/>
      </c>
      <c r="K225" s="15" t="str">
        <f>IF(ISNA(VLOOKUP(MID($A225,9,1),Kanji_2_HanViet!$A:$C,2,FALSE)),"",VLOOKUP(MID($A225,9,1),Kanji_2_HanViet!$A:$C,2,FALSE))</f>
        <v/>
      </c>
    </row>
    <row r="226" spans="1:11">
      <c r="A226" s="13">
        <f>Master!B232</f>
        <v>0</v>
      </c>
      <c r="B226" s="16" t="str">
        <f t="shared" si="3"/>
        <v/>
      </c>
      <c r="C226" s="15" t="str">
        <f>IF(ISNA(VLOOKUP(MID($A226,1,1),Kanji_2_HanViet!$A:$C,2,FALSE)),"",VLOOKUP(MID($A226,1,1),Kanji_2_HanViet!$A:$C,2,FALSE))</f>
        <v/>
      </c>
      <c r="D226" s="15" t="str">
        <f>IF(ISNA(VLOOKUP(MID($A226,2,1),Kanji_2_HanViet!$A:$C,2,FALSE)),"",VLOOKUP(MID($A226,2,1),Kanji_2_HanViet!$A:$C,2,FALSE))</f>
        <v/>
      </c>
      <c r="E226" s="15" t="str">
        <f>IF(ISNA(VLOOKUP(MID($A226,3,1),Kanji_2_HanViet!$A:$C,2,FALSE)),"",VLOOKUP(MID($A226,3,1),Kanji_2_HanViet!$A:$C,2,FALSE))</f>
        <v/>
      </c>
      <c r="F226" s="15" t="str">
        <f>IF(ISNA(VLOOKUP(MID($A226,4,1),Kanji_2_HanViet!$A:$C,2,FALSE)),"",VLOOKUP(MID($A226,4,1),Kanji_2_HanViet!$A:$C,2,FALSE))</f>
        <v/>
      </c>
      <c r="G226" s="15" t="str">
        <f>IF(ISNA(VLOOKUP(MID($A226,5,1),Kanji_2_HanViet!$A:$C,2,FALSE)),"",VLOOKUP(MID($A226,5,1),Kanji_2_HanViet!$A:$C,2,FALSE))</f>
        <v/>
      </c>
      <c r="H226" s="15" t="str">
        <f>IF(ISNA(VLOOKUP(MID($A226,6,1),Kanji_2_HanViet!$A:$C,2,FALSE)),"",VLOOKUP(MID($A226,6,1),Kanji_2_HanViet!$A:$C,2,FALSE))</f>
        <v/>
      </c>
      <c r="I226" s="15" t="str">
        <f>IF(ISNA(VLOOKUP(MID($A226,7,1),Kanji_2_HanViet!$A:$C,2,FALSE)),"",VLOOKUP(MID($A226,7,1),Kanji_2_HanViet!$A:$C,2,FALSE))</f>
        <v/>
      </c>
      <c r="J226" s="15" t="str">
        <f>IF(ISNA(VLOOKUP(MID($A226,8,1),Kanji_2_HanViet!$A:$C,2,FALSE)),"",VLOOKUP(MID($A226,8,1),Kanji_2_HanViet!$A:$C,2,FALSE))</f>
        <v/>
      </c>
      <c r="K226" s="15" t="str">
        <f>IF(ISNA(VLOOKUP(MID($A226,9,1),Kanji_2_HanViet!$A:$C,2,FALSE)),"",VLOOKUP(MID($A226,9,1),Kanji_2_HanViet!$A:$C,2,FALSE))</f>
        <v/>
      </c>
    </row>
    <row r="227" spans="1:11">
      <c r="A227" s="13">
        <f>Master!B233</f>
        <v>0</v>
      </c>
      <c r="B227" s="16" t="str">
        <f t="shared" si="3"/>
        <v/>
      </c>
      <c r="C227" s="15" t="str">
        <f>IF(ISNA(VLOOKUP(MID($A227,1,1),Kanji_2_HanViet!$A:$C,2,FALSE)),"",VLOOKUP(MID($A227,1,1),Kanji_2_HanViet!$A:$C,2,FALSE))</f>
        <v/>
      </c>
      <c r="D227" s="15" t="str">
        <f>IF(ISNA(VLOOKUP(MID($A227,2,1),Kanji_2_HanViet!$A:$C,2,FALSE)),"",VLOOKUP(MID($A227,2,1),Kanji_2_HanViet!$A:$C,2,FALSE))</f>
        <v/>
      </c>
      <c r="E227" s="15" t="str">
        <f>IF(ISNA(VLOOKUP(MID($A227,3,1),Kanji_2_HanViet!$A:$C,2,FALSE)),"",VLOOKUP(MID($A227,3,1),Kanji_2_HanViet!$A:$C,2,FALSE))</f>
        <v/>
      </c>
      <c r="F227" s="15" t="str">
        <f>IF(ISNA(VLOOKUP(MID($A227,4,1),Kanji_2_HanViet!$A:$C,2,FALSE)),"",VLOOKUP(MID($A227,4,1),Kanji_2_HanViet!$A:$C,2,FALSE))</f>
        <v/>
      </c>
      <c r="G227" s="15" t="str">
        <f>IF(ISNA(VLOOKUP(MID($A227,5,1),Kanji_2_HanViet!$A:$C,2,FALSE)),"",VLOOKUP(MID($A227,5,1),Kanji_2_HanViet!$A:$C,2,FALSE))</f>
        <v/>
      </c>
      <c r="H227" s="15" t="str">
        <f>IF(ISNA(VLOOKUP(MID($A227,6,1),Kanji_2_HanViet!$A:$C,2,FALSE)),"",VLOOKUP(MID($A227,6,1),Kanji_2_HanViet!$A:$C,2,FALSE))</f>
        <v/>
      </c>
      <c r="I227" s="15" t="str">
        <f>IF(ISNA(VLOOKUP(MID($A227,7,1),Kanji_2_HanViet!$A:$C,2,FALSE)),"",VLOOKUP(MID($A227,7,1),Kanji_2_HanViet!$A:$C,2,FALSE))</f>
        <v/>
      </c>
      <c r="J227" s="15" t="str">
        <f>IF(ISNA(VLOOKUP(MID($A227,8,1),Kanji_2_HanViet!$A:$C,2,FALSE)),"",VLOOKUP(MID($A227,8,1),Kanji_2_HanViet!$A:$C,2,FALSE))</f>
        <v/>
      </c>
      <c r="K227" s="15" t="str">
        <f>IF(ISNA(VLOOKUP(MID($A227,9,1),Kanji_2_HanViet!$A:$C,2,FALSE)),"",VLOOKUP(MID($A227,9,1),Kanji_2_HanViet!$A:$C,2,FALSE))</f>
        <v/>
      </c>
    </row>
    <row r="228" spans="1:11">
      <c r="A228" s="13">
        <f>Master!B234</f>
        <v>0</v>
      </c>
      <c r="B228" s="16" t="str">
        <f t="shared" si="3"/>
        <v/>
      </c>
      <c r="C228" s="15" t="str">
        <f>IF(ISNA(VLOOKUP(MID($A228,1,1),Kanji_2_HanViet!$A:$C,2,FALSE)),"",VLOOKUP(MID($A228,1,1),Kanji_2_HanViet!$A:$C,2,FALSE))</f>
        <v/>
      </c>
      <c r="D228" s="15" t="str">
        <f>IF(ISNA(VLOOKUP(MID($A228,2,1),Kanji_2_HanViet!$A:$C,2,FALSE)),"",VLOOKUP(MID($A228,2,1),Kanji_2_HanViet!$A:$C,2,FALSE))</f>
        <v/>
      </c>
      <c r="E228" s="15" t="str">
        <f>IF(ISNA(VLOOKUP(MID($A228,3,1),Kanji_2_HanViet!$A:$C,2,FALSE)),"",VLOOKUP(MID($A228,3,1),Kanji_2_HanViet!$A:$C,2,FALSE))</f>
        <v/>
      </c>
      <c r="F228" s="15" t="str">
        <f>IF(ISNA(VLOOKUP(MID($A228,4,1),Kanji_2_HanViet!$A:$C,2,FALSE)),"",VLOOKUP(MID($A228,4,1),Kanji_2_HanViet!$A:$C,2,FALSE))</f>
        <v/>
      </c>
      <c r="G228" s="15" t="str">
        <f>IF(ISNA(VLOOKUP(MID($A228,5,1),Kanji_2_HanViet!$A:$C,2,FALSE)),"",VLOOKUP(MID($A228,5,1),Kanji_2_HanViet!$A:$C,2,FALSE))</f>
        <v/>
      </c>
      <c r="H228" s="15" t="str">
        <f>IF(ISNA(VLOOKUP(MID($A228,6,1),Kanji_2_HanViet!$A:$C,2,FALSE)),"",VLOOKUP(MID($A228,6,1),Kanji_2_HanViet!$A:$C,2,FALSE))</f>
        <v/>
      </c>
      <c r="I228" s="15" t="str">
        <f>IF(ISNA(VLOOKUP(MID($A228,7,1),Kanji_2_HanViet!$A:$C,2,FALSE)),"",VLOOKUP(MID($A228,7,1),Kanji_2_HanViet!$A:$C,2,FALSE))</f>
        <v/>
      </c>
      <c r="J228" s="15" t="str">
        <f>IF(ISNA(VLOOKUP(MID($A228,8,1),Kanji_2_HanViet!$A:$C,2,FALSE)),"",VLOOKUP(MID($A228,8,1),Kanji_2_HanViet!$A:$C,2,FALSE))</f>
        <v/>
      </c>
      <c r="K228" s="15" t="str">
        <f>IF(ISNA(VLOOKUP(MID($A228,9,1),Kanji_2_HanViet!$A:$C,2,FALSE)),"",VLOOKUP(MID($A228,9,1),Kanji_2_HanViet!$A:$C,2,FALSE))</f>
        <v/>
      </c>
    </row>
    <row r="229" spans="1:11">
      <c r="A229" s="13">
        <f>Master!B235</f>
        <v>0</v>
      </c>
      <c r="B229" s="16" t="str">
        <f t="shared" si="3"/>
        <v/>
      </c>
      <c r="C229" s="15" t="str">
        <f>IF(ISNA(VLOOKUP(MID($A229,1,1),Kanji_2_HanViet!$A:$C,2,FALSE)),"",VLOOKUP(MID($A229,1,1),Kanji_2_HanViet!$A:$C,2,FALSE))</f>
        <v/>
      </c>
      <c r="D229" s="15" t="str">
        <f>IF(ISNA(VLOOKUP(MID($A229,2,1),Kanji_2_HanViet!$A:$C,2,FALSE)),"",VLOOKUP(MID($A229,2,1),Kanji_2_HanViet!$A:$C,2,FALSE))</f>
        <v/>
      </c>
      <c r="E229" s="15" t="str">
        <f>IF(ISNA(VLOOKUP(MID($A229,3,1),Kanji_2_HanViet!$A:$C,2,FALSE)),"",VLOOKUP(MID($A229,3,1),Kanji_2_HanViet!$A:$C,2,FALSE))</f>
        <v/>
      </c>
      <c r="F229" s="15" t="str">
        <f>IF(ISNA(VLOOKUP(MID($A229,4,1),Kanji_2_HanViet!$A:$C,2,FALSE)),"",VLOOKUP(MID($A229,4,1),Kanji_2_HanViet!$A:$C,2,FALSE))</f>
        <v/>
      </c>
      <c r="G229" s="15" t="str">
        <f>IF(ISNA(VLOOKUP(MID($A229,5,1),Kanji_2_HanViet!$A:$C,2,FALSE)),"",VLOOKUP(MID($A229,5,1),Kanji_2_HanViet!$A:$C,2,FALSE))</f>
        <v/>
      </c>
      <c r="H229" s="15" t="str">
        <f>IF(ISNA(VLOOKUP(MID($A229,6,1),Kanji_2_HanViet!$A:$C,2,FALSE)),"",VLOOKUP(MID($A229,6,1),Kanji_2_HanViet!$A:$C,2,FALSE))</f>
        <v/>
      </c>
      <c r="I229" s="15" t="str">
        <f>IF(ISNA(VLOOKUP(MID($A229,7,1),Kanji_2_HanViet!$A:$C,2,FALSE)),"",VLOOKUP(MID($A229,7,1),Kanji_2_HanViet!$A:$C,2,FALSE))</f>
        <v/>
      </c>
      <c r="J229" s="15" t="str">
        <f>IF(ISNA(VLOOKUP(MID($A229,8,1),Kanji_2_HanViet!$A:$C,2,FALSE)),"",VLOOKUP(MID($A229,8,1),Kanji_2_HanViet!$A:$C,2,FALSE))</f>
        <v/>
      </c>
      <c r="K229" s="15" t="str">
        <f>IF(ISNA(VLOOKUP(MID($A229,9,1),Kanji_2_HanViet!$A:$C,2,FALSE)),"",VLOOKUP(MID($A229,9,1),Kanji_2_HanViet!$A:$C,2,FALSE))</f>
        <v/>
      </c>
    </row>
    <row r="230" spans="1:11">
      <c r="A230" s="13">
        <f>Master!B236</f>
        <v>0</v>
      </c>
      <c r="B230" s="16" t="str">
        <f t="shared" si="3"/>
        <v/>
      </c>
      <c r="C230" s="15" t="str">
        <f>IF(ISNA(VLOOKUP(MID($A230,1,1),Kanji_2_HanViet!$A:$C,2,FALSE)),"",VLOOKUP(MID($A230,1,1),Kanji_2_HanViet!$A:$C,2,FALSE))</f>
        <v/>
      </c>
      <c r="D230" s="15" t="str">
        <f>IF(ISNA(VLOOKUP(MID($A230,2,1),Kanji_2_HanViet!$A:$C,2,FALSE)),"",VLOOKUP(MID($A230,2,1),Kanji_2_HanViet!$A:$C,2,FALSE))</f>
        <v/>
      </c>
      <c r="E230" s="15" t="str">
        <f>IF(ISNA(VLOOKUP(MID($A230,3,1),Kanji_2_HanViet!$A:$C,2,FALSE)),"",VLOOKUP(MID($A230,3,1),Kanji_2_HanViet!$A:$C,2,FALSE))</f>
        <v/>
      </c>
      <c r="F230" s="15" t="str">
        <f>IF(ISNA(VLOOKUP(MID($A230,4,1),Kanji_2_HanViet!$A:$C,2,FALSE)),"",VLOOKUP(MID($A230,4,1),Kanji_2_HanViet!$A:$C,2,FALSE))</f>
        <v/>
      </c>
      <c r="G230" s="15" t="str">
        <f>IF(ISNA(VLOOKUP(MID($A230,5,1),Kanji_2_HanViet!$A:$C,2,FALSE)),"",VLOOKUP(MID($A230,5,1),Kanji_2_HanViet!$A:$C,2,FALSE))</f>
        <v/>
      </c>
      <c r="H230" s="15" t="str">
        <f>IF(ISNA(VLOOKUP(MID($A230,6,1),Kanji_2_HanViet!$A:$C,2,FALSE)),"",VLOOKUP(MID($A230,6,1),Kanji_2_HanViet!$A:$C,2,FALSE))</f>
        <v/>
      </c>
      <c r="I230" s="15" t="str">
        <f>IF(ISNA(VLOOKUP(MID($A230,7,1),Kanji_2_HanViet!$A:$C,2,FALSE)),"",VLOOKUP(MID($A230,7,1),Kanji_2_HanViet!$A:$C,2,FALSE))</f>
        <v/>
      </c>
      <c r="J230" s="15" t="str">
        <f>IF(ISNA(VLOOKUP(MID($A230,8,1),Kanji_2_HanViet!$A:$C,2,FALSE)),"",VLOOKUP(MID($A230,8,1),Kanji_2_HanViet!$A:$C,2,FALSE))</f>
        <v/>
      </c>
      <c r="K230" s="15" t="str">
        <f>IF(ISNA(VLOOKUP(MID($A230,9,1),Kanji_2_HanViet!$A:$C,2,FALSE)),"",VLOOKUP(MID($A230,9,1),Kanji_2_HanViet!$A:$C,2,FALSE))</f>
        <v/>
      </c>
    </row>
    <row r="231" spans="1:11">
      <c r="A231" s="13">
        <f>Master!B237</f>
        <v>0</v>
      </c>
      <c r="B231" s="16" t="str">
        <f t="shared" si="3"/>
        <v/>
      </c>
      <c r="C231" s="15" t="str">
        <f>IF(ISNA(VLOOKUP(MID($A231,1,1),Kanji_2_HanViet!$A:$C,2,FALSE)),"",VLOOKUP(MID($A231,1,1),Kanji_2_HanViet!$A:$C,2,FALSE))</f>
        <v/>
      </c>
      <c r="D231" s="15" t="str">
        <f>IF(ISNA(VLOOKUP(MID($A231,2,1),Kanji_2_HanViet!$A:$C,2,FALSE)),"",VLOOKUP(MID($A231,2,1),Kanji_2_HanViet!$A:$C,2,FALSE))</f>
        <v/>
      </c>
      <c r="E231" s="15" t="str">
        <f>IF(ISNA(VLOOKUP(MID($A231,3,1),Kanji_2_HanViet!$A:$C,2,FALSE)),"",VLOOKUP(MID($A231,3,1),Kanji_2_HanViet!$A:$C,2,FALSE))</f>
        <v/>
      </c>
      <c r="F231" s="15" t="str">
        <f>IF(ISNA(VLOOKUP(MID($A231,4,1),Kanji_2_HanViet!$A:$C,2,FALSE)),"",VLOOKUP(MID($A231,4,1),Kanji_2_HanViet!$A:$C,2,FALSE))</f>
        <v/>
      </c>
      <c r="G231" s="15" t="str">
        <f>IF(ISNA(VLOOKUP(MID($A231,5,1),Kanji_2_HanViet!$A:$C,2,FALSE)),"",VLOOKUP(MID($A231,5,1),Kanji_2_HanViet!$A:$C,2,FALSE))</f>
        <v/>
      </c>
      <c r="H231" s="15" t="str">
        <f>IF(ISNA(VLOOKUP(MID($A231,6,1),Kanji_2_HanViet!$A:$C,2,FALSE)),"",VLOOKUP(MID($A231,6,1),Kanji_2_HanViet!$A:$C,2,FALSE))</f>
        <v/>
      </c>
      <c r="I231" s="15" t="str">
        <f>IF(ISNA(VLOOKUP(MID($A231,7,1),Kanji_2_HanViet!$A:$C,2,FALSE)),"",VLOOKUP(MID($A231,7,1),Kanji_2_HanViet!$A:$C,2,FALSE))</f>
        <v/>
      </c>
      <c r="J231" s="15" t="str">
        <f>IF(ISNA(VLOOKUP(MID($A231,8,1),Kanji_2_HanViet!$A:$C,2,FALSE)),"",VLOOKUP(MID($A231,8,1),Kanji_2_HanViet!$A:$C,2,FALSE))</f>
        <v/>
      </c>
      <c r="K231" s="15" t="str">
        <f>IF(ISNA(VLOOKUP(MID($A231,9,1),Kanji_2_HanViet!$A:$C,2,FALSE)),"",VLOOKUP(MID($A231,9,1),Kanji_2_HanViet!$A:$C,2,FALSE))</f>
        <v/>
      </c>
    </row>
    <row r="232" spans="1:11">
      <c r="A232" s="13">
        <f>Master!B238</f>
        <v>0</v>
      </c>
      <c r="B232" s="16" t="str">
        <f t="shared" si="3"/>
        <v/>
      </c>
      <c r="C232" s="15" t="str">
        <f>IF(ISNA(VLOOKUP(MID($A232,1,1),Kanji_2_HanViet!$A:$C,2,FALSE)),"",VLOOKUP(MID($A232,1,1),Kanji_2_HanViet!$A:$C,2,FALSE))</f>
        <v/>
      </c>
      <c r="D232" s="15" t="str">
        <f>IF(ISNA(VLOOKUP(MID($A232,2,1),Kanji_2_HanViet!$A:$C,2,FALSE)),"",VLOOKUP(MID($A232,2,1),Kanji_2_HanViet!$A:$C,2,FALSE))</f>
        <v/>
      </c>
      <c r="E232" s="15" t="str">
        <f>IF(ISNA(VLOOKUP(MID($A232,3,1),Kanji_2_HanViet!$A:$C,2,FALSE)),"",VLOOKUP(MID($A232,3,1),Kanji_2_HanViet!$A:$C,2,FALSE))</f>
        <v/>
      </c>
      <c r="F232" s="15" t="str">
        <f>IF(ISNA(VLOOKUP(MID($A232,4,1),Kanji_2_HanViet!$A:$C,2,FALSE)),"",VLOOKUP(MID($A232,4,1),Kanji_2_HanViet!$A:$C,2,FALSE))</f>
        <v/>
      </c>
      <c r="G232" s="15" t="str">
        <f>IF(ISNA(VLOOKUP(MID($A232,5,1),Kanji_2_HanViet!$A:$C,2,FALSE)),"",VLOOKUP(MID($A232,5,1),Kanji_2_HanViet!$A:$C,2,FALSE))</f>
        <v/>
      </c>
      <c r="H232" s="15" t="str">
        <f>IF(ISNA(VLOOKUP(MID($A232,6,1),Kanji_2_HanViet!$A:$C,2,FALSE)),"",VLOOKUP(MID($A232,6,1),Kanji_2_HanViet!$A:$C,2,FALSE))</f>
        <v/>
      </c>
      <c r="I232" s="15" t="str">
        <f>IF(ISNA(VLOOKUP(MID($A232,7,1),Kanji_2_HanViet!$A:$C,2,FALSE)),"",VLOOKUP(MID($A232,7,1),Kanji_2_HanViet!$A:$C,2,FALSE))</f>
        <v/>
      </c>
      <c r="J232" s="15" t="str">
        <f>IF(ISNA(VLOOKUP(MID($A232,8,1),Kanji_2_HanViet!$A:$C,2,FALSE)),"",VLOOKUP(MID($A232,8,1),Kanji_2_HanViet!$A:$C,2,FALSE))</f>
        <v/>
      </c>
      <c r="K232" s="15" t="str">
        <f>IF(ISNA(VLOOKUP(MID($A232,9,1),Kanji_2_HanViet!$A:$C,2,FALSE)),"",VLOOKUP(MID($A232,9,1),Kanji_2_HanViet!$A:$C,2,FALSE))</f>
        <v/>
      </c>
    </row>
    <row r="233" spans="1:11">
      <c r="A233" s="13">
        <f>Master!B239</f>
        <v>0</v>
      </c>
      <c r="B233" s="16" t="str">
        <f t="shared" si="3"/>
        <v/>
      </c>
      <c r="C233" s="15" t="str">
        <f>IF(ISNA(VLOOKUP(MID($A233,1,1),Kanji_2_HanViet!$A:$C,2,FALSE)),"",VLOOKUP(MID($A233,1,1),Kanji_2_HanViet!$A:$C,2,FALSE))</f>
        <v/>
      </c>
      <c r="D233" s="15" t="str">
        <f>IF(ISNA(VLOOKUP(MID($A233,2,1),Kanji_2_HanViet!$A:$C,2,FALSE)),"",VLOOKUP(MID($A233,2,1),Kanji_2_HanViet!$A:$C,2,FALSE))</f>
        <v/>
      </c>
      <c r="E233" s="15" t="str">
        <f>IF(ISNA(VLOOKUP(MID($A233,3,1),Kanji_2_HanViet!$A:$C,2,FALSE)),"",VLOOKUP(MID($A233,3,1),Kanji_2_HanViet!$A:$C,2,FALSE))</f>
        <v/>
      </c>
      <c r="F233" s="15" t="str">
        <f>IF(ISNA(VLOOKUP(MID($A233,4,1),Kanji_2_HanViet!$A:$C,2,FALSE)),"",VLOOKUP(MID($A233,4,1),Kanji_2_HanViet!$A:$C,2,FALSE))</f>
        <v/>
      </c>
      <c r="G233" s="15" t="str">
        <f>IF(ISNA(VLOOKUP(MID($A233,5,1),Kanji_2_HanViet!$A:$C,2,FALSE)),"",VLOOKUP(MID($A233,5,1),Kanji_2_HanViet!$A:$C,2,FALSE))</f>
        <v/>
      </c>
      <c r="H233" s="15" t="str">
        <f>IF(ISNA(VLOOKUP(MID($A233,6,1),Kanji_2_HanViet!$A:$C,2,FALSE)),"",VLOOKUP(MID($A233,6,1),Kanji_2_HanViet!$A:$C,2,FALSE))</f>
        <v/>
      </c>
      <c r="I233" s="15" t="str">
        <f>IF(ISNA(VLOOKUP(MID($A233,7,1),Kanji_2_HanViet!$A:$C,2,FALSE)),"",VLOOKUP(MID($A233,7,1),Kanji_2_HanViet!$A:$C,2,FALSE))</f>
        <v/>
      </c>
      <c r="J233" s="15" t="str">
        <f>IF(ISNA(VLOOKUP(MID($A233,8,1),Kanji_2_HanViet!$A:$C,2,FALSE)),"",VLOOKUP(MID($A233,8,1),Kanji_2_HanViet!$A:$C,2,FALSE))</f>
        <v/>
      </c>
      <c r="K233" s="15" t="str">
        <f>IF(ISNA(VLOOKUP(MID($A233,9,1),Kanji_2_HanViet!$A:$C,2,FALSE)),"",VLOOKUP(MID($A233,9,1),Kanji_2_HanViet!$A:$C,2,FALSE))</f>
        <v/>
      </c>
    </row>
    <row r="234" spans="1:11">
      <c r="A234" s="13">
        <f>Master!B240</f>
        <v>0</v>
      </c>
      <c r="B234" s="16" t="str">
        <f t="shared" si="3"/>
        <v/>
      </c>
      <c r="C234" s="15" t="str">
        <f>IF(ISNA(VLOOKUP(MID($A234,1,1),Kanji_2_HanViet!$A:$C,2,FALSE)),"",VLOOKUP(MID($A234,1,1),Kanji_2_HanViet!$A:$C,2,FALSE))</f>
        <v/>
      </c>
      <c r="D234" s="15" t="str">
        <f>IF(ISNA(VLOOKUP(MID($A234,2,1),Kanji_2_HanViet!$A:$C,2,FALSE)),"",VLOOKUP(MID($A234,2,1),Kanji_2_HanViet!$A:$C,2,FALSE))</f>
        <v/>
      </c>
      <c r="E234" s="15" t="str">
        <f>IF(ISNA(VLOOKUP(MID($A234,3,1),Kanji_2_HanViet!$A:$C,2,FALSE)),"",VLOOKUP(MID($A234,3,1),Kanji_2_HanViet!$A:$C,2,FALSE))</f>
        <v/>
      </c>
      <c r="F234" s="15" t="str">
        <f>IF(ISNA(VLOOKUP(MID($A234,4,1),Kanji_2_HanViet!$A:$C,2,FALSE)),"",VLOOKUP(MID($A234,4,1),Kanji_2_HanViet!$A:$C,2,FALSE))</f>
        <v/>
      </c>
      <c r="G234" s="15" t="str">
        <f>IF(ISNA(VLOOKUP(MID($A234,5,1),Kanji_2_HanViet!$A:$C,2,FALSE)),"",VLOOKUP(MID($A234,5,1),Kanji_2_HanViet!$A:$C,2,FALSE))</f>
        <v/>
      </c>
      <c r="H234" s="15" t="str">
        <f>IF(ISNA(VLOOKUP(MID($A234,6,1),Kanji_2_HanViet!$A:$C,2,FALSE)),"",VLOOKUP(MID($A234,6,1),Kanji_2_HanViet!$A:$C,2,FALSE))</f>
        <v/>
      </c>
      <c r="I234" s="15" t="str">
        <f>IF(ISNA(VLOOKUP(MID($A234,7,1),Kanji_2_HanViet!$A:$C,2,FALSE)),"",VLOOKUP(MID($A234,7,1),Kanji_2_HanViet!$A:$C,2,FALSE))</f>
        <v/>
      </c>
      <c r="J234" s="15" t="str">
        <f>IF(ISNA(VLOOKUP(MID($A234,8,1),Kanji_2_HanViet!$A:$C,2,FALSE)),"",VLOOKUP(MID($A234,8,1),Kanji_2_HanViet!$A:$C,2,FALSE))</f>
        <v/>
      </c>
      <c r="K234" s="15" t="str">
        <f>IF(ISNA(VLOOKUP(MID($A234,9,1),Kanji_2_HanViet!$A:$C,2,FALSE)),"",VLOOKUP(MID($A234,9,1),Kanji_2_HanViet!$A:$C,2,FALSE))</f>
        <v/>
      </c>
    </row>
    <row r="235" spans="1:11">
      <c r="A235" s="13">
        <f>Master!B241</f>
        <v>0</v>
      </c>
      <c r="B235" s="16" t="str">
        <f t="shared" si="3"/>
        <v/>
      </c>
      <c r="C235" s="15" t="str">
        <f>IF(ISNA(VLOOKUP(MID($A235,1,1),Kanji_2_HanViet!$A:$C,2,FALSE)),"",VLOOKUP(MID($A235,1,1),Kanji_2_HanViet!$A:$C,2,FALSE))</f>
        <v/>
      </c>
      <c r="D235" s="15" t="str">
        <f>IF(ISNA(VLOOKUP(MID($A235,2,1),Kanji_2_HanViet!$A:$C,2,FALSE)),"",VLOOKUP(MID($A235,2,1),Kanji_2_HanViet!$A:$C,2,FALSE))</f>
        <v/>
      </c>
      <c r="E235" s="15" t="str">
        <f>IF(ISNA(VLOOKUP(MID($A235,3,1),Kanji_2_HanViet!$A:$C,2,FALSE)),"",VLOOKUP(MID($A235,3,1),Kanji_2_HanViet!$A:$C,2,FALSE))</f>
        <v/>
      </c>
      <c r="F235" s="15" t="str">
        <f>IF(ISNA(VLOOKUP(MID($A235,4,1),Kanji_2_HanViet!$A:$C,2,FALSE)),"",VLOOKUP(MID($A235,4,1),Kanji_2_HanViet!$A:$C,2,FALSE))</f>
        <v/>
      </c>
      <c r="G235" s="15" t="str">
        <f>IF(ISNA(VLOOKUP(MID($A235,5,1),Kanji_2_HanViet!$A:$C,2,FALSE)),"",VLOOKUP(MID($A235,5,1),Kanji_2_HanViet!$A:$C,2,FALSE))</f>
        <v/>
      </c>
      <c r="H235" s="15" t="str">
        <f>IF(ISNA(VLOOKUP(MID($A235,6,1),Kanji_2_HanViet!$A:$C,2,FALSE)),"",VLOOKUP(MID($A235,6,1),Kanji_2_HanViet!$A:$C,2,FALSE))</f>
        <v/>
      </c>
      <c r="I235" s="15" t="str">
        <f>IF(ISNA(VLOOKUP(MID($A235,7,1),Kanji_2_HanViet!$A:$C,2,FALSE)),"",VLOOKUP(MID($A235,7,1),Kanji_2_HanViet!$A:$C,2,FALSE))</f>
        <v/>
      </c>
      <c r="J235" s="15" t="str">
        <f>IF(ISNA(VLOOKUP(MID($A235,8,1),Kanji_2_HanViet!$A:$C,2,FALSE)),"",VLOOKUP(MID($A235,8,1),Kanji_2_HanViet!$A:$C,2,FALSE))</f>
        <v/>
      </c>
      <c r="K235" s="15" t="str">
        <f>IF(ISNA(VLOOKUP(MID($A235,9,1),Kanji_2_HanViet!$A:$C,2,FALSE)),"",VLOOKUP(MID($A235,9,1),Kanji_2_HanViet!$A:$C,2,FALSE))</f>
        <v/>
      </c>
    </row>
    <row r="236" spans="1:11">
      <c r="A236" s="13">
        <f>Master!B242</f>
        <v>0</v>
      </c>
      <c r="B236" s="16" t="str">
        <f t="shared" si="3"/>
        <v/>
      </c>
      <c r="C236" s="15" t="str">
        <f>IF(ISNA(VLOOKUP(MID($A236,1,1),Kanji_2_HanViet!$A:$C,2,FALSE)),"",VLOOKUP(MID($A236,1,1),Kanji_2_HanViet!$A:$C,2,FALSE))</f>
        <v/>
      </c>
      <c r="D236" s="15" t="str">
        <f>IF(ISNA(VLOOKUP(MID($A236,2,1),Kanji_2_HanViet!$A:$C,2,FALSE)),"",VLOOKUP(MID($A236,2,1),Kanji_2_HanViet!$A:$C,2,FALSE))</f>
        <v/>
      </c>
      <c r="E236" s="15" t="str">
        <f>IF(ISNA(VLOOKUP(MID($A236,3,1),Kanji_2_HanViet!$A:$C,2,FALSE)),"",VLOOKUP(MID($A236,3,1),Kanji_2_HanViet!$A:$C,2,FALSE))</f>
        <v/>
      </c>
      <c r="F236" s="15" t="str">
        <f>IF(ISNA(VLOOKUP(MID($A236,4,1),Kanji_2_HanViet!$A:$C,2,FALSE)),"",VLOOKUP(MID($A236,4,1),Kanji_2_HanViet!$A:$C,2,FALSE))</f>
        <v/>
      </c>
      <c r="G236" s="15" t="str">
        <f>IF(ISNA(VLOOKUP(MID($A236,5,1),Kanji_2_HanViet!$A:$C,2,FALSE)),"",VLOOKUP(MID($A236,5,1),Kanji_2_HanViet!$A:$C,2,FALSE))</f>
        <v/>
      </c>
      <c r="H236" s="15" t="str">
        <f>IF(ISNA(VLOOKUP(MID($A236,6,1),Kanji_2_HanViet!$A:$C,2,FALSE)),"",VLOOKUP(MID($A236,6,1),Kanji_2_HanViet!$A:$C,2,FALSE))</f>
        <v/>
      </c>
      <c r="I236" s="15" t="str">
        <f>IF(ISNA(VLOOKUP(MID($A236,7,1),Kanji_2_HanViet!$A:$C,2,FALSE)),"",VLOOKUP(MID($A236,7,1),Kanji_2_HanViet!$A:$C,2,FALSE))</f>
        <v/>
      </c>
      <c r="J236" s="15" t="str">
        <f>IF(ISNA(VLOOKUP(MID($A236,8,1),Kanji_2_HanViet!$A:$C,2,FALSE)),"",VLOOKUP(MID($A236,8,1),Kanji_2_HanViet!$A:$C,2,FALSE))</f>
        <v/>
      </c>
      <c r="K236" s="15" t="str">
        <f>IF(ISNA(VLOOKUP(MID($A236,9,1),Kanji_2_HanViet!$A:$C,2,FALSE)),"",VLOOKUP(MID($A236,9,1),Kanji_2_HanViet!$A:$C,2,FALSE))</f>
        <v/>
      </c>
    </row>
    <row r="237" spans="1:11">
      <c r="A237" s="13">
        <f>Master!B243</f>
        <v>0</v>
      </c>
      <c r="B237" s="16" t="str">
        <f t="shared" si="3"/>
        <v/>
      </c>
      <c r="C237" s="15" t="str">
        <f>IF(ISNA(VLOOKUP(MID($A237,1,1),Kanji_2_HanViet!$A:$C,2,FALSE)),"",VLOOKUP(MID($A237,1,1),Kanji_2_HanViet!$A:$C,2,FALSE))</f>
        <v/>
      </c>
      <c r="D237" s="15" t="str">
        <f>IF(ISNA(VLOOKUP(MID($A237,2,1),Kanji_2_HanViet!$A:$C,2,FALSE)),"",VLOOKUP(MID($A237,2,1),Kanji_2_HanViet!$A:$C,2,FALSE))</f>
        <v/>
      </c>
      <c r="E237" s="15" t="str">
        <f>IF(ISNA(VLOOKUP(MID($A237,3,1),Kanji_2_HanViet!$A:$C,2,FALSE)),"",VLOOKUP(MID($A237,3,1),Kanji_2_HanViet!$A:$C,2,FALSE))</f>
        <v/>
      </c>
      <c r="F237" s="15" t="str">
        <f>IF(ISNA(VLOOKUP(MID($A237,4,1),Kanji_2_HanViet!$A:$C,2,FALSE)),"",VLOOKUP(MID($A237,4,1),Kanji_2_HanViet!$A:$C,2,FALSE))</f>
        <v/>
      </c>
      <c r="G237" s="15" t="str">
        <f>IF(ISNA(VLOOKUP(MID($A237,5,1),Kanji_2_HanViet!$A:$C,2,FALSE)),"",VLOOKUP(MID($A237,5,1),Kanji_2_HanViet!$A:$C,2,FALSE))</f>
        <v/>
      </c>
      <c r="H237" s="15" t="str">
        <f>IF(ISNA(VLOOKUP(MID($A237,6,1),Kanji_2_HanViet!$A:$C,2,FALSE)),"",VLOOKUP(MID($A237,6,1),Kanji_2_HanViet!$A:$C,2,FALSE))</f>
        <v/>
      </c>
      <c r="I237" s="15" t="str">
        <f>IF(ISNA(VLOOKUP(MID($A237,7,1),Kanji_2_HanViet!$A:$C,2,FALSE)),"",VLOOKUP(MID($A237,7,1),Kanji_2_HanViet!$A:$C,2,FALSE))</f>
        <v/>
      </c>
      <c r="J237" s="15" t="str">
        <f>IF(ISNA(VLOOKUP(MID($A237,8,1),Kanji_2_HanViet!$A:$C,2,FALSE)),"",VLOOKUP(MID($A237,8,1),Kanji_2_HanViet!$A:$C,2,FALSE))</f>
        <v/>
      </c>
      <c r="K237" s="15" t="str">
        <f>IF(ISNA(VLOOKUP(MID($A237,9,1),Kanji_2_HanViet!$A:$C,2,FALSE)),"",VLOOKUP(MID($A237,9,1),Kanji_2_HanViet!$A:$C,2,FALSE))</f>
        <v/>
      </c>
    </row>
    <row r="238" spans="1:11">
      <c r="A238" s="13">
        <f>Master!B244</f>
        <v>0</v>
      </c>
      <c r="B238" s="16" t="str">
        <f t="shared" si="3"/>
        <v/>
      </c>
      <c r="C238" s="15" t="str">
        <f>IF(ISNA(VLOOKUP(MID($A238,1,1),Kanji_2_HanViet!$A:$C,2,FALSE)),"",VLOOKUP(MID($A238,1,1),Kanji_2_HanViet!$A:$C,2,FALSE))</f>
        <v/>
      </c>
      <c r="D238" s="15" t="str">
        <f>IF(ISNA(VLOOKUP(MID($A238,2,1),Kanji_2_HanViet!$A:$C,2,FALSE)),"",VLOOKUP(MID($A238,2,1),Kanji_2_HanViet!$A:$C,2,FALSE))</f>
        <v/>
      </c>
      <c r="E238" s="15" t="str">
        <f>IF(ISNA(VLOOKUP(MID($A238,3,1),Kanji_2_HanViet!$A:$C,2,FALSE)),"",VLOOKUP(MID($A238,3,1),Kanji_2_HanViet!$A:$C,2,FALSE))</f>
        <v/>
      </c>
      <c r="F238" s="15" t="str">
        <f>IF(ISNA(VLOOKUP(MID($A238,4,1),Kanji_2_HanViet!$A:$C,2,FALSE)),"",VLOOKUP(MID($A238,4,1),Kanji_2_HanViet!$A:$C,2,FALSE))</f>
        <v/>
      </c>
      <c r="G238" s="15" t="str">
        <f>IF(ISNA(VLOOKUP(MID($A238,5,1),Kanji_2_HanViet!$A:$C,2,FALSE)),"",VLOOKUP(MID($A238,5,1),Kanji_2_HanViet!$A:$C,2,FALSE))</f>
        <v/>
      </c>
      <c r="H238" s="15" t="str">
        <f>IF(ISNA(VLOOKUP(MID($A238,6,1),Kanji_2_HanViet!$A:$C,2,FALSE)),"",VLOOKUP(MID($A238,6,1),Kanji_2_HanViet!$A:$C,2,FALSE))</f>
        <v/>
      </c>
      <c r="I238" s="15" t="str">
        <f>IF(ISNA(VLOOKUP(MID($A238,7,1),Kanji_2_HanViet!$A:$C,2,FALSE)),"",VLOOKUP(MID($A238,7,1),Kanji_2_HanViet!$A:$C,2,FALSE))</f>
        <v/>
      </c>
      <c r="J238" s="15" t="str">
        <f>IF(ISNA(VLOOKUP(MID($A238,8,1),Kanji_2_HanViet!$A:$C,2,FALSE)),"",VLOOKUP(MID($A238,8,1),Kanji_2_HanViet!$A:$C,2,FALSE))</f>
        <v/>
      </c>
      <c r="K238" s="15" t="str">
        <f>IF(ISNA(VLOOKUP(MID($A238,9,1),Kanji_2_HanViet!$A:$C,2,FALSE)),"",VLOOKUP(MID($A238,9,1),Kanji_2_HanViet!$A:$C,2,FALSE))</f>
        <v/>
      </c>
    </row>
    <row r="239" spans="1:11">
      <c r="A239" s="13">
        <f>Master!B245</f>
        <v>0</v>
      </c>
      <c r="B239" s="16" t="str">
        <f t="shared" si="3"/>
        <v/>
      </c>
      <c r="C239" s="15" t="str">
        <f>IF(ISNA(VLOOKUP(MID($A239,1,1),Kanji_2_HanViet!$A:$C,2,FALSE)),"",VLOOKUP(MID($A239,1,1),Kanji_2_HanViet!$A:$C,2,FALSE))</f>
        <v/>
      </c>
      <c r="D239" s="15" t="str">
        <f>IF(ISNA(VLOOKUP(MID($A239,2,1),Kanji_2_HanViet!$A:$C,2,FALSE)),"",VLOOKUP(MID($A239,2,1),Kanji_2_HanViet!$A:$C,2,FALSE))</f>
        <v/>
      </c>
      <c r="E239" s="15" t="str">
        <f>IF(ISNA(VLOOKUP(MID($A239,3,1),Kanji_2_HanViet!$A:$C,2,FALSE)),"",VLOOKUP(MID($A239,3,1),Kanji_2_HanViet!$A:$C,2,FALSE))</f>
        <v/>
      </c>
      <c r="F239" s="15" t="str">
        <f>IF(ISNA(VLOOKUP(MID($A239,4,1),Kanji_2_HanViet!$A:$C,2,FALSE)),"",VLOOKUP(MID($A239,4,1),Kanji_2_HanViet!$A:$C,2,FALSE))</f>
        <v/>
      </c>
      <c r="G239" s="15" t="str">
        <f>IF(ISNA(VLOOKUP(MID($A239,5,1),Kanji_2_HanViet!$A:$C,2,FALSE)),"",VLOOKUP(MID($A239,5,1),Kanji_2_HanViet!$A:$C,2,FALSE))</f>
        <v/>
      </c>
      <c r="H239" s="15" t="str">
        <f>IF(ISNA(VLOOKUP(MID($A239,6,1),Kanji_2_HanViet!$A:$C,2,FALSE)),"",VLOOKUP(MID($A239,6,1),Kanji_2_HanViet!$A:$C,2,FALSE))</f>
        <v/>
      </c>
      <c r="I239" s="15" t="str">
        <f>IF(ISNA(VLOOKUP(MID($A239,7,1),Kanji_2_HanViet!$A:$C,2,FALSE)),"",VLOOKUP(MID($A239,7,1),Kanji_2_HanViet!$A:$C,2,FALSE))</f>
        <v/>
      </c>
      <c r="J239" s="15" t="str">
        <f>IF(ISNA(VLOOKUP(MID($A239,8,1),Kanji_2_HanViet!$A:$C,2,FALSE)),"",VLOOKUP(MID($A239,8,1),Kanji_2_HanViet!$A:$C,2,FALSE))</f>
        <v/>
      </c>
      <c r="K239" s="15" t="str">
        <f>IF(ISNA(VLOOKUP(MID($A239,9,1),Kanji_2_HanViet!$A:$C,2,FALSE)),"",VLOOKUP(MID($A239,9,1),Kanji_2_HanViet!$A:$C,2,FALSE))</f>
        <v/>
      </c>
    </row>
    <row r="240" spans="1:11">
      <c r="A240" s="13">
        <f>Master!B246</f>
        <v>0</v>
      </c>
      <c r="B240" s="16" t="str">
        <f t="shared" si="3"/>
        <v/>
      </c>
      <c r="C240" s="15" t="str">
        <f>IF(ISNA(VLOOKUP(MID($A240,1,1),Kanji_2_HanViet!$A:$C,2,FALSE)),"",VLOOKUP(MID($A240,1,1),Kanji_2_HanViet!$A:$C,2,FALSE))</f>
        <v/>
      </c>
      <c r="D240" s="15" t="str">
        <f>IF(ISNA(VLOOKUP(MID($A240,2,1),Kanji_2_HanViet!$A:$C,2,FALSE)),"",VLOOKUP(MID($A240,2,1),Kanji_2_HanViet!$A:$C,2,FALSE))</f>
        <v/>
      </c>
      <c r="E240" s="15" t="str">
        <f>IF(ISNA(VLOOKUP(MID($A240,3,1),Kanji_2_HanViet!$A:$C,2,FALSE)),"",VLOOKUP(MID($A240,3,1),Kanji_2_HanViet!$A:$C,2,FALSE))</f>
        <v/>
      </c>
      <c r="F240" s="15" t="str">
        <f>IF(ISNA(VLOOKUP(MID($A240,4,1),Kanji_2_HanViet!$A:$C,2,FALSE)),"",VLOOKUP(MID($A240,4,1),Kanji_2_HanViet!$A:$C,2,FALSE))</f>
        <v/>
      </c>
      <c r="G240" s="15" t="str">
        <f>IF(ISNA(VLOOKUP(MID($A240,5,1),Kanji_2_HanViet!$A:$C,2,FALSE)),"",VLOOKUP(MID($A240,5,1),Kanji_2_HanViet!$A:$C,2,FALSE))</f>
        <v/>
      </c>
      <c r="H240" s="15" t="str">
        <f>IF(ISNA(VLOOKUP(MID($A240,6,1),Kanji_2_HanViet!$A:$C,2,FALSE)),"",VLOOKUP(MID($A240,6,1),Kanji_2_HanViet!$A:$C,2,FALSE))</f>
        <v/>
      </c>
      <c r="I240" s="15" t="str">
        <f>IF(ISNA(VLOOKUP(MID($A240,7,1),Kanji_2_HanViet!$A:$C,2,FALSE)),"",VLOOKUP(MID($A240,7,1),Kanji_2_HanViet!$A:$C,2,FALSE))</f>
        <v/>
      </c>
      <c r="J240" s="15" t="str">
        <f>IF(ISNA(VLOOKUP(MID($A240,8,1),Kanji_2_HanViet!$A:$C,2,FALSE)),"",VLOOKUP(MID($A240,8,1),Kanji_2_HanViet!$A:$C,2,FALSE))</f>
        <v/>
      </c>
      <c r="K240" s="15" t="str">
        <f>IF(ISNA(VLOOKUP(MID($A240,9,1),Kanji_2_HanViet!$A:$C,2,FALSE)),"",VLOOKUP(MID($A240,9,1),Kanji_2_HanViet!$A:$C,2,FALSE))</f>
        <v/>
      </c>
    </row>
    <row r="241" spans="1:11">
      <c r="A241" s="13">
        <f>Master!B247</f>
        <v>0</v>
      </c>
      <c r="B241" s="16" t="str">
        <f t="shared" si="3"/>
        <v/>
      </c>
      <c r="C241" s="15" t="str">
        <f>IF(ISNA(VLOOKUP(MID($A241,1,1),Kanji_2_HanViet!$A:$C,2,FALSE)),"",VLOOKUP(MID($A241,1,1),Kanji_2_HanViet!$A:$C,2,FALSE))</f>
        <v/>
      </c>
      <c r="D241" s="15" t="str">
        <f>IF(ISNA(VLOOKUP(MID($A241,2,1),Kanji_2_HanViet!$A:$C,2,FALSE)),"",VLOOKUP(MID($A241,2,1),Kanji_2_HanViet!$A:$C,2,FALSE))</f>
        <v/>
      </c>
      <c r="E241" s="15" t="str">
        <f>IF(ISNA(VLOOKUP(MID($A241,3,1),Kanji_2_HanViet!$A:$C,2,FALSE)),"",VLOOKUP(MID($A241,3,1),Kanji_2_HanViet!$A:$C,2,FALSE))</f>
        <v/>
      </c>
      <c r="F241" s="15" t="str">
        <f>IF(ISNA(VLOOKUP(MID($A241,4,1),Kanji_2_HanViet!$A:$C,2,FALSE)),"",VLOOKUP(MID($A241,4,1),Kanji_2_HanViet!$A:$C,2,FALSE))</f>
        <v/>
      </c>
      <c r="G241" s="15" t="str">
        <f>IF(ISNA(VLOOKUP(MID($A241,5,1),Kanji_2_HanViet!$A:$C,2,FALSE)),"",VLOOKUP(MID($A241,5,1),Kanji_2_HanViet!$A:$C,2,FALSE))</f>
        <v/>
      </c>
      <c r="H241" s="15" t="str">
        <f>IF(ISNA(VLOOKUP(MID($A241,6,1),Kanji_2_HanViet!$A:$C,2,FALSE)),"",VLOOKUP(MID($A241,6,1),Kanji_2_HanViet!$A:$C,2,FALSE))</f>
        <v/>
      </c>
      <c r="I241" s="15" t="str">
        <f>IF(ISNA(VLOOKUP(MID($A241,7,1),Kanji_2_HanViet!$A:$C,2,FALSE)),"",VLOOKUP(MID($A241,7,1),Kanji_2_HanViet!$A:$C,2,FALSE))</f>
        <v/>
      </c>
      <c r="J241" s="15" t="str">
        <f>IF(ISNA(VLOOKUP(MID($A241,8,1),Kanji_2_HanViet!$A:$C,2,FALSE)),"",VLOOKUP(MID($A241,8,1),Kanji_2_HanViet!$A:$C,2,FALSE))</f>
        <v/>
      </c>
      <c r="K241" s="15" t="str">
        <f>IF(ISNA(VLOOKUP(MID($A241,9,1),Kanji_2_HanViet!$A:$C,2,FALSE)),"",VLOOKUP(MID($A241,9,1),Kanji_2_HanViet!$A:$C,2,FALSE))</f>
        <v/>
      </c>
    </row>
    <row r="242" spans="1:11">
      <c r="A242" s="13">
        <f>Master!B248</f>
        <v>0</v>
      </c>
      <c r="B242" s="16" t="str">
        <f t="shared" si="3"/>
        <v/>
      </c>
      <c r="C242" s="15" t="str">
        <f>IF(ISNA(VLOOKUP(MID($A242,1,1),Kanji_2_HanViet!$A:$C,2,FALSE)),"",VLOOKUP(MID($A242,1,1),Kanji_2_HanViet!$A:$C,2,FALSE))</f>
        <v/>
      </c>
      <c r="D242" s="15" t="str">
        <f>IF(ISNA(VLOOKUP(MID($A242,2,1),Kanji_2_HanViet!$A:$C,2,FALSE)),"",VLOOKUP(MID($A242,2,1),Kanji_2_HanViet!$A:$C,2,FALSE))</f>
        <v/>
      </c>
      <c r="E242" s="15" t="str">
        <f>IF(ISNA(VLOOKUP(MID($A242,3,1),Kanji_2_HanViet!$A:$C,2,FALSE)),"",VLOOKUP(MID($A242,3,1),Kanji_2_HanViet!$A:$C,2,FALSE))</f>
        <v/>
      </c>
      <c r="F242" s="15" t="str">
        <f>IF(ISNA(VLOOKUP(MID($A242,4,1),Kanji_2_HanViet!$A:$C,2,FALSE)),"",VLOOKUP(MID($A242,4,1),Kanji_2_HanViet!$A:$C,2,FALSE))</f>
        <v/>
      </c>
      <c r="G242" s="15" t="str">
        <f>IF(ISNA(VLOOKUP(MID($A242,5,1),Kanji_2_HanViet!$A:$C,2,FALSE)),"",VLOOKUP(MID($A242,5,1),Kanji_2_HanViet!$A:$C,2,FALSE))</f>
        <v/>
      </c>
      <c r="H242" s="15" t="str">
        <f>IF(ISNA(VLOOKUP(MID($A242,6,1),Kanji_2_HanViet!$A:$C,2,FALSE)),"",VLOOKUP(MID($A242,6,1),Kanji_2_HanViet!$A:$C,2,FALSE))</f>
        <v/>
      </c>
      <c r="I242" s="15" t="str">
        <f>IF(ISNA(VLOOKUP(MID($A242,7,1),Kanji_2_HanViet!$A:$C,2,FALSE)),"",VLOOKUP(MID($A242,7,1),Kanji_2_HanViet!$A:$C,2,FALSE))</f>
        <v/>
      </c>
      <c r="J242" s="15" t="str">
        <f>IF(ISNA(VLOOKUP(MID($A242,8,1),Kanji_2_HanViet!$A:$C,2,FALSE)),"",VLOOKUP(MID($A242,8,1),Kanji_2_HanViet!$A:$C,2,FALSE))</f>
        <v/>
      </c>
      <c r="K242" s="15" t="str">
        <f>IF(ISNA(VLOOKUP(MID($A242,9,1),Kanji_2_HanViet!$A:$C,2,FALSE)),"",VLOOKUP(MID($A242,9,1),Kanji_2_HanViet!$A:$C,2,FALSE))</f>
        <v/>
      </c>
    </row>
    <row r="243" spans="1:11">
      <c r="A243" s="13">
        <f>Master!B249</f>
        <v>0</v>
      </c>
      <c r="B243" s="16" t="str">
        <f t="shared" si="3"/>
        <v/>
      </c>
      <c r="C243" s="15" t="str">
        <f>IF(ISNA(VLOOKUP(MID($A243,1,1),Kanji_2_HanViet!$A:$C,2,FALSE)),"",VLOOKUP(MID($A243,1,1),Kanji_2_HanViet!$A:$C,2,FALSE))</f>
        <v/>
      </c>
      <c r="D243" s="15" t="str">
        <f>IF(ISNA(VLOOKUP(MID($A243,2,1),Kanji_2_HanViet!$A:$C,2,FALSE)),"",VLOOKUP(MID($A243,2,1),Kanji_2_HanViet!$A:$C,2,FALSE))</f>
        <v/>
      </c>
      <c r="E243" s="15" t="str">
        <f>IF(ISNA(VLOOKUP(MID($A243,3,1),Kanji_2_HanViet!$A:$C,2,FALSE)),"",VLOOKUP(MID($A243,3,1),Kanji_2_HanViet!$A:$C,2,FALSE))</f>
        <v/>
      </c>
      <c r="F243" s="15" t="str">
        <f>IF(ISNA(VLOOKUP(MID($A243,4,1),Kanji_2_HanViet!$A:$C,2,FALSE)),"",VLOOKUP(MID($A243,4,1),Kanji_2_HanViet!$A:$C,2,FALSE))</f>
        <v/>
      </c>
      <c r="G243" s="15" t="str">
        <f>IF(ISNA(VLOOKUP(MID($A243,5,1),Kanji_2_HanViet!$A:$C,2,FALSE)),"",VLOOKUP(MID($A243,5,1),Kanji_2_HanViet!$A:$C,2,FALSE))</f>
        <v/>
      </c>
      <c r="H243" s="15" t="str">
        <f>IF(ISNA(VLOOKUP(MID($A243,6,1),Kanji_2_HanViet!$A:$C,2,FALSE)),"",VLOOKUP(MID($A243,6,1),Kanji_2_HanViet!$A:$C,2,FALSE))</f>
        <v/>
      </c>
      <c r="I243" s="15" t="str">
        <f>IF(ISNA(VLOOKUP(MID($A243,7,1),Kanji_2_HanViet!$A:$C,2,FALSE)),"",VLOOKUP(MID($A243,7,1),Kanji_2_HanViet!$A:$C,2,FALSE))</f>
        <v/>
      </c>
      <c r="J243" s="15" t="str">
        <f>IF(ISNA(VLOOKUP(MID($A243,8,1),Kanji_2_HanViet!$A:$C,2,FALSE)),"",VLOOKUP(MID($A243,8,1),Kanji_2_HanViet!$A:$C,2,FALSE))</f>
        <v/>
      </c>
      <c r="K243" s="15" t="str">
        <f>IF(ISNA(VLOOKUP(MID($A243,9,1),Kanji_2_HanViet!$A:$C,2,FALSE)),"",VLOOKUP(MID($A243,9,1),Kanji_2_HanViet!$A:$C,2,FALSE))</f>
        <v/>
      </c>
    </row>
    <row r="244" spans="1:11">
      <c r="A244" s="13">
        <f>Master!B250</f>
        <v>0</v>
      </c>
      <c r="B244" s="16" t="str">
        <f t="shared" si="3"/>
        <v/>
      </c>
      <c r="C244" s="15" t="str">
        <f>IF(ISNA(VLOOKUP(MID($A244,1,1),Kanji_2_HanViet!$A:$C,2,FALSE)),"",VLOOKUP(MID($A244,1,1),Kanji_2_HanViet!$A:$C,2,FALSE))</f>
        <v/>
      </c>
      <c r="D244" s="15" t="str">
        <f>IF(ISNA(VLOOKUP(MID($A244,2,1),Kanji_2_HanViet!$A:$C,2,FALSE)),"",VLOOKUP(MID($A244,2,1),Kanji_2_HanViet!$A:$C,2,FALSE))</f>
        <v/>
      </c>
      <c r="E244" s="15" t="str">
        <f>IF(ISNA(VLOOKUP(MID($A244,3,1),Kanji_2_HanViet!$A:$C,2,FALSE)),"",VLOOKUP(MID($A244,3,1),Kanji_2_HanViet!$A:$C,2,FALSE))</f>
        <v/>
      </c>
      <c r="F244" s="15" t="str">
        <f>IF(ISNA(VLOOKUP(MID($A244,4,1),Kanji_2_HanViet!$A:$C,2,FALSE)),"",VLOOKUP(MID($A244,4,1),Kanji_2_HanViet!$A:$C,2,FALSE))</f>
        <v/>
      </c>
      <c r="G244" s="15" t="str">
        <f>IF(ISNA(VLOOKUP(MID($A244,5,1),Kanji_2_HanViet!$A:$C,2,FALSE)),"",VLOOKUP(MID($A244,5,1),Kanji_2_HanViet!$A:$C,2,FALSE))</f>
        <v/>
      </c>
      <c r="H244" s="15" t="str">
        <f>IF(ISNA(VLOOKUP(MID($A244,6,1),Kanji_2_HanViet!$A:$C,2,FALSE)),"",VLOOKUP(MID($A244,6,1),Kanji_2_HanViet!$A:$C,2,FALSE))</f>
        <v/>
      </c>
      <c r="I244" s="15" t="str">
        <f>IF(ISNA(VLOOKUP(MID($A244,7,1),Kanji_2_HanViet!$A:$C,2,FALSE)),"",VLOOKUP(MID($A244,7,1),Kanji_2_HanViet!$A:$C,2,FALSE))</f>
        <v/>
      </c>
      <c r="J244" s="15" t="str">
        <f>IF(ISNA(VLOOKUP(MID($A244,8,1),Kanji_2_HanViet!$A:$C,2,FALSE)),"",VLOOKUP(MID($A244,8,1),Kanji_2_HanViet!$A:$C,2,FALSE))</f>
        <v/>
      </c>
      <c r="K244" s="15" t="str">
        <f>IF(ISNA(VLOOKUP(MID($A244,9,1),Kanji_2_HanViet!$A:$C,2,FALSE)),"",VLOOKUP(MID($A244,9,1),Kanji_2_HanViet!$A:$C,2,FALSE))</f>
        <v/>
      </c>
    </row>
    <row r="245" spans="1:11">
      <c r="A245" s="13">
        <f>Master!B251</f>
        <v>0</v>
      </c>
      <c r="B245" s="16" t="str">
        <f t="shared" si="3"/>
        <v/>
      </c>
      <c r="C245" s="15" t="str">
        <f>IF(ISNA(VLOOKUP(MID($A245,1,1),Kanji_2_HanViet!$A:$C,2,FALSE)),"",VLOOKUP(MID($A245,1,1),Kanji_2_HanViet!$A:$C,2,FALSE))</f>
        <v/>
      </c>
      <c r="D245" s="15" t="str">
        <f>IF(ISNA(VLOOKUP(MID($A245,2,1),Kanji_2_HanViet!$A:$C,2,FALSE)),"",VLOOKUP(MID($A245,2,1),Kanji_2_HanViet!$A:$C,2,FALSE))</f>
        <v/>
      </c>
      <c r="E245" s="15" t="str">
        <f>IF(ISNA(VLOOKUP(MID($A245,3,1),Kanji_2_HanViet!$A:$C,2,FALSE)),"",VLOOKUP(MID($A245,3,1),Kanji_2_HanViet!$A:$C,2,FALSE))</f>
        <v/>
      </c>
      <c r="F245" s="15" t="str">
        <f>IF(ISNA(VLOOKUP(MID($A245,4,1),Kanji_2_HanViet!$A:$C,2,FALSE)),"",VLOOKUP(MID($A245,4,1),Kanji_2_HanViet!$A:$C,2,FALSE))</f>
        <v/>
      </c>
      <c r="G245" s="15" t="str">
        <f>IF(ISNA(VLOOKUP(MID($A245,5,1),Kanji_2_HanViet!$A:$C,2,FALSE)),"",VLOOKUP(MID($A245,5,1),Kanji_2_HanViet!$A:$C,2,FALSE))</f>
        <v/>
      </c>
      <c r="H245" s="15" t="str">
        <f>IF(ISNA(VLOOKUP(MID($A245,6,1),Kanji_2_HanViet!$A:$C,2,FALSE)),"",VLOOKUP(MID($A245,6,1),Kanji_2_HanViet!$A:$C,2,FALSE))</f>
        <v/>
      </c>
      <c r="I245" s="15" t="str">
        <f>IF(ISNA(VLOOKUP(MID($A245,7,1),Kanji_2_HanViet!$A:$C,2,FALSE)),"",VLOOKUP(MID($A245,7,1),Kanji_2_HanViet!$A:$C,2,FALSE))</f>
        <v/>
      </c>
      <c r="J245" s="15" t="str">
        <f>IF(ISNA(VLOOKUP(MID($A245,8,1),Kanji_2_HanViet!$A:$C,2,FALSE)),"",VLOOKUP(MID($A245,8,1),Kanji_2_HanViet!$A:$C,2,FALSE))</f>
        <v/>
      </c>
      <c r="K245" s="15" t="str">
        <f>IF(ISNA(VLOOKUP(MID($A245,9,1),Kanji_2_HanViet!$A:$C,2,FALSE)),"",VLOOKUP(MID($A245,9,1),Kanji_2_HanViet!$A:$C,2,FALSE))</f>
        <v/>
      </c>
    </row>
    <row r="246" spans="1:11">
      <c r="A246" s="13">
        <f>Master!B252</f>
        <v>0</v>
      </c>
      <c r="B246" s="16" t="str">
        <f t="shared" si="3"/>
        <v/>
      </c>
      <c r="C246" s="15" t="str">
        <f>IF(ISNA(VLOOKUP(MID($A246,1,1),Kanji_2_HanViet!$A:$C,2,FALSE)),"",VLOOKUP(MID($A246,1,1),Kanji_2_HanViet!$A:$C,2,FALSE))</f>
        <v/>
      </c>
      <c r="D246" s="15" t="str">
        <f>IF(ISNA(VLOOKUP(MID($A246,2,1),Kanji_2_HanViet!$A:$C,2,FALSE)),"",VLOOKUP(MID($A246,2,1),Kanji_2_HanViet!$A:$C,2,FALSE))</f>
        <v/>
      </c>
      <c r="E246" s="15" t="str">
        <f>IF(ISNA(VLOOKUP(MID($A246,3,1),Kanji_2_HanViet!$A:$C,2,FALSE)),"",VLOOKUP(MID($A246,3,1),Kanji_2_HanViet!$A:$C,2,FALSE))</f>
        <v/>
      </c>
      <c r="F246" s="15" t="str">
        <f>IF(ISNA(VLOOKUP(MID($A246,4,1),Kanji_2_HanViet!$A:$C,2,FALSE)),"",VLOOKUP(MID($A246,4,1),Kanji_2_HanViet!$A:$C,2,FALSE))</f>
        <v/>
      </c>
      <c r="G246" s="15" t="str">
        <f>IF(ISNA(VLOOKUP(MID($A246,5,1),Kanji_2_HanViet!$A:$C,2,FALSE)),"",VLOOKUP(MID($A246,5,1),Kanji_2_HanViet!$A:$C,2,FALSE))</f>
        <v/>
      </c>
      <c r="H246" s="15" t="str">
        <f>IF(ISNA(VLOOKUP(MID($A246,6,1),Kanji_2_HanViet!$A:$C,2,FALSE)),"",VLOOKUP(MID($A246,6,1),Kanji_2_HanViet!$A:$C,2,FALSE))</f>
        <v/>
      </c>
      <c r="I246" s="15" t="str">
        <f>IF(ISNA(VLOOKUP(MID($A246,7,1),Kanji_2_HanViet!$A:$C,2,FALSE)),"",VLOOKUP(MID($A246,7,1),Kanji_2_HanViet!$A:$C,2,FALSE))</f>
        <v/>
      </c>
      <c r="J246" s="15" t="str">
        <f>IF(ISNA(VLOOKUP(MID($A246,8,1),Kanji_2_HanViet!$A:$C,2,FALSE)),"",VLOOKUP(MID($A246,8,1),Kanji_2_HanViet!$A:$C,2,FALSE))</f>
        <v/>
      </c>
      <c r="K246" s="15" t="str">
        <f>IF(ISNA(VLOOKUP(MID($A246,9,1),Kanji_2_HanViet!$A:$C,2,FALSE)),"",VLOOKUP(MID($A246,9,1),Kanji_2_HanViet!$A:$C,2,FALSE))</f>
        <v/>
      </c>
    </row>
    <row r="247" spans="1:11">
      <c r="A247" s="13">
        <f>Master!B253</f>
        <v>0</v>
      </c>
      <c r="B247" s="16" t="str">
        <f t="shared" si="3"/>
        <v/>
      </c>
      <c r="C247" s="15" t="str">
        <f>IF(ISNA(VLOOKUP(MID($A247,1,1),Kanji_2_HanViet!$A:$C,2,FALSE)),"",VLOOKUP(MID($A247,1,1),Kanji_2_HanViet!$A:$C,2,FALSE))</f>
        <v/>
      </c>
      <c r="D247" s="15" t="str">
        <f>IF(ISNA(VLOOKUP(MID($A247,2,1),Kanji_2_HanViet!$A:$C,2,FALSE)),"",VLOOKUP(MID($A247,2,1),Kanji_2_HanViet!$A:$C,2,FALSE))</f>
        <v/>
      </c>
      <c r="E247" s="15" t="str">
        <f>IF(ISNA(VLOOKUP(MID($A247,3,1),Kanji_2_HanViet!$A:$C,2,FALSE)),"",VLOOKUP(MID($A247,3,1),Kanji_2_HanViet!$A:$C,2,FALSE))</f>
        <v/>
      </c>
      <c r="F247" s="15" t="str">
        <f>IF(ISNA(VLOOKUP(MID($A247,4,1),Kanji_2_HanViet!$A:$C,2,FALSE)),"",VLOOKUP(MID($A247,4,1),Kanji_2_HanViet!$A:$C,2,FALSE))</f>
        <v/>
      </c>
      <c r="G247" s="15" t="str">
        <f>IF(ISNA(VLOOKUP(MID($A247,5,1),Kanji_2_HanViet!$A:$C,2,FALSE)),"",VLOOKUP(MID($A247,5,1),Kanji_2_HanViet!$A:$C,2,FALSE))</f>
        <v/>
      </c>
      <c r="H247" s="15" t="str">
        <f>IF(ISNA(VLOOKUP(MID($A247,6,1),Kanji_2_HanViet!$A:$C,2,FALSE)),"",VLOOKUP(MID($A247,6,1),Kanji_2_HanViet!$A:$C,2,FALSE))</f>
        <v/>
      </c>
      <c r="I247" s="15" t="str">
        <f>IF(ISNA(VLOOKUP(MID($A247,7,1),Kanji_2_HanViet!$A:$C,2,FALSE)),"",VLOOKUP(MID($A247,7,1),Kanji_2_HanViet!$A:$C,2,FALSE))</f>
        <v/>
      </c>
      <c r="J247" s="15" t="str">
        <f>IF(ISNA(VLOOKUP(MID($A247,8,1),Kanji_2_HanViet!$A:$C,2,FALSE)),"",VLOOKUP(MID($A247,8,1),Kanji_2_HanViet!$A:$C,2,FALSE))</f>
        <v/>
      </c>
      <c r="K247" s="15" t="str">
        <f>IF(ISNA(VLOOKUP(MID($A247,9,1),Kanji_2_HanViet!$A:$C,2,FALSE)),"",VLOOKUP(MID($A247,9,1),Kanji_2_HanViet!$A:$C,2,FALSE))</f>
        <v/>
      </c>
    </row>
    <row r="248" spans="1:11">
      <c r="A248" s="13">
        <f>Master!B254</f>
        <v>0</v>
      </c>
      <c r="B248" s="16" t="str">
        <f t="shared" si="3"/>
        <v/>
      </c>
      <c r="C248" s="15" t="str">
        <f>IF(ISNA(VLOOKUP(MID($A248,1,1),Kanji_2_HanViet!$A:$C,2,FALSE)),"",VLOOKUP(MID($A248,1,1),Kanji_2_HanViet!$A:$C,2,FALSE))</f>
        <v/>
      </c>
      <c r="D248" s="15" t="str">
        <f>IF(ISNA(VLOOKUP(MID($A248,2,1),Kanji_2_HanViet!$A:$C,2,FALSE)),"",VLOOKUP(MID($A248,2,1),Kanji_2_HanViet!$A:$C,2,FALSE))</f>
        <v/>
      </c>
      <c r="E248" s="15" t="str">
        <f>IF(ISNA(VLOOKUP(MID($A248,3,1),Kanji_2_HanViet!$A:$C,2,FALSE)),"",VLOOKUP(MID($A248,3,1),Kanji_2_HanViet!$A:$C,2,FALSE))</f>
        <v/>
      </c>
      <c r="F248" s="15" t="str">
        <f>IF(ISNA(VLOOKUP(MID($A248,4,1),Kanji_2_HanViet!$A:$C,2,FALSE)),"",VLOOKUP(MID($A248,4,1),Kanji_2_HanViet!$A:$C,2,FALSE))</f>
        <v/>
      </c>
      <c r="G248" s="15" t="str">
        <f>IF(ISNA(VLOOKUP(MID($A248,5,1),Kanji_2_HanViet!$A:$C,2,FALSE)),"",VLOOKUP(MID($A248,5,1),Kanji_2_HanViet!$A:$C,2,FALSE))</f>
        <v/>
      </c>
      <c r="H248" s="15" t="str">
        <f>IF(ISNA(VLOOKUP(MID($A248,6,1),Kanji_2_HanViet!$A:$C,2,FALSE)),"",VLOOKUP(MID($A248,6,1),Kanji_2_HanViet!$A:$C,2,FALSE))</f>
        <v/>
      </c>
      <c r="I248" s="15" t="str">
        <f>IF(ISNA(VLOOKUP(MID($A248,7,1),Kanji_2_HanViet!$A:$C,2,FALSE)),"",VLOOKUP(MID($A248,7,1),Kanji_2_HanViet!$A:$C,2,FALSE))</f>
        <v/>
      </c>
      <c r="J248" s="15" t="str">
        <f>IF(ISNA(VLOOKUP(MID($A248,8,1),Kanji_2_HanViet!$A:$C,2,FALSE)),"",VLOOKUP(MID($A248,8,1),Kanji_2_HanViet!$A:$C,2,FALSE))</f>
        <v/>
      </c>
      <c r="K248" s="15" t="str">
        <f>IF(ISNA(VLOOKUP(MID($A248,9,1),Kanji_2_HanViet!$A:$C,2,FALSE)),"",VLOOKUP(MID($A248,9,1),Kanji_2_HanViet!$A:$C,2,FALSE))</f>
        <v/>
      </c>
    </row>
    <row r="249" spans="1:11">
      <c r="A249" s="13">
        <f>Master!B255</f>
        <v>0</v>
      </c>
      <c r="B249" s="16" t="str">
        <f t="shared" si="3"/>
        <v/>
      </c>
      <c r="C249" s="15" t="str">
        <f>IF(ISNA(VLOOKUP(MID($A249,1,1),Kanji_2_HanViet!$A:$C,2,FALSE)),"",VLOOKUP(MID($A249,1,1),Kanji_2_HanViet!$A:$C,2,FALSE))</f>
        <v/>
      </c>
      <c r="D249" s="15" t="str">
        <f>IF(ISNA(VLOOKUP(MID($A249,2,1),Kanji_2_HanViet!$A:$C,2,FALSE)),"",VLOOKUP(MID($A249,2,1),Kanji_2_HanViet!$A:$C,2,FALSE))</f>
        <v/>
      </c>
      <c r="E249" s="15" t="str">
        <f>IF(ISNA(VLOOKUP(MID($A249,3,1),Kanji_2_HanViet!$A:$C,2,FALSE)),"",VLOOKUP(MID($A249,3,1),Kanji_2_HanViet!$A:$C,2,FALSE))</f>
        <v/>
      </c>
      <c r="F249" s="15" t="str">
        <f>IF(ISNA(VLOOKUP(MID($A249,4,1),Kanji_2_HanViet!$A:$C,2,FALSE)),"",VLOOKUP(MID($A249,4,1),Kanji_2_HanViet!$A:$C,2,FALSE))</f>
        <v/>
      </c>
      <c r="G249" s="15" t="str">
        <f>IF(ISNA(VLOOKUP(MID($A249,5,1),Kanji_2_HanViet!$A:$C,2,FALSE)),"",VLOOKUP(MID($A249,5,1),Kanji_2_HanViet!$A:$C,2,FALSE))</f>
        <v/>
      </c>
      <c r="H249" s="15" t="str">
        <f>IF(ISNA(VLOOKUP(MID($A249,6,1),Kanji_2_HanViet!$A:$C,2,FALSE)),"",VLOOKUP(MID($A249,6,1),Kanji_2_HanViet!$A:$C,2,FALSE))</f>
        <v/>
      </c>
      <c r="I249" s="15" t="str">
        <f>IF(ISNA(VLOOKUP(MID($A249,7,1),Kanji_2_HanViet!$A:$C,2,FALSE)),"",VLOOKUP(MID($A249,7,1),Kanji_2_HanViet!$A:$C,2,FALSE))</f>
        <v/>
      </c>
      <c r="J249" s="15" t="str">
        <f>IF(ISNA(VLOOKUP(MID($A249,8,1),Kanji_2_HanViet!$A:$C,2,FALSE)),"",VLOOKUP(MID($A249,8,1),Kanji_2_HanViet!$A:$C,2,FALSE))</f>
        <v/>
      </c>
      <c r="K249" s="15" t="str">
        <f>IF(ISNA(VLOOKUP(MID($A249,9,1),Kanji_2_HanViet!$A:$C,2,FALSE)),"",VLOOKUP(MID($A249,9,1),Kanji_2_HanViet!$A:$C,2,FALSE))</f>
        <v/>
      </c>
    </row>
    <row r="250" spans="1:11">
      <c r="A250" s="13">
        <f>Master!B256</f>
        <v>0</v>
      </c>
      <c r="B250" s="16" t="str">
        <f t="shared" si="3"/>
        <v/>
      </c>
      <c r="C250" s="15" t="str">
        <f>IF(ISNA(VLOOKUP(MID($A250,1,1),Kanji_2_HanViet!$A:$C,2,FALSE)),"",VLOOKUP(MID($A250,1,1),Kanji_2_HanViet!$A:$C,2,FALSE))</f>
        <v/>
      </c>
      <c r="D250" s="15" t="str">
        <f>IF(ISNA(VLOOKUP(MID($A250,2,1),Kanji_2_HanViet!$A:$C,2,FALSE)),"",VLOOKUP(MID($A250,2,1),Kanji_2_HanViet!$A:$C,2,FALSE))</f>
        <v/>
      </c>
      <c r="E250" s="15" t="str">
        <f>IF(ISNA(VLOOKUP(MID($A250,3,1),Kanji_2_HanViet!$A:$C,2,FALSE)),"",VLOOKUP(MID($A250,3,1),Kanji_2_HanViet!$A:$C,2,FALSE))</f>
        <v/>
      </c>
      <c r="F250" s="15" t="str">
        <f>IF(ISNA(VLOOKUP(MID($A250,4,1),Kanji_2_HanViet!$A:$C,2,FALSE)),"",VLOOKUP(MID($A250,4,1),Kanji_2_HanViet!$A:$C,2,FALSE))</f>
        <v/>
      </c>
      <c r="G250" s="15" t="str">
        <f>IF(ISNA(VLOOKUP(MID($A250,5,1),Kanji_2_HanViet!$A:$C,2,FALSE)),"",VLOOKUP(MID($A250,5,1),Kanji_2_HanViet!$A:$C,2,FALSE))</f>
        <v/>
      </c>
      <c r="H250" s="15" t="str">
        <f>IF(ISNA(VLOOKUP(MID($A250,6,1),Kanji_2_HanViet!$A:$C,2,FALSE)),"",VLOOKUP(MID($A250,6,1),Kanji_2_HanViet!$A:$C,2,FALSE))</f>
        <v/>
      </c>
      <c r="I250" s="15" t="str">
        <f>IF(ISNA(VLOOKUP(MID($A250,7,1),Kanji_2_HanViet!$A:$C,2,FALSE)),"",VLOOKUP(MID($A250,7,1),Kanji_2_HanViet!$A:$C,2,FALSE))</f>
        <v/>
      </c>
      <c r="J250" s="15" t="str">
        <f>IF(ISNA(VLOOKUP(MID($A250,8,1),Kanji_2_HanViet!$A:$C,2,FALSE)),"",VLOOKUP(MID($A250,8,1),Kanji_2_HanViet!$A:$C,2,FALSE))</f>
        <v/>
      </c>
      <c r="K250" s="15" t="str">
        <f>IF(ISNA(VLOOKUP(MID($A250,9,1),Kanji_2_HanViet!$A:$C,2,FALSE)),"",VLOOKUP(MID($A250,9,1),Kanji_2_HanViet!$A:$C,2,FALSE))</f>
        <v/>
      </c>
    </row>
    <row r="251" spans="1:11">
      <c r="A251" s="13">
        <f>Master!B257</f>
        <v>0</v>
      </c>
      <c r="B251" s="16" t="str">
        <f t="shared" si="3"/>
        <v/>
      </c>
      <c r="C251" s="15" t="str">
        <f>IF(ISNA(VLOOKUP(MID($A251,1,1),Kanji_2_HanViet!$A:$C,2,FALSE)),"",VLOOKUP(MID($A251,1,1),Kanji_2_HanViet!$A:$C,2,FALSE))</f>
        <v/>
      </c>
      <c r="D251" s="15" t="str">
        <f>IF(ISNA(VLOOKUP(MID($A251,2,1),Kanji_2_HanViet!$A:$C,2,FALSE)),"",VLOOKUP(MID($A251,2,1),Kanji_2_HanViet!$A:$C,2,FALSE))</f>
        <v/>
      </c>
      <c r="E251" s="15" t="str">
        <f>IF(ISNA(VLOOKUP(MID($A251,3,1),Kanji_2_HanViet!$A:$C,2,FALSE)),"",VLOOKUP(MID($A251,3,1),Kanji_2_HanViet!$A:$C,2,FALSE))</f>
        <v/>
      </c>
      <c r="F251" s="15" t="str">
        <f>IF(ISNA(VLOOKUP(MID($A251,4,1),Kanji_2_HanViet!$A:$C,2,FALSE)),"",VLOOKUP(MID($A251,4,1),Kanji_2_HanViet!$A:$C,2,FALSE))</f>
        <v/>
      </c>
      <c r="G251" s="15" t="str">
        <f>IF(ISNA(VLOOKUP(MID($A251,5,1),Kanji_2_HanViet!$A:$C,2,FALSE)),"",VLOOKUP(MID($A251,5,1),Kanji_2_HanViet!$A:$C,2,FALSE))</f>
        <v/>
      </c>
      <c r="H251" s="15" t="str">
        <f>IF(ISNA(VLOOKUP(MID($A251,6,1),Kanji_2_HanViet!$A:$C,2,FALSE)),"",VLOOKUP(MID($A251,6,1),Kanji_2_HanViet!$A:$C,2,FALSE))</f>
        <v/>
      </c>
      <c r="I251" s="15" t="str">
        <f>IF(ISNA(VLOOKUP(MID($A251,7,1),Kanji_2_HanViet!$A:$C,2,FALSE)),"",VLOOKUP(MID($A251,7,1),Kanji_2_HanViet!$A:$C,2,FALSE))</f>
        <v/>
      </c>
      <c r="J251" s="15" t="str">
        <f>IF(ISNA(VLOOKUP(MID($A251,8,1),Kanji_2_HanViet!$A:$C,2,FALSE)),"",VLOOKUP(MID($A251,8,1),Kanji_2_HanViet!$A:$C,2,FALSE))</f>
        <v/>
      </c>
      <c r="K251" s="15" t="str">
        <f>IF(ISNA(VLOOKUP(MID($A251,9,1),Kanji_2_HanViet!$A:$C,2,FALSE)),"",VLOOKUP(MID($A251,9,1),Kanji_2_HanViet!$A:$C,2,FALSE))</f>
        <v/>
      </c>
    </row>
  </sheetData>
  <phoneticPr fontId="6"/>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topLeftCell="A1501" workbookViewId="0">
      <selection activeCell="E1526" sqref="E1526"/>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C1519" s="68" t="s">
        <v>9219</v>
      </c>
      <c r="D1519" s="69" t="s">
        <v>3367</v>
      </c>
    </row>
    <row r="1520" spans="1:6">
      <c r="A1520" s="4" t="s">
        <v>3368</v>
      </c>
      <c r="B1520" s="6" t="s">
        <v>3369</v>
      </c>
      <c r="C1520" s="4" t="s">
        <v>132</v>
      </c>
      <c r="D1520" s="4">
        <v>19</v>
      </c>
      <c r="E1520" s="4" t="s">
        <v>852</v>
      </c>
      <c r="F1520" s="4" t="s">
        <v>3370</v>
      </c>
    </row>
    <row r="1521" spans="1:6">
      <c r="A1521" s="4" t="s">
        <v>3371</v>
      </c>
      <c r="B1521" s="6" t="s">
        <v>3372</v>
      </c>
      <c r="C1521" s="4" t="s">
        <v>458</v>
      </c>
      <c r="D1521" s="4">
        <v>15</v>
      </c>
      <c r="E1521" s="4" t="s">
        <v>852</v>
      </c>
    </row>
    <row r="1522" spans="1:6">
      <c r="A1522" s="4" t="s">
        <v>3373</v>
      </c>
      <c r="B1522" s="6" t="s">
        <v>3374</v>
      </c>
      <c r="C1522" s="4" t="s">
        <v>301</v>
      </c>
      <c r="D1522" s="4">
        <v>13</v>
      </c>
      <c r="E1522" s="4" t="s">
        <v>852</v>
      </c>
      <c r="F1522" s="4" t="s">
        <v>3375</v>
      </c>
    </row>
    <row r="1523" spans="1:6">
      <c r="A1523" s="4" t="s">
        <v>3376</v>
      </c>
      <c r="B1523" s="6" t="s">
        <v>3374</v>
      </c>
      <c r="C1523" s="4" t="s">
        <v>37</v>
      </c>
      <c r="D1523" s="4">
        <v>9</v>
      </c>
      <c r="E1523" s="4" t="s">
        <v>852</v>
      </c>
      <c r="F1523" s="4" t="s">
        <v>2377</v>
      </c>
    </row>
    <row r="1524" spans="1:6">
      <c r="A1524" s="4" t="s">
        <v>3377</v>
      </c>
      <c r="B1524" s="6" t="s">
        <v>3374</v>
      </c>
      <c r="C1524" s="4" t="s">
        <v>49</v>
      </c>
      <c r="D1524" s="4">
        <v>16</v>
      </c>
      <c r="E1524" s="4" t="s">
        <v>852</v>
      </c>
      <c r="F1524" s="4" t="s">
        <v>3378</v>
      </c>
    </row>
    <row r="1525" spans="1:6">
      <c r="A1525" s="4" t="s">
        <v>3379</v>
      </c>
      <c r="B1525" s="6" t="s">
        <v>3380</v>
      </c>
      <c r="C1525" s="4" t="s">
        <v>301</v>
      </c>
      <c r="D1525" s="4">
        <v>11</v>
      </c>
      <c r="E1525" s="4" t="s">
        <v>3381</v>
      </c>
      <c r="F1525" s="4" t="s">
        <v>3382</v>
      </c>
    </row>
    <row r="1526" spans="1:6">
      <c r="A1526" s="4" t="s">
        <v>3383</v>
      </c>
      <c r="B1526" s="6" t="s">
        <v>3384</v>
      </c>
      <c r="C1526" s="4" t="s">
        <v>53</v>
      </c>
      <c r="D1526" s="4">
        <v>16</v>
      </c>
      <c r="E1526" s="4" t="s">
        <v>852</v>
      </c>
    </row>
    <row r="1527" spans="1:6">
      <c r="A1527" s="4" t="s">
        <v>3385</v>
      </c>
      <c r="B1527" s="6" t="s">
        <v>3386</v>
      </c>
      <c r="C1527" s="4" t="s">
        <v>254</v>
      </c>
      <c r="D1527" s="4">
        <v>11</v>
      </c>
      <c r="E1527" s="4" t="s">
        <v>3387</v>
      </c>
    </row>
    <row r="1528" spans="1:6">
      <c r="A1528" s="4" t="s">
        <v>3388</v>
      </c>
      <c r="B1528" s="6" t="s">
        <v>3389</v>
      </c>
      <c r="C1528" s="4" t="s">
        <v>53</v>
      </c>
      <c r="D1528" s="4">
        <v>9</v>
      </c>
      <c r="E1528" s="4" t="s">
        <v>721</v>
      </c>
    </row>
    <row r="1529" spans="1:6">
      <c r="A1529" s="4" t="s">
        <v>3390</v>
      </c>
      <c r="B1529" s="6" t="s">
        <v>3391</v>
      </c>
      <c r="C1529" s="4" t="s">
        <v>110</v>
      </c>
      <c r="D1529" s="4">
        <v>12</v>
      </c>
      <c r="E1529" s="4" t="s">
        <v>805</v>
      </c>
      <c r="F1529" s="4" t="s">
        <v>3392</v>
      </c>
    </row>
    <row r="1530" spans="1:6">
      <c r="A1530" s="4" t="s">
        <v>3393</v>
      </c>
      <c r="B1530" s="6" t="s">
        <v>3394</v>
      </c>
      <c r="C1530" s="4" t="s">
        <v>27</v>
      </c>
      <c r="D1530" s="4">
        <v>12</v>
      </c>
      <c r="E1530" s="4" t="s">
        <v>731</v>
      </c>
      <c r="F1530" s="4" t="s">
        <v>3395</v>
      </c>
    </row>
    <row r="1531" spans="1:6">
      <c r="A1531" s="4" t="s">
        <v>3396</v>
      </c>
      <c r="B1531" s="6" t="s">
        <v>3394</v>
      </c>
      <c r="C1531" s="4" t="s">
        <v>1078</v>
      </c>
      <c r="D1531" s="4">
        <v>13</v>
      </c>
      <c r="E1531" s="4" t="s">
        <v>731</v>
      </c>
    </row>
    <row r="1532" spans="1:6">
      <c r="A1532" s="4" t="s">
        <v>3397</v>
      </c>
      <c r="B1532" s="6" t="s">
        <v>3398</v>
      </c>
      <c r="C1532" s="4" t="s">
        <v>3399</v>
      </c>
      <c r="D1532" s="4">
        <v>16</v>
      </c>
      <c r="E1532" s="4" t="s">
        <v>2699</v>
      </c>
    </row>
    <row r="1533" spans="1:6">
      <c r="A1533" s="4" t="s">
        <v>3400</v>
      </c>
      <c r="B1533" s="6" t="s">
        <v>3401</v>
      </c>
      <c r="C1533" s="4" t="s">
        <v>41</v>
      </c>
      <c r="D1533" s="4">
        <v>11</v>
      </c>
      <c r="E1533" s="4" t="s">
        <v>752</v>
      </c>
      <c r="F1533" s="4" t="s">
        <v>46</v>
      </c>
    </row>
    <row r="1534" spans="1:6">
      <c r="A1534" s="4" t="s">
        <v>3402</v>
      </c>
      <c r="B1534" s="6" t="s">
        <v>3401</v>
      </c>
      <c r="C1534" s="4" t="s">
        <v>23</v>
      </c>
      <c r="D1534" s="4">
        <v>7</v>
      </c>
      <c r="E1534" s="4" t="s">
        <v>752</v>
      </c>
    </row>
    <row r="1535" spans="1:6">
      <c r="A1535" s="4" t="s">
        <v>3403</v>
      </c>
      <c r="B1535" s="6" t="s">
        <v>3404</v>
      </c>
      <c r="C1535" s="4" t="s">
        <v>27</v>
      </c>
      <c r="D1535" s="4">
        <v>7</v>
      </c>
      <c r="E1535" s="4" t="s">
        <v>752</v>
      </c>
    </row>
    <row r="1536" spans="1:6">
      <c r="A1536" s="4" t="s">
        <v>3405</v>
      </c>
      <c r="B1536" s="6" t="s">
        <v>3404</v>
      </c>
      <c r="C1536" s="4" t="s">
        <v>173</v>
      </c>
      <c r="D1536" s="4">
        <v>10</v>
      </c>
      <c r="E1536" s="4" t="s">
        <v>3279</v>
      </c>
    </row>
    <row r="1537" spans="1:6">
      <c r="A1537" s="4" t="s">
        <v>3406</v>
      </c>
      <c r="B1537" s="6" t="s">
        <v>3407</v>
      </c>
      <c r="C1537" s="4" t="s">
        <v>81</v>
      </c>
      <c r="D1537" s="4">
        <v>9</v>
      </c>
      <c r="E1537" s="4" t="s">
        <v>789</v>
      </c>
    </row>
    <row r="1538" spans="1:6">
      <c r="A1538" s="4" t="s">
        <v>3408</v>
      </c>
      <c r="B1538" s="6" t="s">
        <v>3409</v>
      </c>
      <c r="C1538" s="4" t="s">
        <v>45</v>
      </c>
      <c r="D1538" s="4">
        <v>9</v>
      </c>
      <c r="E1538" s="4" t="s">
        <v>799</v>
      </c>
    </row>
    <row r="1539" spans="1:6">
      <c r="A1539" s="4" t="s">
        <v>3410</v>
      </c>
      <c r="B1539" s="6" t="s">
        <v>3409</v>
      </c>
      <c r="C1539" s="4" t="s">
        <v>23</v>
      </c>
      <c r="D1539" s="4">
        <v>12</v>
      </c>
      <c r="E1539" s="4" t="s">
        <v>789</v>
      </c>
    </row>
    <row r="1540" spans="1:6">
      <c r="A1540" s="4" t="s">
        <v>3411</v>
      </c>
      <c r="B1540" s="6" t="s">
        <v>3412</v>
      </c>
      <c r="C1540" s="4" t="s">
        <v>81</v>
      </c>
      <c r="D1540" s="4">
        <v>13</v>
      </c>
      <c r="E1540" s="4" t="s">
        <v>727</v>
      </c>
    </row>
    <row r="1541" spans="1:6">
      <c r="A1541" s="4" t="s">
        <v>3413</v>
      </c>
      <c r="B1541" s="6" t="s">
        <v>3412</v>
      </c>
      <c r="C1541" s="4" t="s">
        <v>53</v>
      </c>
      <c r="D1541" s="4">
        <v>14</v>
      </c>
      <c r="E1541" s="4" t="s">
        <v>3414</v>
      </c>
      <c r="F1541" s="4" t="s">
        <v>3415</v>
      </c>
    </row>
    <row r="1542" spans="1:6">
      <c r="A1542" s="4" t="s">
        <v>3416</v>
      </c>
      <c r="B1542" s="6" t="s">
        <v>3412</v>
      </c>
      <c r="C1542" s="4" t="s">
        <v>81</v>
      </c>
      <c r="D1542" s="4">
        <v>13</v>
      </c>
      <c r="E1542" s="4" t="s">
        <v>727</v>
      </c>
    </row>
    <row r="1543" spans="1:6">
      <c r="A1543" s="4" t="s">
        <v>3417</v>
      </c>
      <c r="B1543" s="6" t="s">
        <v>3412</v>
      </c>
      <c r="C1543" s="4" t="s">
        <v>23</v>
      </c>
      <c r="D1543" s="4">
        <v>9</v>
      </c>
      <c r="E1543" s="4" t="s">
        <v>727</v>
      </c>
      <c r="F1543" s="4" t="s">
        <v>3418</v>
      </c>
    </row>
    <row r="1544" spans="1:6">
      <c r="A1544" s="4" t="s">
        <v>3419</v>
      </c>
      <c r="B1544" s="6" t="s">
        <v>3420</v>
      </c>
      <c r="C1544" s="4" t="s">
        <v>705</v>
      </c>
      <c r="D1544" s="4">
        <v>11</v>
      </c>
      <c r="E1544" s="4" t="s">
        <v>731</v>
      </c>
    </row>
    <row r="1545" spans="1:6">
      <c r="A1545" s="4" t="s">
        <v>3421</v>
      </c>
      <c r="B1545" s="6" t="s">
        <v>3422</v>
      </c>
      <c r="C1545" s="4" t="s">
        <v>995</v>
      </c>
      <c r="D1545" s="4">
        <v>9</v>
      </c>
      <c r="E1545" s="4" t="s">
        <v>731</v>
      </c>
      <c r="F1545" s="4" t="s">
        <v>1036</v>
      </c>
    </row>
    <row r="1546" spans="1:6">
      <c r="A1546" s="4" t="s">
        <v>3423</v>
      </c>
      <c r="B1546" s="6" t="s">
        <v>3424</v>
      </c>
      <c r="C1546" s="4" t="s">
        <v>34</v>
      </c>
      <c r="D1546" s="4">
        <v>7</v>
      </c>
      <c r="E1546" s="4" t="s">
        <v>752</v>
      </c>
    </row>
    <row r="1547" spans="1:6">
      <c r="A1547" s="4" t="s">
        <v>3425</v>
      </c>
      <c r="B1547" s="6" t="s">
        <v>3424</v>
      </c>
      <c r="C1547" s="4" t="s">
        <v>254</v>
      </c>
      <c r="D1547" s="4">
        <v>6</v>
      </c>
      <c r="E1547" s="4" t="s">
        <v>752</v>
      </c>
    </row>
    <row r="1548" spans="1:6">
      <c r="A1548" s="4" t="s">
        <v>3426</v>
      </c>
      <c r="B1548" s="6" t="s">
        <v>3427</v>
      </c>
      <c r="C1548" s="4" t="s">
        <v>81</v>
      </c>
      <c r="D1548" s="4">
        <v>15</v>
      </c>
      <c r="E1548" s="4" t="s">
        <v>2970</v>
      </c>
      <c r="F1548" s="4" t="s">
        <v>1797</v>
      </c>
    </row>
    <row r="1549" spans="1:6">
      <c r="A1549" s="4" t="s">
        <v>3428</v>
      </c>
      <c r="B1549" s="6" t="s">
        <v>3429</v>
      </c>
      <c r="C1549" s="4" t="s">
        <v>81</v>
      </c>
      <c r="D1549" s="4">
        <v>9</v>
      </c>
      <c r="E1549" s="4" t="s">
        <v>752</v>
      </c>
      <c r="F1549" s="4" t="s">
        <v>3430</v>
      </c>
    </row>
    <row r="1550" spans="1:6">
      <c r="A1550" s="4" t="s">
        <v>3431</v>
      </c>
      <c r="B1550" s="6" t="s">
        <v>3432</v>
      </c>
      <c r="C1550" s="4" t="s">
        <v>87</v>
      </c>
      <c r="D1550" s="4">
        <v>11</v>
      </c>
      <c r="E1550" s="4" t="s">
        <v>825</v>
      </c>
      <c r="F1550" s="4" t="s">
        <v>3433</v>
      </c>
    </row>
    <row r="1551" spans="1:6">
      <c r="A1551" s="4" t="s">
        <v>3434</v>
      </c>
      <c r="B1551" s="6" t="s">
        <v>3435</v>
      </c>
      <c r="C1551" s="4" t="s">
        <v>605</v>
      </c>
      <c r="D1551" s="4">
        <v>5</v>
      </c>
      <c r="E1551" s="4" t="s">
        <v>752</v>
      </c>
      <c r="F1551" s="4" t="s">
        <v>3436</v>
      </c>
    </row>
    <row r="1552" spans="1:6">
      <c r="A1552" s="4" t="s">
        <v>3437</v>
      </c>
      <c r="B1552" s="6" t="s">
        <v>3438</v>
      </c>
      <c r="C1552" s="4" t="s">
        <v>23</v>
      </c>
      <c r="D1552" s="4">
        <v>5</v>
      </c>
      <c r="E1552" s="4" t="s">
        <v>721</v>
      </c>
      <c r="F1552" s="4" t="s">
        <v>3439</v>
      </c>
    </row>
    <row r="1553" spans="1:6">
      <c r="A1553" s="4" t="s">
        <v>3440</v>
      </c>
      <c r="B1553" s="6" t="s">
        <v>3441</v>
      </c>
      <c r="C1553" s="4" t="s">
        <v>23</v>
      </c>
      <c r="D1553" s="4">
        <v>11</v>
      </c>
      <c r="E1553" s="4" t="s">
        <v>852</v>
      </c>
    </row>
    <row r="1554" spans="1:6">
      <c r="A1554" s="4" t="s">
        <v>3442</v>
      </c>
      <c r="B1554" s="6" t="s">
        <v>3441</v>
      </c>
      <c r="C1554" s="4" t="s">
        <v>34</v>
      </c>
      <c r="D1554" s="4">
        <v>12</v>
      </c>
      <c r="E1554" s="4" t="s">
        <v>805</v>
      </c>
    </row>
    <row r="1555" spans="1:6">
      <c r="A1555" s="4" t="s">
        <v>3443</v>
      </c>
      <c r="B1555" s="6" t="s">
        <v>3441</v>
      </c>
      <c r="C1555" s="4" t="s">
        <v>315</v>
      </c>
      <c r="D1555" s="4">
        <v>18</v>
      </c>
      <c r="E1555" s="4" t="s">
        <v>3444</v>
      </c>
      <c r="F1555" s="4" t="s">
        <v>3445</v>
      </c>
    </row>
    <row r="1556" spans="1:6">
      <c r="A1556" s="4" t="s">
        <v>3446</v>
      </c>
      <c r="B1556" s="6" t="s">
        <v>3441</v>
      </c>
      <c r="C1556" s="4" t="s">
        <v>487</v>
      </c>
      <c r="D1556" s="4">
        <v>12</v>
      </c>
      <c r="E1556" s="4" t="s">
        <v>727</v>
      </c>
    </row>
    <row r="1557" spans="1:6">
      <c r="A1557" s="4" t="s">
        <v>3447</v>
      </c>
      <c r="B1557" s="6" t="s">
        <v>3441</v>
      </c>
      <c r="C1557" s="4" t="s">
        <v>271</v>
      </c>
      <c r="D1557" s="4">
        <v>12</v>
      </c>
      <c r="E1557" s="4" t="s">
        <v>727</v>
      </c>
    </row>
    <row r="1558" spans="1:6">
      <c r="A1558" s="4" t="s">
        <v>3448</v>
      </c>
      <c r="B1558" s="6" t="s">
        <v>3449</v>
      </c>
      <c r="C1558" s="4" t="s">
        <v>2085</v>
      </c>
      <c r="D1558" s="4">
        <v>10</v>
      </c>
      <c r="E1558" s="4" t="s">
        <v>1378</v>
      </c>
      <c r="F1558" s="4" t="s">
        <v>3280</v>
      </c>
    </row>
    <row r="1559" spans="1:6">
      <c r="A1559" s="4" t="s">
        <v>3450</v>
      </c>
      <c r="B1559" s="6" t="s">
        <v>3451</v>
      </c>
      <c r="C1559" s="4" t="s">
        <v>27</v>
      </c>
      <c r="D1559" s="4">
        <v>7</v>
      </c>
      <c r="E1559" s="4" t="s">
        <v>731</v>
      </c>
    </row>
    <row r="1560" spans="1:6">
      <c r="A1560" s="4" t="s">
        <v>69</v>
      </c>
      <c r="B1560" s="6" t="s">
        <v>3451</v>
      </c>
      <c r="C1560" s="4" t="s">
        <v>69</v>
      </c>
      <c r="D1560" s="4">
        <v>2</v>
      </c>
    </row>
    <row r="1561" spans="1:6">
      <c r="A1561" s="4" t="s">
        <v>3452</v>
      </c>
      <c r="B1561" s="6" t="s">
        <v>3451</v>
      </c>
      <c r="C1561" s="4" t="s">
        <v>285</v>
      </c>
      <c r="D1561" s="4">
        <v>12</v>
      </c>
      <c r="E1561" s="4" t="s">
        <v>731</v>
      </c>
      <c r="F1561" s="4" t="s">
        <v>3453</v>
      </c>
    </row>
    <row r="1562" spans="1:6">
      <c r="A1562" s="4" t="s">
        <v>3454</v>
      </c>
      <c r="B1562" s="6" t="s">
        <v>3455</v>
      </c>
      <c r="C1562" s="4" t="s">
        <v>254</v>
      </c>
      <c r="D1562" s="4">
        <v>8</v>
      </c>
      <c r="E1562" s="4" t="s">
        <v>731</v>
      </c>
      <c r="F1562" s="4" t="s">
        <v>3456</v>
      </c>
    </row>
    <row r="1563" spans="1:6">
      <c r="A1563" s="4" t="s">
        <v>3457</v>
      </c>
      <c r="B1563" s="6" t="s">
        <v>3458</v>
      </c>
      <c r="C1563" s="4" t="s">
        <v>81</v>
      </c>
      <c r="D1563" s="4">
        <v>14</v>
      </c>
      <c r="E1563" s="4" t="s">
        <v>752</v>
      </c>
    </row>
    <row r="1564" spans="1:6">
      <c r="A1564" s="4" t="s">
        <v>3459</v>
      </c>
      <c r="B1564" s="6" t="s">
        <v>3460</v>
      </c>
      <c r="C1564" s="4" t="s">
        <v>2610</v>
      </c>
      <c r="D1564" s="4">
        <v>6</v>
      </c>
      <c r="E1564" s="4" t="s">
        <v>752</v>
      </c>
      <c r="F1564" s="4" t="s">
        <v>3461</v>
      </c>
    </row>
    <row r="1565" spans="1:6">
      <c r="A1565" s="4" t="s">
        <v>3462</v>
      </c>
      <c r="B1565" s="6" t="s">
        <v>3460</v>
      </c>
      <c r="C1565" s="4" t="s">
        <v>34</v>
      </c>
      <c r="D1565" s="4">
        <v>9</v>
      </c>
      <c r="E1565" s="4" t="s">
        <v>2735</v>
      </c>
    </row>
    <row r="1566" spans="1:6">
      <c r="A1566" s="4" t="s">
        <v>3463</v>
      </c>
      <c r="B1566" s="6" t="s">
        <v>3460</v>
      </c>
      <c r="C1566" s="4" t="s">
        <v>1328</v>
      </c>
      <c r="D1566" s="4">
        <v>6</v>
      </c>
      <c r="E1566" s="4" t="s">
        <v>752</v>
      </c>
    </row>
    <row r="1567" spans="1:6">
      <c r="A1567" s="4" t="s">
        <v>3464</v>
      </c>
      <c r="B1567" s="6" t="s">
        <v>3460</v>
      </c>
      <c r="C1567" s="4" t="s">
        <v>53</v>
      </c>
      <c r="D1567" s="4">
        <v>10</v>
      </c>
      <c r="E1567" s="4" t="s">
        <v>752</v>
      </c>
    </row>
    <row r="1568" spans="1:6">
      <c r="A1568" s="4" t="s">
        <v>3465</v>
      </c>
      <c r="B1568" s="6" t="s">
        <v>3466</v>
      </c>
      <c r="C1568" s="4" t="s">
        <v>223</v>
      </c>
      <c r="D1568" s="4">
        <v>18</v>
      </c>
      <c r="E1568" s="4" t="s">
        <v>874</v>
      </c>
      <c r="F1568" s="4" t="s">
        <v>3467</v>
      </c>
    </row>
    <row r="1569" spans="1:6">
      <c r="A1569" s="4" t="s">
        <v>3468</v>
      </c>
      <c r="B1569" s="6" t="s">
        <v>3466</v>
      </c>
      <c r="C1569" s="4" t="s">
        <v>31</v>
      </c>
      <c r="D1569" s="4">
        <v>12</v>
      </c>
      <c r="E1569" s="4" t="s">
        <v>874</v>
      </c>
    </row>
    <row r="1570" spans="1:6">
      <c r="A1570" s="4" t="s">
        <v>3469</v>
      </c>
      <c r="B1570" s="6" t="s">
        <v>3470</v>
      </c>
      <c r="C1570" s="4" t="s">
        <v>427</v>
      </c>
      <c r="D1570" s="4">
        <v>11</v>
      </c>
      <c r="E1570" s="4" t="s">
        <v>900</v>
      </c>
    </row>
    <row r="1571" spans="1:6">
      <c r="A1571" s="4" t="s">
        <v>3471</v>
      </c>
      <c r="B1571" s="6" t="s">
        <v>3472</v>
      </c>
      <c r="C1571" s="4" t="s">
        <v>448</v>
      </c>
      <c r="D1571" s="4">
        <v>5</v>
      </c>
      <c r="E1571" s="4" t="s">
        <v>939</v>
      </c>
      <c r="F1571" s="4" t="s">
        <v>1471</v>
      </c>
    </row>
    <row r="1572" spans="1:6">
      <c r="A1572" s="4" t="s">
        <v>3473</v>
      </c>
      <c r="B1572" s="6" t="s">
        <v>3474</v>
      </c>
      <c r="C1572" s="4" t="s">
        <v>87</v>
      </c>
      <c r="D1572" s="4">
        <v>8</v>
      </c>
      <c r="E1572" s="4" t="s">
        <v>900</v>
      </c>
      <c r="F1572" s="4" t="s">
        <v>2141</v>
      </c>
    </row>
    <row r="1573" spans="1:6">
      <c r="A1573" s="4" t="s">
        <v>3475</v>
      </c>
      <c r="B1573" s="6" t="s">
        <v>3476</v>
      </c>
      <c r="C1573" s="4" t="s">
        <v>182</v>
      </c>
      <c r="D1573" s="4">
        <v>3</v>
      </c>
      <c r="E1573" s="4" t="s">
        <v>3477</v>
      </c>
      <c r="F1573" s="4" t="s">
        <v>3478</v>
      </c>
    </row>
    <row r="1574" spans="1:6">
      <c r="A1574" s="4" t="s">
        <v>3479</v>
      </c>
      <c r="B1574" s="6" t="s">
        <v>3480</v>
      </c>
      <c r="C1574" s="4" t="s">
        <v>34</v>
      </c>
      <c r="D1574" s="4">
        <v>6</v>
      </c>
      <c r="E1574" s="4" t="s">
        <v>752</v>
      </c>
    </row>
    <row r="1575" spans="1:6">
      <c r="A1575" s="4" t="s">
        <v>3481</v>
      </c>
      <c r="B1575" s="6" t="s">
        <v>3480</v>
      </c>
      <c r="C1575" s="4" t="s">
        <v>45</v>
      </c>
      <c r="D1575" s="4">
        <v>11</v>
      </c>
      <c r="E1575" s="4" t="s">
        <v>752</v>
      </c>
    </row>
    <row r="1576" spans="1:6">
      <c r="A1576" s="4" t="s">
        <v>3482</v>
      </c>
      <c r="B1576" s="6" t="s">
        <v>3480</v>
      </c>
      <c r="C1576" s="4" t="s">
        <v>3483</v>
      </c>
      <c r="D1576" s="4">
        <v>10</v>
      </c>
      <c r="E1576" s="4" t="s">
        <v>752</v>
      </c>
    </row>
    <row r="1577" spans="1:6">
      <c r="A1577" s="4" t="s">
        <v>3484</v>
      </c>
      <c r="B1577" s="6" t="s">
        <v>3480</v>
      </c>
      <c r="C1577" s="4" t="s">
        <v>23</v>
      </c>
      <c r="D1577" s="4">
        <v>5</v>
      </c>
      <c r="E1577" s="4" t="s">
        <v>752</v>
      </c>
      <c r="F1577" s="4" t="s">
        <v>3485</v>
      </c>
    </row>
    <row r="1578" spans="1:6">
      <c r="A1578" s="4" t="s">
        <v>3486</v>
      </c>
      <c r="B1578" s="6" t="s">
        <v>3480</v>
      </c>
      <c r="C1578" s="4" t="s">
        <v>315</v>
      </c>
      <c r="D1578" s="4">
        <v>11</v>
      </c>
      <c r="E1578" s="4" t="s">
        <v>752</v>
      </c>
      <c r="F1578" s="4" t="s">
        <v>3487</v>
      </c>
    </row>
    <row r="1579" spans="1:6">
      <c r="A1579" s="4" t="s">
        <v>3488</v>
      </c>
      <c r="B1579" s="6" t="s">
        <v>3489</v>
      </c>
      <c r="C1579" s="4" t="s">
        <v>301</v>
      </c>
      <c r="D1579" s="4">
        <v>15</v>
      </c>
      <c r="E1579" s="4" t="s">
        <v>877</v>
      </c>
    </row>
    <row r="1580" spans="1:6">
      <c r="A1580" s="4" t="s">
        <v>3490</v>
      </c>
      <c r="B1580" s="6" t="s">
        <v>3489</v>
      </c>
      <c r="C1580" s="4" t="s">
        <v>27</v>
      </c>
      <c r="D1580" s="4">
        <v>16</v>
      </c>
      <c r="E1580" s="4" t="s">
        <v>972</v>
      </c>
    </row>
    <row r="1581" spans="1:6">
      <c r="A1581" s="4" t="s">
        <v>3491</v>
      </c>
      <c r="B1581" s="6" t="s">
        <v>3489</v>
      </c>
      <c r="C1581" s="4" t="s">
        <v>81</v>
      </c>
      <c r="D1581" s="4">
        <v>17</v>
      </c>
      <c r="E1581" s="4" t="s">
        <v>972</v>
      </c>
      <c r="F1581" s="4" t="s">
        <v>3492</v>
      </c>
    </row>
    <row r="1582" spans="1:6">
      <c r="A1582" s="4" t="s">
        <v>23</v>
      </c>
      <c r="B1582" s="6" t="s">
        <v>3493</v>
      </c>
      <c r="C1582" s="4" t="s">
        <v>23</v>
      </c>
      <c r="D1582" s="4">
        <v>3</v>
      </c>
      <c r="E1582" s="4" t="s">
        <v>752</v>
      </c>
      <c r="F1582" s="4" t="s">
        <v>3494</v>
      </c>
    </row>
    <row r="1583" spans="1:6">
      <c r="A1583" s="4" t="s">
        <v>3495</v>
      </c>
      <c r="B1583" s="6" t="s">
        <v>3496</v>
      </c>
      <c r="C1583" s="4" t="s">
        <v>271</v>
      </c>
      <c r="D1583" s="4">
        <v>8</v>
      </c>
      <c r="E1583" s="4" t="s">
        <v>1344</v>
      </c>
      <c r="F1583" s="4" t="s">
        <v>3497</v>
      </c>
    </row>
    <row r="1584" spans="1:6">
      <c r="A1584" s="4" t="s">
        <v>3498</v>
      </c>
      <c r="B1584" s="6" t="s">
        <v>3496</v>
      </c>
      <c r="C1584" s="4" t="s">
        <v>976</v>
      </c>
      <c r="D1584" s="4">
        <v>7</v>
      </c>
      <c r="E1584" s="4" t="s">
        <v>1344</v>
      </c>
      <c r="F1584" s="4" t="s">
        <v>3499</v>
      </c>
    </row>
    <row r="1585" spans="1:6">
      <c r="A1585" s="4" t="s">
        <v>3500</v>
      </c>
      <c r="B1585" s="6" t="s">
        <v>3496</v>
      </c>
      <c r="C1585" s="4" t="s">
        <v>271</v>
      </c>
      <c r="D1585" s="4">
        <v>9</v>
      </c>
      <c r="E1585" s="4" t="s">
        <v>1344</v>
      </c>
      <c r="F1585" s="4" t="s">
        <v>3499</v>
      </c>
    </row>
    <row r="1586" spans="1:6">
      <c r="A1586" s="4" t="s">
        <v>3501</v>
      </c>
      <c r="B1586" s="6" t="s">
        <v>3496</v>
      </c>
      <c r="C1586" s="4" t="s">
        <v>1180</v>
      </c>
      <c r="D1586" s="4">
        <v>10</v>
      </c>
      <c r="E1586" s="4" t="s">
        <v>1344</v>
      </c>
      <c r="F1586" s="4" t="s">
        <v>3499</v>
      </c>
    </row>
    <row r="1587" spans="1:6">
      <c r="A1587" s="4" t="s">
        <v>3502</v>
      </c>
      <c r="B1587" s="6" t="s">
        <v>3503</v>
      </c>
      <c r="C1587" s="4" t="s">
        <v>354</v>
      </c>
      <c r="D1587" s="4">
        <v>8</v>
      </c>
      <c r="E1587" s="4" t="s">
        <v>752</v>
      </c>
      <c r="F1587" s="4" t="s">
        <v>3504</v>
      </c>
    </row>
    <row r="1588" spans="1:6">
      <c r="A1588" s="4" t="s">
        <v>3505</v>
      </c>
      <c r="B1588" s="6" t="s">
        <v>3506</v>
      </c>
      <c r="C1588" s="4" t="s">
        <v>87</v>
      </c>
      <c r="D1588" s="4">
        <v>13</v>
      </c>
      <c r="E1588" s="4" t="s">
        <v>852</v>
      </c>
      <c r="F1588" s="4" t="s">
        <v>1346</v>
      </c>
    </row>
    <row r="1589" spans="1:6">
      <c r="A1589" s="4" t="s">
        <v>3507</v>
      </c>
      <c r="B1589" s="6" t="s">
        <v>3506</v>
      </c>
      <c r="C1589" s="4" t="s">
        <v>87</v>
      </c>
      <c r="D1589" s="4">
        <v>11</v>
      </c>
      <c r="E1589" s="4" t="s">
        <v>852</v>
      </c>
      <c r="F1589" s="4" t="s">
        <v>1346</v>
      </c>
    </row>
    <row r="1590" spans="1:6">
      <c r="A1590" s="4" t="s">
        <v>3508</v>
      </c>
      <c r="B1590" s="6" t="s">
        <v>3509</v>
      </c>
      <c r="C1590" s="4" t="s">
        <v>81</v>
      </c>
      <c r="D1590" s="4">
        <v>16</v>
      </c>
      <c r="E1590" s="4" t="s">
        <v>852</v>
      </c>
      <c r="F1590" s="4" t="s">
        <v>3510</v>
      </c>
    </row>
    <row r="1591" spans="1:6">
      <c r="A1591" s="4" t="s">
        <v>3511</v>
      </c>
      <c r="B1591" s="6" t="s">
        <v>3509</v>
      </c>
      <c r="C1591" s="4" t="s">
        <v>81</v>
      </c>
      <c r="D1591" s="4">
        <v>15</v>
      </c>
      <c r="E1591" s="4" t="s">
        <v>852</v>
      </c>
      <c r="F1591" s="4" t="s">
        <v>3510</v>
      </c>
    </row>
    <row r="1592" spans="1:6">
      <c r="A1592" s="4" t="s">
        <v>3512</v>
      </c>
      <c r="B1592" s="6" t="s">
        <v>3513</v>
      </c>
      <c r="C1592" s="4" t="s">
        <v>121</v>
      </c>
      <c r="D1592" s="4">
        <v>9</v>
      </c>
      <c r="E1592" s="4" t="s">
        <v>3514</v>
      </c>
      <c r="F1592" s="4" t="s">
        <v>3515</v>
      </c>
    </row>
    <row r="1593" spans="1:6">
      <c r="A1593" s="4" t="s">
        <v>3516</v>
      </c>
      <c r="B1593" s="6" t="s">
        <v>3517</v>
      </c>
      <c r="C1593" s="4" t="s">
        <v>31</v>
      </c>
      <c r="D1593" s="4">
        <v>12</v>
      </c>
      <c r="E1593" s="4" t="s">
        <v>3518</v>
      </c>
      <c r="F1593" s="4" t="s">
        <v>3519</v>
      </c>
    </row>
    <row r="1594" spans="1:6">
      <c r="A1594" s="4" t="s">
        <v>3520</v>
      </c>
      <c r="B1594" s="6" t="s">
        <v>3521</v>
      </c>
      <c r="C1594" s="4" t="s">
        <v>37</v>
      </c>
      <c r="D1594" s="4">
        <v>17</v>
      </c>
      <c r="E1594" s="4" t="s">
        <v>2887</v>
      </c>
    </row>
    <row r="1595" spans="1:6">
      <c r="A1595" s="4" t="s">
        <v>3522</v>
      </c>
      <c r="B1595" s="6" t="s">
        <v>3523</v>
      </c>
      <c r="C1595" s="4" t="s">
        <v>81</v>
      </c>
      <c r="D1595" s="4">
        <v>13</v>
      </c>
      <c r="E1595" s="4" t="s">
        <v>2887</v>
      </c>
    </row>
    <row r="1596" spans="1:6">
      <c r="A1596" s="4" t="s">
        <v>3524</v>
      </c>
      <c r="B1596" s="6" t="s">
        <v>3523</v>
      </c>
      <c r="C1596" s="4" t="s">
        <v>34</v>
      </c>
      <c r="D1596" s="4">
        <v>14</v>
      </c>
      <c r="E1596" s="4" t="s">
        <v>2887</v>
      </c>
    </row>
    <row r="1597" spans="1:6">
      <c r="A1597" s="4" t="s">
        <v>3525</v>
      </c>
      <c r="B1597" s="6" t="s">
        <v>3523</v>
      </c>
      <c r="C1597" s="4" t="s">
        <v>2111</v>
      </c>
      <c r="D1597" s="4">
        <v>11</v>
      </c>
      <c r="E1597" s="4" t="s">
        <v>2887</v>
      </c>
    </row>
    <row r="1598" spans="1:6">
      <c r="A1598" s="4" t="s">
        <v>3526</v>
      </c>
      <c r="B1598" s="6" t="s">
        <v>3527</v>
      </c>
      <c r="C1598" s="4" t="s">
        <v>439</v>
      </c>
      <c r="D1598" s="4">
        <v>13</v>
      </c>
      <c r="E1598" s="4" t="s">
        <v>3528</v>
      </c>
      <c r="F1598" s="4" t="s">
        <v>3529</v>
      </c>
    </row>
    <row r="1599" spans="1:6">
      <c r="A1599" s="4" t="s">
        <v>3530</v>
      </c>
      <c r="B1599" s="6" t="s">
        <v>3527</v>
      </c>
      <c r="C1599" s="4" t="s">
        <v>53</v>
      </c>
      <c r="D1599" s="4">
        <v>16</v>
      </c>
      <c r="E1599" s="4" t="s">
        <v>1043</v>
      </c>
      <c r="F1599" s="4" t="s">
        <v>3531</v>
      </c>
    </row>
    <row r="1600" spans="1:6">
      <c r="A1600" s="4" t="s">
        <v>31</v>
      </c>
      <c r="B1600" s="6" t="s">
        <v>3532</v>
      </c>
      <c r="C1600" s="4" t="s">
        <v>31</v>
      </c>
      <c r="D1600" s="4">
        <v>4</v>
      </c>
      <c r="E1600" s="4" t="s">
        <v>2904</v>
      </c>
      <c r="F1600" s="4" t="s">
        <v>2419</v>
      </c>
    </row>
    <row r="1601" spans="1:6">
      <c r="A1601" s="4" t="s">
        <v>3533</v>
      </c>
      <c r="B1601" s="6" t="s">
        <v>3532</v>
      </c>
      <c r="C1601" s="4" t="s">
        <v>27</v>
      </c>
      <c r="D1601" s="4">
        <v>14</v>
      </c>
      <c r="E1601" s="4" t="s">
        <v>3534</v>
      </c>
    </row>
    <row r="1602" spans="1:6">
      <c r="A1602" s="4" t="s">
        <v>3535</v>
      </c>
      <c r="B1602" s="6" t="s">
        <v>3536</v>
      </c>
      <c r="C1602" s="4" t="s">
        <v>81</v>
      </c>
      <c r="D1602" s="4">
        <v>8</v>
      </c>
      <c r="E1602" s="4" t="s">
        <v>908</v>
      </c>
      <c r="F1602" s="4" t="s">
        <v>3537</v>
      </c>
    </row>
    <row r="1603" spans="1:6">
      <c r="A1603" s="4" t="s">
        <v>3538</v>
      </c>
      <c r="B1603" s="6" t="s">
        <v>3539</v>
      </c>
      <c r="C1603" s="4" t="s">
        <v>87</v>
      </c>
      <c r="D1603" s="4">
        <v>15</v>
      </c>
      <c r="E1603" s="4" t="s">
        <v>2904</v>
      </c>
      <c r="F1603" s="4" t="s">
        <v>3540</v>
      </c>
    </row>
    <row r="1604" spans="1:6">
      <c r="A1604" s="4" t="s">
        <v>3541</v>
      </c>
      <c r="B1604" s="6" t="s">
        <v>3539</v>
      </c>
      <c r="C1604" s="4" t="s">
        <v>23</v>
      </c>
      <c r="D1604" s="4">
        <v>12</v>
      </c>
      <c r="E1604" s="4" t="s">
        <v>3542</v>
      </c>
    </row>
    <row r="1605" spans="1:6">
      <c r="A1605" s="4" t="s">
        <v>3543</v>
      </c>
      <c r="B1605" s="6" t="s">
        <v>3539</v>
      </c>
      <c r="C1605" s="4" t="s">
        <v>34</v>
      </c>
      <c r="D1605" s="4">
        <v>10</v>
      </c>
      <c r="E1605" s="4" t="s">
        <v>2904</v>
      </c>
    </row>
    <row r="1606" spans="1:6">
      <c r="A1606" s="4" t="s">
        <v>3544</v>
      </c>
      <c r="B1606" s="6" t="s">
        <v>3539</v>
      </c>
      <c r="C1606" s="4" t="s">
        <v>92</v>
      </c>
      <c r="D1606" s="4">
        <v>21</v>
      </c>
      <c r="E1606" s="4" t="s">
        <v>3545</v>
      </c>
    </row>
    <row r="1607" spans="1:6">
      <c r="A1607" s="4" t="s">
        <v>3546</v>
      </c>
      <c r="B1607" s="6" t="s">
        <v>3539</v>
      </c>
      <c r="C1607" s="4" t="s">
        <v>23</v>
      </c>
      <c r="D1607" s="4">
        <v>24</v>
      </c>
      <c r="E1607" s="4" t="s">
        <v>3545</v>
      </c>
    </row>
    <row r="1608" spans="1:6">
      <c r="A1608" s="4" t="s">
        <v>3547</v>
      </c>
      <c r="B1608" s="6" t="s">
        <v>3548</v>
      </c>
      <c r="C1608" s="4" t="s">
        <v>23</v>
      </c>
      <c r="D1608" s="4">
        <v>6</v>
      </c>
      <c r="E1608" s="4" t="s">
        <v>908</v>
      </c>
      <c r="F1608" s="4" t="s">
        <v>3549</v>
      </c>
    </row>
    <row r="1609" spans="1:6">
      <c r="A1609" s="4" t="s">
        <v>3550</v>
      </c>
      <c r="B1609" s="6" t="s">
        <v>3548</v>
      </c>
      <c r="C1609" s="4" t="s">
        <v>23</v>
      </c>
      <c r="D1609" s="4">
        <v>16</v>
      </c>
      <c r="E1609" s="4" t="s">
        <v>1069</v>
      </c>
      <c r="F1609" s="4" t="s">
        <v>3551</v>
      </c>
    </row>
    <row r="1610" spans="1:6">
      <c r="A1610" s="4" t="s">
        <v>3552</v>
      </c>
      <c r="B1610" s="6" t="s">
        <v>3553</v>
      </c>
      <c r="C1610" s="4" t="s">
        <v>31</v>
      </c>
      <c r="D1610" s="4">
        <v>14</v>
      </c>
      <c r="E1610" s="4" t="s">
        <v>2887</v>
      </c>
    </row>
    <row r="1611" spans="1:6">
      <c r="A1611" s="4" t="s">
        <v>3554</v>
      </c>
      <c r="B1611" s="6" t="s">
        <v>3555</v>
      </c>
      <c r="C1611" s="4" t="s">
        <v>275</v>
      </c>
      <c r="D1611" s="4">
        <v>13</v>
      </c>
      <c r="E1611" s="4" t="s">
        <v>2887</v>
      </c>
      <c r="F1611" s="4" t="s">
        <v>3556</v>
      </c>
    </row>
    <row r="1612" spans="1:6">
      <c r="A1612" s="4" t="s">
        <v>3557</v>
      </c>
      <c r="B1612" s="6" t="s">
        <v>3558</v>
      </c>
      <c r="C1612" s="4" t="s">
        <v>574</v>
      </c>
      <c r="D1612" s="4">
        <v>12</v>
      </c>
      <c r="E1612" s="4" t="s">
        <v>852</v>
      </c>
      <c r="F1612" s="4" t="s">
        <v>3559</v>
      </c>
    </row>
    <row r="1613" spans="1:6">
      <c r="A1613" s="4" t="s">
        <v>3560</v>
      </c>
      <c r="B1613" s="6" t="s">
        <v>3561</v>
      </c>
      <c r="C1613" s="4" t="s">
        <v>3562</v>
      </c>
      <c r="D1613" s="4">
        <v>6</v>
      </c>
      <c r="E1613" s="4" t="s">
        <v>1388</v>
      </c>
    </row>
    <row r="1614" spans="1:6">
      <c r="A1614" s="4" t="s">
        <v>3563</v>
      </c>
      <c r="B1614" s="6" t="s">
        <v>3561</v>
      </c>
      <c r="C1614" s="4" t="s">
        <v>87</v>
      </c>
      <c r="D1614" s="4">
        <v>7</v>
      </c>
      <c r="E1614" s="4" t="s">
        <v>1378</v>
      </c>
    </row>
    <row r="1615" spans="1:6">
      <c r="A1615" s="4" t="s">
        <v>3564</v>
      </c>
      <c r="B1615" s="6" t="s">
        <v>3561</v>
      </c>
      <c r="C1615" s="4" t="s">
        <v>405</v>
      </c>
      <c r="D1615" s="4">
        <v>11</v>
      </c>
      <c r="E1615" s="4" t="s">
        <v>1378</v>
      </c>
      <c r="F1615" s="4" t="s">
        <v>3565</v>
      </c>
    </row>
    <row r="1616" spans="1:6">
      <c r="A1616" s="4" t="s">
        <v>3566</v>
      </c>
      <c r="B1616" s="6" t="s">
        <v>3561</v>
      </c>
      <c r="C1616" s="4" t="s">
        <v>23</v>
      </c>
      <c r="D1616" s="4">
        <v>15</v>
      </c>
      <c r="E1616" s="4" t="s">
        <v>1378</v>
      </c>
      <c r="F1616" s="4" t="s">
        <v>3567</v>
      </c>
    </row>
    <row r="1617" spans="1:6">
      <c r="A1617" s="4" t="s">
        <v>3568</v>
      </c>
      <c r="B1617" s="6" t="s">
        <v>3561</v>
      </c>
      <c r="C1617" s="4" t="s">
        <v>3562</v>
      </c>
      <c r="D1617" s="4">
        <v>10</v>
      </c>
      <c r="E1617" s="4" t="s">
        <v>1388</v>
      </c>
    </row>
    <row r="1618" spans="1:6">
      <c r="A1618" s="4" t="s">
        <v>3569</v>
      </c>
      <c r="B1618" s="6" t="s">
        <v>3561</v>
      </c>
      <c r="C1618" s="4" t="s">
        <v>23</v>
      </c>
      <c r="D1618" s="4">
        <v>15</v>
      </c>
      <c r="E1618" s="4" t="s">
        <v>1378</v>
      </c>
      <c r="F1618" s="4" t="s">
        <v>3567</v>
      </c>
    </row>
    <row r="1619" spans="1:6">
      <c r="A1619" s="4" t="s">
        <v>3570</v>
      </c>
      <c r="B1619" s="6" t="s">
        <v>3561</v>
      </c>
      <c r="C1619" s="4" t="s">
        <v>558</v>
      </c>
      <c r="D1619" s="4">
        <v>7</v>
      </c>
      <c r="E1619" s="4" t="s">
        <v>1378</v>
      </c>
      <c r="F1619" s="4" t="s">
        <v>3565</v>
      </c>
    </row>
    <row r="1620" spans="1:6">
      <c r="A1620" s="4" t="s">
        <v>3562</v>
      </c>
      <c r="B1620" s="6" t="s">
        <v>3571</v>
      </c>
      <c r="C1620" s="4" t="s">
        <v>3562</v>
      </c>
      <c r="D1620" s="4">
        <v>4</v>
      </c>
      <c r="E1620" s="4" t="s">
        <v>1378</v>
      </c>
    </row>
    <row r="1621" spans="1:6">
      <c r="A1621" s="4" t="s">
        <v>3572</v>
      </c>
      <c r="B1621" s="6" t="s">
        <v>3573</v>
      </c>
      <c r="C1621" s="4" t="s">
        <v>87</v>
      </c>
      <c r="D1621" s="4">
        <v>16</v>
      </c>
      <c r="E1621" s="4" t="s">
        <v>3574</v>
      </c>
      <c r="F1621" s="4" t="s">
        <v>3575</v>
      </c>
    </row>
    <row r="1622" spans="1:6">
      <c r="A1622" s="4" t="s">
        <v>3576</v>
      </c>
      <c r="B1622" s="6" t="s">
        <v>3577</v>
      </c>
      <c r="C1622" s="4" t="s">
        <v>458</v>
      </c>
      <c r="D1622" s="4">
        <v>9</v>
      </c>
      <c r="E1622" s="4" t="s">
        <v>721</v>
      </c>
      <c r="F1622" s="4" t="s">
        <v>3578</v>
      </c>
    </row>
    <row r="1623" spans="1:6">
      <c r="A1623" s="4" t="s">
        <v>3579</v>
      </c>
      <c r="B1623" s="6" t="s">
        <v>3577</v>
      </c>
      <c r="C1623" s="4" t="s">
        <v>37</v>
      </c>
      <c r="D1623" s="4">
        <v>13</v>
      </c>
      <c r="E1623" s="4" t="s">
        <v>1305</v>
      </c>
      <c r="F1623" s="4" t="s">
        <v>3580</v>
      </c>
    </row>
    <row r="1624" spans="1:6">
      <c r="A1624" s="4" t="s">
        <v>3581</v>
      </c>
      <c r="B1624" s="6" t="s">
        <v>3577</v>
      </c>
      <c r="C1624" s="4" t="s">
        <v>427</v>
      </c>
      <c r="D1624" s="4">
        <v>15</v>
      </c>
      <c r="E1624" s="4" t="s">
        <v>721</v>
      </c>
    </row>
    <row r="1625" spans="1:6">
      <c r="A1625" s="4" t="s">
        <v>3582</v>
      </c>
      <c r="B1625" s="6" t="s">
        <v>3583</v>
      </c>
      <c r="C1625" s="4" t="s">
        <v>45</v>
      </c>
      <c r="D1625" s="4">
        <v>13</v>
      </c>
      <c r="E1625" s="4" t="s">
        <v>731</v>
      </c>
      <c r="F1625" s="4" t="s">
        <v>3584</v>
      </c>
    </row>
    <row r="1626" spans="1:6">
      <c r="A1626" s="4" t="s">
        <v>3585</v>
      </c>
      <c r="B1626" s="6" t="s">
        <v>3586</v>
      </c>
      <c r="C1626" s="4" t="s">
        <v>81</v>
      </c>
      <c r="D1626" s="4">
        <v>7</v>
      </c>
      <c r="E1626" s="4" t="s">
        <v>1352</v>
      </c>
      <c r="F1626" s="4" t="s">
        <v>3587</v>
      </c>
    </row>
    <row r="1627" spans="1:6">
      <c r="A1627" s="4" t="s">
        <v>3588</v>
      </c>
      <c r="B1627" s="6" t="s">
        <v>3589</v>
      </c>
      <c r="C1627" s="4" t="s">
        <v>271</v>
      </c>
      <c r="D1627" s="4">
        <v>8</v>
      </c>
      <c r="E1627" s="4" t="s">
        <v>2887</v>
      </c>
    </row>
    <row r="1628" spans="1:6">
      <c r="A1628" s="4" t="s">
        <v>3590</v>
      </c>
      <c r="B1628" s="6" t="s">
        <v>3589</v>
      </c>
      <c r="C1628" s="4" t="s">
        <v>53</v>
      </c>
      <c r="D1628" s="4">
        <v>12</v>
      </c>
      <c r="E1628" s="4" t="s">
        <v>2887</v>
      </c>
    </row>
    <row r="1629" spans="1:6">
      <c r="A1629" s="4" t="s">
        <v>3591</v>
      </c>
      <c r="B1629" s="6" t="s">
        <v>3589</v>
      </c>
      <c r="C1629" s="4" t="s">
        <v>705</v>
      </c>
      <c r="D1629" s="4">
        <v>8</v>
      </c>
      <c r="E1629" s="4" t="s">
        <v>2887</v>
      </c>
    </row>
    <row r="1630" spans="1:6">
      <c r="A1630" s="4" t="s">
        <v>3592</v>
      </c>
      <c r="B1630" s="6" t="s">
        <v>3593</v>
      </c>
      <c r="C1630" s="4" t="s">
        <v>315</v>
      </c>
      <c r="D1630" s="4">
        <v>13</v>
      </c>
      <c r="E1630" s="4" t="s">
        <v>752</v>
      </c>
      <c r="F1630" s="4" t="s">
        <v>3594</v>
      </c>
    </row>
    <row r="1631" spans="1:6">
      <c r="A1631" s="4" t="s">
        <v>3595</v>
      </c>
      <c r="B1631" s="6" t="s">
        <v>3593</v>
      </c>
      <c r="C1631" s="4" t="s">
        <v>104</v>
      </c>
      <c r="D1631" s="4">
        <v>19</v>
      </c>
      <c r="E1631" s="4" t="s">
        <v>752</v>
      </c>
    </row>
    <row r="1632" spans="1:6">
      <c r="A1632" s="4" t="s">
        <v>3596</v>
      </c>
      <c r="B1632" s="6" t="s">
        <v>3597</v>
      </c>
      <c r="C1632" s="4" t="s">
        <v>110</v>
      </c>
      <c r="D1632" s="4">
        <v>17</v>
      </c>
      <c r="E1632" s="4" t="s">
        <v>825</v>
      </c>
    </row>
    <row r="1633" spans="1:6">
      <c r="A1633" s="4" t="s">
        <v>3598</v>
      </c>
      <c r="B1633" s="6" t="s">
        <v>3597</v>
      </c>
      <c r="C1633" s="4" t="s">
        <v>427</v>
      </c>
      <c r="D1633" s="4">
        <v>12</v>
      </c>
      <c r="E1633" s="4" t="s">
        <v>825</v>
      </c>
    </row>
    <row r="1634" spans="1:6">
      <c r="A1634" s="4" t="s">
        <v>3599</v>
      </c>
      <c r="B1634" s="6" t="s">
        <v>3600</v>
      </c>
      <c r="C1634" s="4" t="s">
        <v>31</v>
      </c>
      <c r="D1634" s="4">
        <v>12</v>
      </c>
      <c r="E1634" s="4" t="s">
        <v>731</v>
      </c>
    </row>
    <row r="1635" spans="1:6">
      <c r="A1635" s="4" t="s">
        <v>3601</v>
      </c>
      <c r="B1635" s="6" t="s">
        <v>3602</v>
      </c>
      <c r="C1635" s="4" t="s">
        <v>221</v>
      </c>
      <c r="D1635" s="4">
        <v>11</v>
      </c>
      <c r="E1635" s="4" t="s">
        <v>852</v>
      </c>
      <c r="F1635" s="4" t="s">
        <v>3603</v>
      </c>
    </row>
    <row r="1636" spans="1:6">
      <c r="A1636" s="4" t="s">
        <v>3604</v>
      </c>
      <c r="B1636" s="6" t="s">
        <v>3605</v>
      </c>
      <c r="C1636" s="4" t="s">
        <v>37</v>
      </c>
      <c r="D1636" s="4">
        <v>15</v>
      </c>
      <c r="E1636" s="4" t="s">
        <v>721</v>
      </c>
    </row>
    <row r="1637" spans="1:6">
      <c r="A1637" s="4" t="s">
        <v>3606</v>
      </c>
      <c r="B1637" s="6" t="s">
        <v>3607</v>
      </c>
      <c r="C1637" s="4" t="s">
        <v>223</v>
      </c>
      <c r="D1637" s="4">
        <v>13</v>
      </c>
      <c r="E1637" s="4" t="s">
        <v>3608</v>
      </c>
      <c r="F1637" s="4" t="s">
        <v>3609</v>
      </c>
    </row>
    <row r="1638" spans="1:6">
      <c r="A1638" s="4" t="s">
        <v>3610</v>
      </c>
      <c r="B1638" s="6" t="s">
        <v>3611</v>
      </c>
      <c r="C1638" s="4" t="s">
        <v>223</v>
      </c>
      <c r="D1638" s="4">
        <v>14</v>
      </c>
      <c r="E1638" s="4" t="s">
        <v>721</v>
      </c>
    </row>
    <row r="1639" spans="1:6">
      <c r="A1639" s="4" t="s">
        <v>3612</v>
      </c>
      <c r="B1639" s="6" t="s">
        <v>3613</v>
      </c>
      <c r="C1639" s="4" t="s">
        <v>53</v>
      </c>
      <c r="D1639" s="4">
        <v>9</v>
      </c>
      <c r="E1639" s="4" t="s">
        <v>1305</v>
      </c>
      <c r="F1639" s="4" t="s">
        <v>3614</v>
      </c>
    </row>
    <row r="1640" spans="1:6">
      <c r="A1640" s="4" t="s">
        <v>3615</v>
      </c>
      <c r="B1640" s="6" t="s">
        <v>3613</v>
      </c>
      <c r="C1640" s="4" t="s">
        <v>53</v>
      </c>
      <c r="D1640" s="4">
        <v>10</v>
      </c>
      <c r="E1640" s="4" t="s">
        <v>1305</v>
      </c>
    </row>
    <row r="1641" spans="1:6">
      <c r="A1641" s="4" t="s">
        <v>3616</v>
      </c>
      <c r="B1641" s="6" t="s">
        <v>3613</v>
      </c>
      <c r="C1641" s="4" t="s">
        <v>271</v>
      </c>
      <c r="D1641" s="4">
        <v>8</v>
      </c>
      <c r="E1641" s="4" t="s">
        <v>1305</v>
      </c>
    </row>
    <row r="1642" spans="1:6">
      <c r="A1642" s="4" t="s">
        <v>3617</v>
      </c>
      <c r="B1642" s="6" t="s">
        <v>3618</v>
      </c>
      <c r="C1642" s="4" t="s">
        <v>81</v>
      </c>
      <c r="D1642" s="4">
        <v>9</v>
      </c>
      <c r="E1642" s="4" t="s">
        <v>805</v>
      </c>
    </row>
    <row r="1643" spans="1:6">
      <c r="A1643" s="4" t="s">
        <v>3619</v>
      </c>
      <c r="B1643" s="6" t="s">
        <v>3620</v>
      </c>
      <c r="C1643" s="4" t="s">
        <v>27</v>
      </c>
      <c r="D1643" s="4">
        <v>8</v>
      </c>
      <c r="E1643" s="4" t="s">
        <v>972</v>
      </c>
      <c r="F1643" s="4" t="s">
        <v>3621</v>
      </c>
    </row>
    <row r="1644" spans="1:6">
      <c r="A1644" s="4" t="s">
        <v>3622</v>
      </c>
      <c r="B1644" s="6" t="s">
        <v>3623</v>
      </c>
      <c r="C1644" s="4" t="s">
        <v>254</v>
      </c>
      <c r="D1644" s="4">
        <v>10</v>
      </c>
      <c r="E1644" s="4" t="s">
        <v>752</v>
      </c>
    </row>
    <row r="1645" spans="1:6">
      <c r="A1645" s="4" t="s">
        <v>3624</v>
      </c>
      <c r="B1645" s="6" t="s">
        <v>3623</v>
      </c>
      <c r="C1645" s="4" t="s">
        <v>23</v>
      </c>
      <c r="D1645" s="4">
        <v>11</v>
      </c>
      <c r="E1645" s="4" t="s">
        <v>752</v>
      </c>
    </row>
    <row r="1646" spans="1:6">
      <c r="A1646" s="4" t="s">
        <v>3625</v>
      </c>
      <c r="B1646" s="6" t="s">
        <v>3626</v>
      </c>
      <c r="C1646" s="4" t="s">
        <v>1425</v>
      </c>
      <c r="D1646" s="4">
        <v>8</v>
      </c>
      <c r="E1646" s="4" t="s">
        <v>3627</v>
      </c>
      <c r="F1646" s="4" t="s">
        <v>3628</v>
      </c>
    </row>
    <row r="1647" spans="1:6">
      <c r="A1647" s="4" t="s">
        <v>3629</v>
      </c>
      <c r="B1647" s="6" t="s">
        <v>3630</v>
      </c>
      <c r="C1647" s="4" t="s">
        <v>41</v>
      </c>
      <c r="D1647" s="4">
        <v>10</v>
      </c>
      <c r="E1647" s="4" t="s">
        <v>1310</v>
      </c>
      <c r="F1647" s="4" t="s">
        <v>3631</v>
      </c>
    </row>
    <row r="1648" spans="1:6">
      <c r="A1648" s="4" t="s">
        <v>3632</v>
      </c>
      <c r="B1648" s="6" t="s">
        <v>3630</v>
      </c>
      <c r="C1648" s="4" t="s">
        <v>223</v>
      </c>
      <c r="D1648" s="4">
        <v>11</v>
      </c>
      <c r="E1648" s="4" t="s">
        <v>1305</v>
      </c>
      <c r="F1648" s="4" t="s">
        <v>3633</v>
      </c>
    </row>
    <row r="1649" spans="1:6">
      <c r="A1649" s="4" t="s">
        <v>3634</v>
      </c>
      <c r="B1649" s="6" t="s">
        <v>3630</v>
      </c>
      <c r="C1649" s="4" t="s">
        <v>121</v>
      </c>
      <c r="D1649" s="4">
        <v>6</v>
      </c>
      <c r="E1649" s="4" t="s">
        <v>1305</v>
      </c>
    </row>
    <row r="1650" spans="1:6">
      <c r="A1650" s="4" t="s">
        <v>3635</v>
      </c>
      <c r="B1650" s="6" t="s">
        <v>3636</v>
      </c>
      <c r="C1650" s="4" t="s">
        <v>1262</v>
      </c>
      <c r="D1650" s="4">
        <v>14</v>
      </c>
      <c r="E1650" s="4" t="s">
        <v>1344</v>
      </c>
      <c r="F1650" s="4" t="s">
        <v>3637</v>
      </c>
    </row>
    <row r="1651" spans="1:6">
      <c r="A1651" s="4" t="s">
        <v>3638</v>
      </c>
      <c r="B1651" s="6" t="s">
        <v>3636</v>
      </c>
      <c r="C1651" s="4" t="s">
        <v>23</v>
      </c>
      <c r="D1651" s="4">
        <v>10</v>
      </c>
      <c r="E1651" s="4" t="s">
        <v>1344</v>
      </c>
    </row>
    <row r="1652" spans="1:6">
      <c r="A1652" s="4" t="s">
        <v>3639</v>
      </c>
      <c r="B1652" s="6" t="s">
        <v>3640</v>
      </c>
      <c r="C1652" s="4" t="s">
        <v>27</v>
      </c>
      <c r="D1652" s="4">
        <v>13</v>
      </c>
      <c r="E1652" s="4" t="s">
        <v>805</v>
      </c>
      <c r="F1652" s="4" t="s">
        <v>3641</v>
      </c>
    </row>
    <row r="1653" spans="1:6">
      <c r="A1653" s="4" t="s">
        <v>3642</v>
      </c>
      <c r="B1653" s="6" t="s">
        <v>3643</v>
      </c>
      <c r="C1653" s="4" t="s">
        <v>254</v>
      </c>
      <c r="D1653" s="4">
        <v>12</v>
      </c>
      <c r="E1653" s="4" t="s">
        <v>805</v>
      </c>
    </row>
    <row r="1654" spans="1:6">
      <c r="A1654" s="4" t="s">
        <v>3644</v>
      </c>
      <c r="B1654" s="6" t="s">
        <v>3645</v>
      </c>
      <c r="C1654" s="4" t="s">
        <v>1335</v>
      </c>
      <c r="D1654" s="4">
        <v>7</v>
      </c>
      <c r="E1654" s="4" t="s">
        <v>972</v>
      </c>
      <c r="F1654" s="4" t="s">
        <v>3646</v>
      </c>
    </row>
    <row r="1655" spans="1:6">
      <c r="A1655" s="4" t="s">
        <v>3647</v>
      </c>
      <c r="B1655" s="6" t="s">
        <v>3645</v>
      </c>
      <c r="C1655" s="4" t="s">
        <v>81</v>
      </c>
      <c r="D1655" s="4">
        <v>10</v>
      </c>
      <c r="E1655" s="4" t="s">
        <v>972</v>
      </c>
    </row>
    <row r="1656" spans="1:6">
      <c r="A1656" s="4" t="s">
        <v>3648</v>
      </c>
      <c r="B1656" s="6" t="s">
        <v>3649</v>
      </c>
      <c r="C1656" s="4" t="s">
        <v>34</v>
      </c>
      <c r="D1656" s="4">
        <v>11</v>
      </c>
      <c r="E1656" s="4" t="s">
        <v>752</v>
      </c>
      <c r="F1656" s="4" t="s">
        <v>3650</v>
      </c>
    </row>
    <row r="1657" spans="1:6">
      <c r="A1657" s="4" t="s">
        <v>3651</v>
      </c>
      <c r="B1657" s="6" t="s">
        <v>3652</v>
      </c>
      <c r="C1657" s="4" t="s">
        <v>49</v>
      </c>
      <c r="D1657" s="4">
        <v>8</v>
      </c>
      <c r="E1657" s="4" t="s">
        <v>1307</v>
      </c>
      <c r="F1657" s="4" t="s">
        <v>3653</v>
      </c>
    </row>
    <row r="1658" spans="1:6">
      <c r="A1658" s="4" t="s">
        <v>3654</v>
      </c>
      <c r="B1658" s="6" t="s">
        <v>3655</v>
      </c>
      <c r="C1658" s="4" t="s">
        <v>53</v>
      </c>
      <c r="D1658" s="4">
        <v>11</v>
      </c>
      <c r="E1658" s="4" t="s">
        <v>972</v>
      </c>
    </row>
    <row r="1659" spans="1:6">
      <c r="A1659" s="4" t="s">
        <v>3656</v>
      </c>
      <c r="B1659" s="6" t="s">
        <v>3655</v>
      </c>
      <c r="C1659" s="4" t="s">
        <v>27</v>
      </c>
      <c r="D1659" s="4">
        <v>13</v>
      </c>
      <c r="E1659" s="4" t="s">
        <v>972</v>
      </c>
    </row>
    <row r="1660" spans="1:6">
      <c r="A1660" s="4" t="s">
        <v>3657</v>
      </c>
      <c r="B1660" s="6" t="s">
        <v>3658</v>
      </c>
      <c r="C1660" s="4" t="s">
        <v>708</v>
      </c>
      <c r="D1660" s="4">
        <v>4</v>
      </c>
      <c r="E1660" s="4" t="s">
        <v>752</v>
      </c>
      <c r="F1660" s="4" t="s">
        <v>3276</v>
      </c>
    </row>
    <row r="1661" spans="1:6">
      <c r="A1661" s="4" t="s">
        <v>3659</v>
      </c>
      <c r="B1661" s="6" t="s">
        <v>3660</v>
      </c>
      <c r="C1661" s="4" t="s">
        <v>1431</v>
      </c>
      <c r="D1661" s="4">
        <v>10</v>
      </c>
      <c r="E1661" s="4" t="s">
        <v>1378</v>
      </c>
      <c r="F1661" s="4" t="s">
        <v>3661</v>
      </c>
    </row>
    <row r="1662" spans="1:6">
      <c r="A1662" s="4" t="s">
        <v>3662</v>
      </c>
      <c r="B1662" s="6" t="s">
        <v>3660</v>
      </c>
      <c r="C1662" s="4" t="s">
        <v>53</v>
      </c>
      <c r="D1662" s="4">
        <v>7</v>
      </c>
      <c r="E1662" s="4" t="s">
        <v>3663</v>
      </c>
    </row>
    <row r="1663" spans="1:6">
      <c r="A1663" s="4" t="s">
        <v>3664</v>
      </c>
      <c r="B1663" s="6" t="s">
        <v>3665</v>
      </c>
      <c r="C1663" s="4" t="s">
        <v>268</v>
      </c>
      <c r="D1663" s="4">
        <v>14</v>
      </c>
      <c r="E1663" s="4" t="s">
        <v>883</v>
      </c>
      <c r="F1663" s="4" t="s">
        <v>2419</v>
      </c>
    </row>
    <row r="1664" spans="1:6">
      <c r="A1664" s="4" t="s">
        <v>3666</v>
      </c>
      <c r="B1664" s="6" t="s">
        <v>3665</v>
      </c>
      <c r="C1664" s="4" t="s">
        <v>2818</v>
      </c>
      <c r="D1664" s="4">
        <v>5</v>
      </c>
      <c r="E1664" s="4" t="s">
        <v>883</v>
      </c>
    </row>
    <row r="1665" spans="1:6">
      <c r="A1665" s="4" t="s">
        <v>3667</v>
      </c>
      <c r="B1665" s="6" t="s">
        <v>3665</v>
      </c>
      <c r="C1665" s="4" t="s">
        <v>2818</v>
      </c>
      <c r="D1665" s="4">
        <v>12</v>
      </c>
      <c r="E1665" s="4" t="s">
        <v>883</v>
      </c>
    </row>
    <row r="1666" spans="1:6">
      <c r="A1666" s="4" t="s">
        <v>3668</v>
      </c>
      <c r="B1666" s="6" t="s">
        <v>3665</v>
      </c>
      <c r="C1666" s="4" t="s">
        <v>285</v>
      </c>
      <c r="D1666" s="4">
        <v>15</v>
      </c>
      <c r="E1666" s="4" t="s">
        <v>883</v>
      </c>
    </row>
    <row r="1667" spans="1:6">
      <c r="A1667" s="4" t="s">
        <v>3669</v>
      </c>
      <c r="B1667" s="6" t="s">
        <v>3670</v>
      </c>
      <c r="C1667" s="4" t="s">
        <v>605</v>
      </c>
      <c r="D1667" s="4">
        <v>8</v>
      </c>
      <c r="E1667" s="4" t="s">
        <v>3671</v>
      </c>
      <c r="F1667" s="4" t="s">
        <v>3672</v>
      </c>
    </row>
    <row r="1668" spans="1:6">
      <c r="A1668" s="4" t="s">
        <v>3673</v>
      </c>
      <c r="B1668" s="6" t="s">
        <v>3674</v>
      </c>
      <c r="C1668" s="4" t="s">
        <v>49</v>
      </c>
      <c r="D1668" s="4">
        <v>11</v>
      </c>
      <c r="E1668" s="4" t="s">
        <v>877</v>
      </c>
    </row>
    <row r="1669" spans="1:6">
      <c r="A1669" s="4" t="s">
        <v>3675</v>
      </c>
      <c r="B1669" s="6" t="s">
        <v>3676</v>
      </c>
      <c r="C1669" s="4" t="s">
        <v>27</v>
      </c>
      <c r="D1669" s="4">
        <v>6</v>
      </c>
      <c r="E1669" s="4" t="s">
        <v>852</v>
      </c>
    </row>
    <row r="1670" spans="1:6">
      <c r="A1670" s="4" t="s">
        <v>3677</v>
      </c>
      <c r="B1670" s="6" t="s">
        <v>3676</v>
      </c>
      <c r="C1670" s="4" t="s">
        <v>121</v>
      </c>
      <c r="D1670" s="4">
        <v>9</v>
      </c>
      <c r="E1670" s="4" t="s">
        <v>3678</v>
      </c>
    </row>
    <row r="1671" spans="1:6">
      <c r="A1671" s="4" t="s">
        <v>3679</v>
      </c>
      <c r="B1671" s="6" t="s">
        <v>3676</v>
      </c>
      <c r="C1671" s="4" t="s">
        <v>485</v>
      </c>
      <c r="D1671" s="4">
        <v>11</v>
      </c>
      <c r="E1671" s="4" t="s">
        <v>852</v>
      </c>
    </row>
    <row r="1672" spans="1:6">
      <c r="A1672" s="4" t="s">
        <v>3680</v>
      </c>
      <c r="B1672" s="6" t="s">
        <v>3676</v>
      </c>
      <c r="C1672" s="4" t="s">
        <v>218</v>
      </c>
      <c r="D1672" s="4">
        <v>10</v>
      </c>
      <c r="E1672" s="4" t="s">
        <v>852</v>
      </c>
    </row>
    <row r="1673" spans="1:6">
      <c r="A1673" s="4" t="s">
        <v>3681</v>
      </c>
      <c r="B1673" s="6" t="s">
        <v>3682</v>
      </c>
      <c r="C1673" s="4" t="s">
        <v>34</v>
      </c>
      <c r="D1673" s="4">
        <v>8</v>
      </c>
      <c r="E1673" s="4" t="s">
        <v>789</v>
      </c>
    </row>
    <row r="1674" spans="1:6">
      <c r="A1674" s="4" t="s">
        <v>3683</v>
      </c>
      <c r="B1674" s="6" t="s">
        <v>3682</v>
      </c>
      <c r="C1674" s="4" t="s">
        <v>34</v>
      </c>
      <c r="D1674" s="4">
        <v>18</v>
      </c>
      <c r="E1674" s="4" t="s">
        <v>789</v>
      </c>
    </row>
    <row r="1675" spans="1:6">
      <c r="A1675" s="4" t="s">
        <v>3684</v>
      </c>
      <c r="B1675" s="6" t="s">
        <v>3682</v>
      </c>
      <c r="C1675" s="4" t="s">
        <v>41</v>
      </c>
      <c r="D1675" s="4">
        <v>14</v>
      </c>
      <c r="E1675" s="4" t="s">
        <v>789</v>
      </c>
      <c r="F1675" s="4" t="s">
        <v>3685</v>
      </c>
    </row>
    <row r="1676" spans="1:6">
      <c r="A1676" s="4" t="s">
        <v>3686</v>
      </c>
      <c r="B1676" s="6" t="s">
        <v>3687</v>
      </c>
      <c r="C1676" s="4" t="s">
        <v>81</v>
      </c>
      <c r="D1676" s="4">
        <v>10</v>
      </c>
      <c r="E1676" s="4" t="s">
        <v>1609</v>
      </c>
    </row>
    <row r="1677" spans="1:6">
      <c r="A1677" s="4" t="s">
        <v>3688</v>
      </c>
      <c r="B1677" s="6" t="s">
        <v>3689</v>
      </c>
      <c r="C1677" s="4" t="s">
        <v>53</v>
      </c>
      <c r="D1677" s="4">
        <v>8</v>
      </c>
      <c r="F1677" s="4" t="s">
        <v>3690</v>
      </c>
    </row>
    <row r="1678" spans="1:6">
      <c r="A1678" s="4" t="s">
        <v>3691</v>
      </c>
      <c r="B1678" s="6" t="s">
        <v>3692</v>
      </c>
      <c r="C1678" s="4" t="s">
        <v>2818</v>
      </c>
      <c r="D1678" s="4">
        <v>7</v>
      </c>
      <c r="E1678" s="4" t="s">
        <v>908</v>
      </c>
      <c r="F1678" s="4" t="s">
        <v>3693</v>
      </c>
    </row>
    <row r="1679" spans="1:6">
      <c r="A1679" s="4" t="s">
        <v>3694</v>
      </c>
      <c r="B1679" s="6" t="s">
        <v>3692</v>
      </c>
      <c r="C1679" s="4" t="s">
        <v>53</v>
      </c>
      <c r="D1679" s="4">
        <v>10</v>
      </c>
      <c r="E1679" s="4" t="s">
        <v>908</v>
      </c>
      <c r="F1679" s="4" t="s">
        <v>3695</v>
      </c>
    </row>
    <row r="1680" spans="1:6">
      <c r="A1680" s="4" t="s">
        <v>3696</v>
      </c>
      <c r="B1680" s="6" t="s">
        <v>3697</v>
      </c>
      <c r="C1680" s="4" t="s">
        <v>3181</v>
      </c>
      <c r="D1680" s="4">
        <v>17</v>
      </c>
      <c r="E1680" s="4" t="s">
        <v>1378</v>
      </c>
    </row>
    <row r="1681" spans="1:6">
      <c r="A1681" s="4" t="s">
        <v>3698</v>
      </c>
      <c r="B1681" s="6" t="s">
        <v>3699</v>
      </c>
      <c r="C1681" s="4" t="s">
        <v>705</v>
      </c>
      <c r="D1681" s="4">
        <v>13</v>
      </c>
      <c r="E1681" s="4" t="s">
        <v>731</v>
      </c>
      <c r="F1681" s="4" t="s">
        <v>3700</v>
      </c>
    </row>
    <row r="1682" spans="1:6">
      <c r="A1682" s="4" t="s">
        <v>3701</v>
      </c>
      <c r="B1682" s="6" t="s">
        <v>3699</v>
      </c>
      <c r="C1682" s="4" t="s">
        <v>705</v>
      </c>
      <c r="D1682" s="4">
        <v>19</v>
      </c>
      <c r="E1682" s="4" t="s">
        <v>731</v>
      </c>
      <c r="F1682" s="4" t="s">
        <v>3700</v>
      </c>
    </row>
    <row r="1683" spans="1:6">
      <c r="A1683" s="4" t="s">
        <v>1248</v>
      </c>
      <c r="B1683" s="6" t="s">
        <v>3702</v>
      </c>
      <c r="C1683" s="4" t="s">
        <v>1248</v>
      </c>
      <c r="D1683" s="4">
        <v>4</v>
      </c>
      <c r="E1683" s="4" t="s">
        <v>2887</v>
      </c>
      <c r="F1683" s="4" t="s">
        <v>3703</v>
      </c>
    </row>
    <row r="1684" spans="1:6">
      <c r="A1684" s="4" t="s">
        <v>3704</v>
      </c>
      <c r="B1684" s="6" t="s">
        <v>3705</v>
      </c>
      <c r="C1684" s="4" t="s">
        <v>254</v>
      </c>
      <c r="D1684" s="4">
        <v>13</v>
      </c>
      <c r="E1684" s="4" t="s">
        <v>852</v>
      </c>
      <c r="F1684" s="4" t="s">
        <v>3706</v>
      </c>
    </row>
    <row r="1685" spans="1:6">
      <c r="A1685" s="4" t="s">
        <v>3707</v>
      </c>
      <c r="B1685" s="6" t="s">
        <v>3708</v>
      </c>
      <c r="C1685" s="4" t="s">
        <v>104</v>
      </c>
      <c r="D1685" s="4">
        <v>6</v>
      </c>
      <c r="E1685" s="4" t="s">
        <v>3709</v>
      </c>
      <c r="F1685" s="4" t="s">
        <v>3710</v>
      </c>
    </row>
    <row r="1686" spans="1:6">
      <c r="A1686" s="4" t="s">
        <v>3711</v>
      </c>
      <c r="B1686" s="6" t="s">
        <v>3712</v>
      </c>
      <c r="C1686" s="4" t="s">
        <v>92</v>
      </c>
      <c r="D1686" s="4">
        <v>24</v>
      </c>
      <c r="E1686" s="4" t="s">
        <v>208</v>
      </c>
    </row>
    <row r="1687" spans="1:6">
      <c r="A1687" s="4" t="s">
        <v>3713</v>
      </c>
      <c r="B1687" s="6" t="s">
        <v>3714</v>
      </c>
      <c r="C1687" s="4" t="s">
        <v>81</v>
      </c>
      <c r="D1687" s="4">
        <v>10</v>
      </c>
      <c r="E1687" s="4" t="s">
        <v>908</v>
      </c>
      <c r="F1687" s="4" t="s">
        <v>1446</v>
      </c>
    </row>
    <row r="1688" spans="1:6">
      <c r="A1688" s="4" t="s">
        <v>3715</v>
      </c>
      <c r="B1688" s="6" t="s">
        <v>3716</v>
      </c>
      <c r="C1688" s="4" t="s">
        <v>3715</v>
      </c>
      <c r="D1688" s="4">
        <v>2</v>
      </c>
      <c r="E1688" s="4" t="s">
        <v>235</v>
      </c>
    </row>
    <row r="1689" spans="1:6">
      <c r="A1689" s="4" t="s">
        <v>3717</v>
      </c>
      <c r="B1689" s="6" t="s">
        <v>3718</v>
      </c>
      <c r="C1689" s="4" t="s">
        <v>173</v>
      </c>
      <c r="D1689" s="4">
        <v>7</v>
      </c>
      <c r="E1689" s="4" t="s">
        <v>1479</v>
      </c>
      <c r="F1689" s="4" t="s">
        <v>3719</v>
      </c>
    </row>
    <row r="1690" spans="1:6">
      <c r="A1690" s="4" t="s">
        <v>3720</v>
      </c>
      <c r="B1690" s="6" t="s">
        <v>3721</v>
      </c>
      <c r="C1690" s="4" t="s">
        <v>3715</v>
      </c>
      <c r="D1690" s="4">
        <v>5</v>
      </c>
      <c r="E1690" s="4" t="s">
        <v>1453</v>
      </c>
      <c r="F1690" s="4" t="s">
        <v>3722</v>
      </c>
    </row>
    <row r="1691" spans="1:6">
      <c r="A1691" s="4" t="s">
        <v>3723</v>
      </c>
      <c r="B1691" s="6" t="s">
        <v>3724</v>
      </c>
      <c r="C1691" s="4" t="s">
        <v>23</v>
      </c>
      <c r="D1691" s="4">
        <v>13</v>
      </c>
      <c r="E1691" s="4" t="s">
        <v>900</v>
      </c>
      <c r="F1691" s="4" t="s">
        <v>3725</v>
      </c>
    </row>
    <row r="1692" spans="1:6">
      <c r="A1692" s="4" t="s">
        <v>3726</v>
      </c>
      <c r="B1692" s="6" t="s">
        <v>3727</v>
      </c>
      <c r="C1692" s="4" t="s">
        <v>317</v>
      </c>
      <c r="D1692" s="4">
        <v>10</v>
      </c>
      <c r="E1692" s="4" t="s">
        <v>2887</v>
      </c>
      <c r="F1692" s="4" t="s">
        <v>3728</v>
      </c>
    </row>
    <row r="1693" spans="1:6">
      <c r="A1693" s="4" t="s">
        <v>3729</v>
      </c>
      <c r="B1693" s="6" t="s">
        <v>3730</v>
      </c>
      <c r="C1693" s="4" t="s">
        <v>27</v>
      </c>
      <c r="D1693" s="4">
        <v>12</v>
      </c>
      <c r="E1693" s="4" t="s">
        <v>2887</v>
      </c>
      <c r="F1693" s="4" t="s">
        <v>1336</v>
      </c>
    </row>
    <row r="1694" spans="1:6">
      <c r="A1694" s="4" t="s">
        <v>3731</v>
      </c>
      <c r="B1694" s="6" t="s">
        <v>3730</v>
      </c>
      <c r="C1694" s="4" t="s">
        <v>354</v>
      </c>
      <c r="D1694" s="4">
        <v>8</v>
      </c>
      <c r="E1694" s="4" t="s">
        <v>2887</v>
      </c>
      <c r="F1694" s="4" t="s">
        <v>2972</v>
      </c>
    </row>
    <row r="1695" spans="1:6">
      <c r="A1695" s="4" t="s">
        <v>3732</v>
      </c>
      <c r="B1695" s="6" t="s">
        <v>3730</v>
      </c>
      <c r="C1695" s="4" t="s">
        <v>81</v>
      </c>
      <c r="D1695" s="4">
        <v>15</v>
      </c>
      <c r="E1695" s="4" t="s">
        <v>748</v>
      </c>
    </row>
    <row r="1696" spans="1:6">
      <c r="A1696" s="4" t="s">
        <v>3733</v>
      </c>
      <c r="B1696" s="6" t="s">
        <v>3734</v>
      </c>
      <c r="C1696" s="4" t="s">
        <v>53</v>
      </c>
      <c r="D1696" s="4">
        <v>11</v>
      </c>
      <c r="E1696" s="4" t="s">
        <v>900</v>
      </c>
      <c r="F1696" s="4" t="s">
        <v>3735</v>
      </c>
    </row>
    <row r="1697" spans="1:6">
      <c r="A1697" s="4" t="s">
        <v>3736</v>
      </c>
      <c r="B1697" s="6" t="s">
        <v>3734</v>
      </c>
      <c r="C1697" s="4" t="s">
        <v>268</v>
      </c>
      <c r="D1697" s="4">
        <v>22</v>
      </c>
      <c r="E1697" s="4" t="s">
        <v>908</v>
      </c>
    </row>
    <row r="1698" spans="1:6">
      <c r="A1698" s="4" t="s">
        <v>3737</v>
      </c>
      <c r="B1698" s="6" t="s">
        <v>3738</v>
      </c>
      <c r="C1698" s="4" t="s">
        <v>271</v>
      </c>
      <c r="D1698" s="4">
        <v>10</v>
      </c>
      <c r="E1698" s="4" t="s">
        <v>2887</v>
      </c>
      <c r="F1698" s="4" t="s">
        <v>3739</v>
      </c>
    </row>
    <row r="1699" spans="1:6">
      <c r="A1699" s="4" t="s">
        <v>3740</v>
      </c>
      <c r="B1699" s="6" t="s">
        <v>3738</v>
      </c>
      <c r="C1699" s="4" t="s">
        <v>271</v>
      </c>
      <c r="D1699" s="4">
        <v>16</v>
      </c>
      <c r="E1699" s="4" t="s">
        <v>2887</v>
      </c>
      <c r="F1699" s="4" t="s">
        <v>3739</v>
      </c>
    </row>
    <row r="1700" spans="1:6">
      <c r="A1700" s="4" t="s">
        <v>3741</v>
      </c>
      <c r="B1700" s="6" t="s">
        <v>3738</v>
      </c>
      <c r="C1700" s="4" t="s">
        <v>271</v>
      </c>
      <c r="D1700" s="4">
        <v>11</v>
      </c>
      <c r="E1700" s="4" t="s">
        <v>2887</v>
      </c>
      <c r="F1700" s="4" t="s">
        <v>3739</v>
      </c>
    </row>
    <row r="1701" spans="1:6">
      <c r="A1701" s="4" t="s">
        <v>3742</v>
      </c>
      <c r="B1701" s="6" t="s">
        <v>3738</v>
      </c>
      <c r="C1701" s="4" t="s">
        <v>271</v>
      </c>
      <c r="D1701" s="4">
        <v>15</v>
      </c>
      <c r="E1701" s="4" t="s">
        <v>2887</v>
      </c>
      <c r="F1701" s="4" t="s">
        <v>3739</v>
      </c>
    </row>
    <row r="1702" spans="1:6">
      <c r="A1702" s="4" t="s">
        <v>3743</v>
      </c>
      <c r="B1702" s="6" t="s">
        <v>3738</v>
      </c>
      <c r="C1702" s="4" t="s">
        <v>271</v>
      </c>
      <c r="D1702" s="4">
        <v>16</v>
      </c>
      <c r="E1702" s="4" t="s">
        <v>2887</v>
      </c>
      <c r="F1702" s="4" t="s">
        <v>3739</v>
      </c>
    </row>
    <row r="1703" spans="1:6">
      <c r="A1703" s="4" t="s">
        <v>2568</v>
      </c>
      <c r="B1703" s="6" t="s">
        <v>3744</v>
      </c>
      <c r="C1703" s="4" t="s">
        <v>2568</v>
      </c>
      <c r="D1703" s="4">
        <v>7</v>
      </c>
      <c r="E1703" s="4" t="s">
        <v>2887</v>
      </c>
      <c r="F1703" s="4" t="s">
        <v>1036</v>
      </c>
    </row>
    <row r="1704" spans="1:6">
      <c r="A1704" s="4" t="s">
        <v>3745</v>
      </c>
      <c r="B1704" s="6" t="s">
        <v>3744</v>
      </c>
      <c r="C1704" s="4" t="s">
        <v>1591</v>
      </c>
      <c r="D1704" s="4">
        <v>9</v>
      </c>
      <c r="E1704" s="4" t="s">
        <v>2895</v>
      </c>
      <c r="F1704" s="4" t="s">
        <v>3746</v>
      </c>
    </row>
    <row r="1705" spans="1:6">
      <c r="A1705" s="4" t="s">
        <v>3747</v>
      </c>
      <c r="B1705" s="6" t="s">
        <v>3744</v>
      </c>
      <c r="C1705" s="4" t="s">
        <v>254</v>
      </c>
      <c r="D1705" s="4">
        <v>9</v>
      </c>
      <c r="E1705" s="4" t="s">
        <v>2887</v>
      </c>
    </row>
    <row r="1706" spans="1:6">
      <c r="A1706" s="4" t="s">
        <v>3748</v>
      </c>
      <c r="B1706" s="6" t="s">
        <v>3749</v>
      </c>
      <c r="C1706" s="4" t="s">
        <v>271</v>
      </c>
      <c r="D1706" s="4">
        <v>7</v>
      </c>
      <c r="E1706" s="4" t="s">
        <v>3750</v>
      </c>
    </row>
    <row r="1707" spans="1:6">
      <c r="A1707" s="4" t="s">
        <v>3751</v>
      </c>
      <c r="B1707" s="6" t="s">
        <v>3749</v>
      </c>
      <c r="C1707" s="4" t="s">
        <v>705</v>
      </c>
      <c r="D1707" s="4">
        <v>7</v>
      </c>
      <c r="E1707" s="4" t="s">
        <v>3750</v>
      </c>
    </row>
    <row r="1708" spans="1:6">
      <c r="A1708" s="4" t="s">
        <v>3752</v>
      </c>
      <c r="B1708" s="6" t="s">
        <v>3753</v>
      </c>
      <c r="C1708" s="4" t="s">
        <v>1078</v>
      </c>
      <c r="D1708" s="4">
        <v>12</v>
      </c>
      <c r="E1708" s="4" t="s">
        <v>825</v>
      </c>
    </row>
    <row r="1709" spans="1:6">
      <c r="A1709" s="4" t="s">
        <v>3754</v>
      </c>
      <c r="B1709" s="6" t="s">
        <v>3753</v>
      </c>
      <c r="C1709" s="4" t="s">
        <v>34</v>
      </c>
      <c r="D1709" s="4">
        <v>9</v>
      </c>
      <c r="E1709" s="4" t="s">
        <v>3755</v>
      </c>
    </row>
    <row r="1710" spans="1:6">
      <c r="A1710" s="4" t="s">
        <v>3756</v>
      </c>
      <c r="B1710" s="6" t="s">
        <v>3753</v>
      </c>
      <c r="C1710" s="4" t="s">
        <v>1078</v>
      </c>
      <c r="D1710" s="4">
        <v>11</v>
      </c>
      <c r="E1710" s="4" t="s">
        <v>825</v>
      </c>
    </row>
    <row r="1711" spans="1:6">
      <c r="A1711" s="4" t="s">
        <v>3757</v>
      </c>
      <c r="B1711" s="6" t="s">
        <v>3758</v>
      </c>
      <c r="C1711" s="4" t="s">
        <v>34</v>
      </c>
      <c r="D1711" s="4">
        <v>8</v>
      </c>
      <c r="E1711" s="4" t="s">
        <v>748</v>
      </c>
    </row>
    <row r="1712" spans="1:6">
      <c r="A1712" s="4" t="s">
        <v>3759</v>
      </c>
      <c r="B1712" s="6" t="s">
        <v>3758</v>
      </c>
      <c r="C1712" s="4" t="s">
        <v>140</v>
      </c>
      <c r="D1712" s="4">
        <v>16</v>
      </c>
      <c r="E1712" s="4" t="s">
        <v>2887</v>
      </c>
    </row>
    <row r="1713" spans="1:6">
      <c r="A1713" s="4" t="s">
        <v>3760</v>
      </c>
      <c r="B1713" s="6" t="s">
        <v>3761</v>
      </c>
      <c r="C1713" s="4" t="s">
        <v>53</v>
      </c>
      <c r="D1713" s="4">
        <v>16</v>
      </c>
      <c r="E1713" s="4" t="s">
        <v>908</v>
      </c>
      <c r="F1713" s="4" t="s">
        <v>3762</v>
      </c>
    </row>
    <row r="1714" spans="1:6">
      <c r="A1714" s="4" t="s">
        <v>3763</v>
      </c>
      <c r="B1714" s="6" t="s">
        <v>3761</v>
      </c>
      <c r="C1714" s="4" t="s">
        <v>254</v>
      </c>
      <c r="D1714" s="4">
        <v>14</v>
      </c>
      <c r="E1714" s="4" t="s">
        <v>908</v>
      </c>
    </row>
    <row r="1715" spans="1:6">
      <c r="A1715" s="4" t="s">
        <v>3764</v>
      </c>
      <c r="B1715" s="6" t="s">
        <v>3761</v>
      </c>
      <c r="C1715" s="4" t="s">
        <v>23</v>
      </c>
      <c r="D1715" s="4">
        <v>12</v>
      </c>
      <c r="E1715" s="4" t="s">
        <v>908</v>
      </c>
    </row>
    <row r="1716" spans="1:6">
      <c r="A1716" s="4" t="s">
        <v>3765</v>
      </c>
      <c r="B1716" s="6" t="s">
        <v>3761</v>
      </c>
      <c r="C1716" s="4" t="s">
        <v>49</v>
      </c>
      <c r="D1716" s="4">
        <v>15</v>
      </c>
      <c r="E1716" s="4" t="s">
        <v>908</v>
      </c>
    </row>
    <row r="1717" spans="1:6">
      <c r="A1717" s="4" t="s">
        <v>3766</v>
      </c>
      <c r="B1717" s="6" t="s">
        <v>3761</v>
      </c>
      <c r="C1717" s="4" t="s">
        <v>14</v>
      </c>
      <c r="D1717" s="4">
        <v>15</v>
      </c>
      <c r="E1717" s="4" t="s">
        <v>908</v>
      </c>
    </row>
    <row r="1718" spans="1:6">
      <c r="A1718" s="4" t="s">
        <v>3767</v>
      </c>
      <c r="B1718" s="6" t="s">
        <v>3768</v>
      </c>
      <c r="C1718" s="4" t="s">
        <v>1679</v>
      </c>
      <c r="D1718" s="4">
        <v>18</v>
      </c>
      <c r="E1718" s="4" t="s">
        <v>3769</v>
      </c>
    </row>
    <row r="1719" spans="1:6">
      <c r="A1719" s="4" t="s">
        <v>3770</v>
      </c>
      <c r="B1719" s="6" t="s">
        <v>3771</v>
      </c>
      <c r="C1719" s="4" t="s">
        <v>53</v>
      </c>
      <c r="D1719" s="4">
        <v>12</v>
      </c>
      <c r="E1719" s="4" t="s">
        <v>2887</v>
      </c>
    </row>
    <row r="1720" spans="1:6">
      <c r="A1720" s="4" t="s">
        <v>3772</v>
      </c>
      <c r="B1720" s="6" t="s">
        <v>3771</v>
      </c>
      <c r="C1720" s="4" t="s">
        <v>53</v>
      </c>
      <c r="D1720" s="4">
        <v>17</v>
      </c>
      <c r="E1720" s="4" t="s">
        <v>2887</v>
      </c>
    </row>
    <row r="1721" spans="1:6">
      <c r="A1721" s="4" t="s">
        <v>3773</v>
      </c>
      <c r="B1721" s="6" t="s">
        <v>3774</v>
      </c>
      <c r="C1721" s="4" t="s">
        <v>301</v>
      </c>
      <c r="D1721" s="4">
        <v>18</v>
      </c>
      <c r="E1721" s="4" t="s">
        <v>2887</v>
      </c>
      <c r="F1721" s="4" t="s">
        <v>3775</v>
      </c>
    </row>
    <row r="1722" spans="1:6">
      <c r="A1722" s="4" t="s">
        <v>3776</v>
      </c>
      <c r="B1722" s="6" t="s">
        <v>3774</v>
      </c>
      <c r="C1722" s="4" t="s">
        <v>439</v>
      </c>
      <c r="D1722" s="4">
        <v>17</v>
      </c>
      <c r="E1722" s="4" t="s">
        <v>2887</v>
      </c>
    </row>
    <row r="1723" spans="1:6">
      <c r="A1723" s="4" t="s">
        <v>3777</v>
      </c>
      <c r="B1723" s="6" t="s">
        <v>3778</v>
      </c>
      <c r="C1723" s="4" t="s">
        <v>1433</v>
      </c>
      <c r="D1723" s="4">
        <v>17</v>
      </c>
      <c r="E1723" s="4" t="s">
        <v>908</v>
      </c>
      <c r="F1723" s="4" t="s">
        <v>3779</v>
      </c>
    </row>
    <row r="1724" spans="1:6">
      <c r="A1724" s="4" t="s">
        <v>3780</v>
      </c>
      <c r="B1724" s="6" t="s">
        <v>3781</v>
      </c>
      <c r="C1724" s="4" t="s">
        <v>351</v>
      </c>
      <c r="D1724" s="4">
        <v>16</v>
      </c>
      <c r="E1724" s="4" t="s">
        <v>3769</v>
      </c>
    </row>
    <row r="1725" spans="1:6">
      <c r="A1725" s="4" t="s">
        <v>3782</v>
      </c>
      <c r="B1725" s="6" t="s">
        <v>3783</v>
      </c>
      <c r="C1725" s="4" t="s">
        <v>254</v>
      </c>
      <c r="D1725" s="4">
        <v>10</v>
      </c>
      <c r="E1725" s="4" t="s">
        <v>2887</v>
      </c>
    </row>
    <row r="1726" spans="1:6">
      <c r="A1726" s="4" t="s">
        <v>3784</v>
      </c>
      <c r="B1726" s="6" t="s">
        <v>3783</v>
      </c>
      <c r="C1726" s="4" t="s">
        <v>254</v>
      </c>
      <c r="D1726" s="4">
        <v>15</v>
      </c>
      <c r="E1726" s="4" t="s">
        <v>2887</v>
      </c>
    </row>
    <row r="1727" spans="1:6">
      <c r="A1727" s="4" t="s">
        <v>3785</v>
      </c>
      <c r="B1727" s="6" t="s">
        <v>3786</v>
      </c>
      <c r="C1727" s="4" t="s">
        <v>254</v>
      </c>
      <c r="D1727" s="4">
        <v>6</v>
      </c>
      <c r="E1727" s="4" t="s">
        <v>2887</v>
      </c>
      <c r="F1727" s="4" t="s">
        <v>3787</v>
      </c>
    </row>
    <row r="1728" spans="1:6">
      <c r="A1728" s="4" t="s">
        <v>3788</v>
      </c>
      <c r="B1728" s="6" t="s">
        <v>3786</v>
      </c>
      <c r="C1728" s="4" t="s">
        <v>254</v>
      </c>
      <c r="D1728" s="4">
        <v>11</v>
      </c>
      <c r="E1728" s="4" t="s">
        <v>2887</v>
      </c>
      <c r="F1728" s="4" t="s">
        <v>3789</v>
      </c>
    </row>
    <row r="1729" spans="1:6">
      <c r="A1729" s="4" t="s">
        <v>3790</v>
      </c>
      <c r="B1729" s="6" t="s">
        <v>3786</v>
      </c>
      <c r="C1729" s="4" t="s">
        <v>315</v>
      </c>
      <c r="D1729" s="4">
        <v>17</v>
      </c>
      <c r="E1729" s="4" t="s">
        <v>2887</v>
      </c>
      <c r="F1729" s="4" t="s">
        <v>3791</v>
      </c>
    </row>
    <row r="1730" spans="1:6">
      <c r="A1730" s="4" t="s">
        <v>3792</v>
      </c>
      <c r="B1730" s="6" t="s">
        <v>3793</v>
      </c>
      <c r="C1730" s="4" t="s">
        <v>315</v>
      </c>
      <c r="D1730" s="4">
        <v>15</v>
      </c>
      <c r="E1730" s="4" t="s">
        <v>908</v>
      </c>
      <c r="F1730" s="4" t="s">
        <v>3794</v>
      </c>
    </row>
    <row r="1731" spans="1:6">
      <c r="A1731" s="4" t="s">
        <v>3795</v>
      </c>
      <c r="B1731" s="6" t="s">
        <v>3796</v>
      </c>
      <c r="C1731" s="4" t="s">
        <v>254</v>
      </c>
      <c r="D1731" s="4">
        <v>12</v>
      </c>
      <c r="E1731" s="4" t="s">
        <v>2904</v>
      </c>
    </row>
    <row r="1732" spans="1:6">
      <c r="A1732" s="4" t="s">
        <v>3797</v>
      </c>
      <c r="B1732" s="6" t="s">
        <v>3796</v>
      </c>
      <c r="C1732" s="4" t="s">
        <v>53</v>
      </c>
      <c r="D1732" s="4">
        <v>8</v>
      </c>
      <c r="E1732" s="4" t="s">
        <v>2904</v>
      </c>
    </row>
    <row r="1733" spans="1:6">
      <c r="A1733" s="4" t="s">
        <v>3798</v>
      </c>
      <c r="B1733" s="6" t="s">
        <v>3796</v>
      </c>
      <c r="C1733" s="4" t="s">
        <v>53</v>
      </c>
      <c r="D1733" s="4">
        <v>10</v>
      </c>
      <c r="E1733" s="4" t="s">
        <v>2904</v>
      </c>
    </row>
    <row r="1734" spans="1:6">
      <c r="A1734" s="4" t="s">
        <v>3799</v>
      </c>
      <c r="B1734" s="6" t="s">
        <v>3800</v>
      </c>
      <c r="C1734" s="4" t="s">
        <v>254</v>
      </c>
      <c r="D1734" s="4">
        <v>4</v>
      </c>
      <c r="E1734" s="4" t="s">
        <v>874</v>
      </c>
      <c r="F1734" s="4" t="s">
        <v>3801</v>
      </c>
    </row>
    <row r="1735" spans="1:6">
      <c r="A1735" s="4" t="s">
        <v>315</v>
      </c>
      <c r="B1735" s="6" t="s">
        <v>3800</v>
      </c>
      <c r="C1735" s="4" t="s">
        <v>315</v>
      </c>
      <c r="D1735" s="4">
        <v>8</v>
      </c>
      <c r="E1735" s="4" t="s">
        <v>874</v>
      </c>
      <c r="F1735" s="4" t="s">
        <v>1176</v>
      </c>
    </row>
    <row r="1736" spans="1:6">
      <c r="A1736" s="4" t="s">
        <v>3802</v>
      </c>
      <c r="B1736" s="6" t="s">
        <v>3800</v>
      </c>
      <c r="C1736" s="4" t="s">
        <v>223</v>
      </c>
      <c r="D1736" s="4">
        <v>10</v>
      </c>
      <c r="E1736" s="4" t="s">
        <v>877</v>
      </c>
      <c r="F1736" s="4" t="s">
        <v>3803</v>
      </c>
    </row>
    <row r="1737" spans="1:6">
      <c r="A1737" s="4" t="s">
        <v>3804</v>
      </c>
      <c r="B1737" s="6" t="s">
        <v>3800</v>
      </c>
      <c r="C1737" s="4" t="s">
        <v>285</v>
      </c>
      <c r="D1737" s="4">
        <v>11</v>
      </c>
      <c r="E1737" s="4" t="s">
        <v>877</v>
      </c>
    </row>
    <row r="1738" spans="1:6">
      <c r="A1738" s="4" t="s">
        <v>3805</v>
      </c>
      <c r="B1738" s="6" t="s">
        <v>3806</v>
      </c>
      <c r="C1738" s="4" t="s">
        <v>301</v>
      </c>
      <c r="D1738" s="4">
        <v>11</v>
      </c>
      <c r="E1738" s="4" t="s">
        <v>854</v>
      </c>
      <c r="F1738" s="4" t="s">
        <v>3807</v>
      </c>
    </row>
    <row r="1739" spans="1:6">
      <c r="A1739" s="4" t="s">
        <v>3808</v>
      </c>
      <c r="B1739" s="6" t="s">
        <v>3806</v>
      </c>
      <c r="C1739" s="4" t="s">
        <v>405</v>
      </c>
      <c r="D1739" s="4">
        <v>8</v>
      </c>
      <c r="E1739" s="4" t="s">
        <v>854</v>
      </c>
      <c r="F1739" s="4" t="s">
        <v>2328</v>
      </c>
    </row>
    <row r="1740" spans="1:6">
      <c r="A1740" s="4" t="s">
        <v>3809</v>
      </c>
      <c r="B1740" s="6" t="s">
        <v>3806</v>
      </c>
      <c r="C1740" s="4" t="s">
        <v>268</v>
      </c>
      <c r="D1740" s="4">
        <v>22</v>
      </c>
      <c r="E1740" s="4" t="s">
        <v>854</v>
      </c>
      <c r="F1740" s="4" t="s">
        <v>3810</v>
      </c>
    </row>
    <row r="1741" spans="1:6">
      <c r="A1741" s="4" t="s">
        <v>3811</v>
      </c>
      <c r="B1741" s="6" t="s">
        <v>3806</v>
      </c>
      <c r="C1741" s="4" t="s">
        <v>76</v>
      </c>
      <c r="D1741" s="4">
        <v>12</v>
      </c>
      <c r="E1741" s="4" t="s">
        <v>852</v>
      </c>
    </row>
    <row r="1742" spans="1:6">
      <c r="A1742" s="4" t="s">
        <v>3812</v>
      </c>
      <c r="B1742" s="6" t="s">
        <v>3806</v>
      </c>
      <c r="C1742" s="4" t="s">
        <v>271</v>
      </c>
      <c r="D1742" s="4">
        <v>9</v>
      </c>
      <c r="E1742" s="4" t="s">
        <v>852</v>
      </c>
    </row>
    <row r="1743" spans="1:6">
      <c r="A1743" s="4" t="s">
        <v>3813</v>
      </c>
      <c r="B1743" s="6" t="s">
        <v>3806</v>
      </c>
      <c r="C1743" s="4" t="s">
        <v>49</v>
      </c>
      <c r="D1743" s="4">
        <v>9</v>
      </c>
      <c r="E1743" s="4" t="s">
        <v>852</v>
      </c>
      <c r="F1743" s="4" t="s">
        <v>1500</v>
      </c>
    </row>
    <row r="1744" spans="1:6">
      <c r="A1744" s="4" t="s">
        <v>3814</v>
      </c>
      <c r="B1744" s="6" t="s">
        <v>3815</v>
      </c>
      <c r="C1744" s="4" t="s">
        <v>351</v>
      </c>
      <c r="D1744" s="4">
        <v>10</v>
      </c>
      <c r="E1744" s="4" t="s">
        <v>852</v>
      </c>
    </row>
    <row r="1745" spans="1:6">
      <c r="A1745" s="4" t="s">
        <v>3816</v>
      </c>
      <c r="B1745" s="6" t="s">
        <v>3817</v>
      </c>
      <c r="C1745" s="4" t="s">
        <v>34</v>
      </c>
      <c r="D1745" s="4">
        <v>15</v>
      </c>
      <c r="E1745" s="4" t="s">
        <v>2978</v>
      </c>
      <c r="F1745" s="4" t="s">
        <v>1986</v>
      </c>
    </row>
    <row r="1746" spans="1:6">
      <c r="A1746" s="4" t="s">
        <v>3818</v>
      </c>
      <c r="B1746" s="6" t="s">
        <v>3817</v>
      </c>
      <c r="C1746" s="4" t="s">
        <v>1078</v>
      </c>
      <c r="D1746" s="4">
        <v>12</v>
      </c>
      <c r="E1746" s="4" t="s">
        <v>2978</v>
      </c>
    </row>
    <row r="1747" spans="1:6">
      <c r="A1747" s="4" t="s">
        <v>3819</v>
      </c>
      <c r="B1747" s="6" t="s">
        <v>3820</v>
      </c>
      <c r="C1747" s="4" t="s">
        <v>315</v>
      </c>
      <c r="D1747" s="4">
        <v>19</v>
      </c>
      <c r="E1747" s="4" t="s">
        <v>854</v>
      </c>
      <c r="F1747" s="4" t="s">
        <v>3821</v>
      </c>
    </row>
    <row r="1748" spans="1:6">
      <c r="A1748" s="4" t="s">
        <v>3822</v>
      </c>
      <c r="B1748" s="6" t="s">
        <v>3820</v>
      </c>
      <c r="C1748" s="4" t="s">
        <v>351</v>
      </c>
      <c r="D1748" s="4">
        <v>8</v>
      </c>
      <c r="E1748" s="4" t="s">
        <v>852</v>
      </c>
    </row>
    <row r="1749" spans="1:6">
      <c r="A1749" s="4" t="s">
        <v>3823</v>
      </c>
      <c r="B1749" s="6" t="s">
        <v>3820</v>
      </c>
      <c r="C1749" s="4" t="s">
        <v>1328</v>
      </c>
      <c r="D1749" s="4">
        <v>12</v>
      </c>
      <c r="E1749" s="4" t="s">
        <v>2970</v>
      </c>
    </row>
    <row r="1750" spans="1:6">
      <c r="A1750" s="4" t="s">
        <v>3824</v>
      </c>
      <c r="B1750" s="6" t="s">
        <v>3825</v>
      </c>
      <c r="C1750" s="4" t="s">
        <v>1129</v>
      </c>
      <c r="D1750" s="4">
        <v>19</v>
      </c>
      <c r="E1750" s="4" t="s">
        <v>3826</v>
      </c>
      <c r="F1750" s="4" t="s">
        <v>3827</v>
      </c>
    </row>
    <row r="1751" spans="1:6">
      <c r="A1751" s="4" t="s">
        <v>3828</v>
      </c>
      <c r="B1751" s="6" t="s">
        <v>3825</v>
      </c>
      <c r="C1751" s="4" t="s">
        <v>140</v>
      </c>
      <c r="D1751" s="4">
        <v>20</v>
      </c>
      <c r="E1751" s="4" t="s">
        <v>3826</v>
      </c>
    </row>
    <row r="1752" spans="1:6">
      <c r="A1752" s="4" t="s">
        <v>3829</v>
      </c>
      <c r="B1752" s="6" t="s">
        <v>3825</v>
      </c>
      <c r="C1752" s="4" t="s">
        <v>705</v>
      </c>
      <c r="D1752" s="4">
        <v>9</v>
      </c>
      <c r="E1752" s="4" t="s">
        <v>852</v>
      </c>
    </row>
    <row r="1753" spans="1:6">
      <c r="A1753" s="4" t="s">
        <v>3830</v>
      </c>
      <c r="B1753" s="6" t="s">
        <v>3825</v>
      </c>
      <c r="C1753" s="4" t="s">
        <v>705</v>
      </c>
      <c r="D1753" s="4">
        <v>10</v>
      </c>
      <c r="E1753" s="4" t="s">
        <v>852</v>
      </c>
    </row>
    <row r="1754" spans="1:6">
      <c r="A1754" s="4" t="s">
        <v>3831</v>
      </c>
      <c r="B1754" s="6" t="s">
        <v>3832</v>
      </c>
      <c r="C1754" s="4" t="s">
        <v>268</v>
      </c>
      <c r="D1754" s="4">
        <v>16</v>
      </c>
      <c r="E1754" s="4" t="s">
        <v>1378</v>
      </c>
    </row>
    <row r="1755" spans="1:6">
      <c r="A1755" s="4" t="s">
        <v>3833</v>
      </c>
      <c r="B1755" s="6" t="s">
        <v>3834</v>
      </c>
      <c r="C1755" s="4" t="s">
        <v>271</v>
      </c>
      <c r="D1755" s="4">
        <v>15</v>
      </c>
      <c r="E1755" s="4" t="s">
        <v>3574</v>
      </c>
    </row>
    <row r="1756" spans="1:6">
      <c r="A1756" s="4" t="s">
        <v>3835</v>
      </c>
      <c r="B1756" s="6" t="s">
        <v>3834</v>
      </c>
      <c r="C1756" s="4" t="s">
        <v>605</v>
      </c>
      <c r="D1756" s="4">
        <v>10</v>
      </c>
      <c r="E1756" s="4" t="s">
        <v>3836</v>
      </c>
    </row>
    <row r="1757" spans="1:6">
      <c r="A1757" s="4" t="s">
        <v>3837</v>
      </c>
      <c r="B1757" s="6" t="s">
        <v>3838</v>
      </c>
      <c r="C1757" s="4" t="s">
        <v>485</v>
      </c>
      <c r="D1757" s="4">
        <v>17</v>
      </c>
      <c r="E1757" s="4" t="s">
        <v>1378</v>
      </c>
      <c r="F1757" s="4" t="s">
        <v>3839</v>
      </c>
    </row>
    <row r="1758" spans="1:6">
      <c r="A1758" s="4" t="s">
        <v>3840</v>
      </c>
      <c r="B1758" s="6" t="s">
        <v>3841</v>
      </c>
      <c r="C1758" s="4" t="s">
        <v>390</v>
      </c>
      <c r="D1758" s="4">
        <v>22</v>
      </c>
      <c r="E1758" s="4" t="s">
        <v>1378</v>
      </c>
    </row>
    <row r="1759" spans="1:6">
      <c r="A1759" s="4" t="s">
        <v>3842</v>
      </c>
      <c r="B1759" s="6" t="s">
        <v>3843</v>
      </c>
      <c r="C1759" s="4" t="s">
        <v>3844</v>
      </c>
      <c r="D1759" s="4">
        <v>10</v>
      </c>
      <c r="E1759" s="4" t="s">
        <v>1378</v>
      </c>
      <c r="F1759" s="4" t="s">
        <v>3845</v>
      </c>
    </row>
    <row r="1760" spans="1:6">
      <c r="A1760" s="4" t="s">
        <v>3846</v>
      </c>
      <c r="B1760" s="6" t="s">
        <v>3843</v>
      </c>
      <c r="C1760" s="4" t="s">
        <v>37</v>
      </c>
      <c r="D1760" s="4">
        <v>10</v>
      </c>
      <c r="E1760" s="4" t="s">
        <v>1378</v>
      </c>
      <c r="F1760" s="4" t="s">
        <v>3847</v>
      </c>
    </row>
    <row r="1761" spans="1:6">
      <c r="A1761" s="4" t="s">
        <v>1624</v>
      </c>
      <c r="B1761" s="6" t="s">
        <v>3843</v>
      </c>
      <c r="C1761" s="4" t="s">
        <v>1624</v>
      </c>
      <c r="D1761" s="4">
        <v>3</v>
      </c>
    </row>
    <row r="1762" spans="1:6">
      <c r="A1762" s="4" t="s">
        <v>3848</v>
      </c>
      <c r="B1762" s="6" t="s">
        <v>3843</v>
      </c>
      <c r="C1762" s="4" t="s">
        <v>3848</v>
      </c>
      <c r="D1762" s="4">
        <v>4</v>
      </c>
      <c r="E1762" s="4" t="s">
        <v>1388</v>
      </c>
    </row>
    <row r="1763" spans="1:6">
      <c r="A1763" s="4" t="s">
        <v>3849</v>
      </c>
      <c r="B1763" s="6" t="s">
        <v>3843</v>
      </c>
      <c r="C1763" s="4" t="s">
        <v>317</v>
      </c>
      <c r="D1763" s="4">
        <v>16</v>
      </c>
      <c r="E1763" s="4" t="s">
        <v>1378</v>
      </c>
      <c r="F1763" s="4" t="s">
        <v>3850</v>
      </c>
    </row>
    <row r="1764" spans="1:6">
      <c r="A1764" s="4" t="s">
        <v>3851</v>
      </c>
      <c r="B1764" s="6" t="s">
        <v>3852</v>
      </c>
      <c r="C1764" s="4" t="s">
        <v>485</v>
      </c>
      <c r="D1764" s="4">
        <v>13</v>
      </c>
      <c r="E1764" s="4" t="s">
        <v>3853</v>
      </c>
    </row>
    <row r="1765" spans="1:6">
      <c r="A1765" s="4" t="s">
        <v>3854</v>
      </c>
      <c r="B1765" s="6" t="s">
        <v>3852</v>
      </c>
      <c r="C1765" s="4" t="s">
        <v>461</v>
      </c>
      <c r="D1765" s="4">
        <v>8</v>
      </c>
      <c r="E1765" s="4" t="s">
        <v>1140</v>
      </c>
      <c r="F1765" s="4" t="s">
        <v>3855</v>
      </c>
    </row>
    <row r="1766" spans="1:6">
      <c r="A1766" s="4" t="s">
        <v>3856</v>
      </c>
      <c r="B1766" s="6" t="s">
        <v>3852</v>
      </c>
      <c r="C1766" s="4" t="s">
        <v>354</v>
      </c>
      <c r="D1766" s="4">
        <v>12</v>
      </c>
      <c r="E1766" s="4" t="s">
        <v>3857</v>
      </c>
    </row>
    <row r="1767" spans="1:6">
      <c r="A1767" s="4" t="s">
        <v>3858</v>
      </c>
      <c r="B1767" s="6" t="s">
        <v>3852</v>
      </c>
      <c r="C1767" s="4" t="s">
        <v>121</v>
      </c>
      <c r="D1767" s="4">
        <v>8</v>
      </c>
      <c r="E1767" s="4" t="s">
        <v>1378</v>
      </c>
    </row>
    <row r="1768" spans="1:6">
      <c r="A1768" s="4" t="s">
        <v>3859</v>
      </c>
      <c r="B1768" s="6" t="s">
        <v>3852</v>
      </c>
      <c r="C1768" s="4" t="s">
        <v>45</v>
      </c>
      <c r="D1768" s="4">
        <v>11</v>
      </c>
      <c r="E1768" s="4" t="s">
        <v>1378</v>
      </c>
      <c r="F1768" s="4" t="s">
        <v>3860</v>
      </c>
    </row>
    <row r="1769" spans="1:6">
      <c r="A1769" s="4" t="s">
        <v>3861</v>
      </c>
      <c r="B1769" s="6" t="s">
        <v>3852</v>
      </c>
      <c r="C1769" s="4" t="s">
        <v>285</v>
      </c>
      <c r="D1769" s="4">
        <v>7</v>
      </c>
      <c r="E1769" s="4" t="s">
        <v>1140</v>
      </c>
    </row>
    <row r="1770" spans="1:6">
      <c r="A1770" s="4" t="s">
        <v>3862</v>
      </c>
      <c r="B1770" s="6" t="s">
        <v>3852</v>
      </c>
      <c r="C1770" s="4" t="s">
        <v>285</v>
      </c>
      <c r="D1770" s="4">
        <v>11</v>
      </c>
      <c r="E1770" s="4" t="s">
        <v>1378</v>
      </c>
      <c r="F1770" s="4" t="s">
        <v>3863</v>
      </c>
    </row>
    <row r="1771" spans="1:6">
      <c r="A1771" s="4" t="s">
        <v>3864</v>
      </c>
      <c r="B1771" s="6" t="s">
        <v>3852</v>
      </c>
      <c r="C1771" s="4" t="s">
        <v>296</v>
      </c>
      <c r="D1771" s="4">
        <v>14</v>
      </c>
      <c r="E1771" s="4" t="s">
        <v>1378</v>
      </c>
      <c r="F1771" s="4" t="s">
        <v>1391</v>
      </c>
    </row>
    <row r="1772" spans="1:6">
      <c r="A1772" s="4" t="s">
        <v>3865</v>
      </c>
      <c r="B1772" s="6" t="s">
        <v>3852</v>
      </c>
      <c r="C1772" s="4" t="s">
        <v>53</v>
      </c>
      <c r="D1772" s="4">
        <v>12</v>
      </c>
      <c r="E1772" s="4" t="s">
        <v>3866</v>
      </c>
    </row>
    <row r="1773" spans="1:6">
      <c r="A1773" s="4" t="s">
        <v>3867</v>
      </c>
      <c r="B1773" s="6" t="s">
        <v>3852</v>
      </c>
      <c r="C1773" s="4" t="s">
        <v>27</v>
      </c>
      <c r="D1773" s="4">
        <v>11</v>
      </c>
      <c r="E1773" s="4" t="s">
        <v>1378</v>
      </c>
      <c r="F1773" s="4" t="s">
        <v>3863</v>
      </c>
    </row>
    <row r="1774" spans="1:6">
      <c r="A1774" s="4" t="s">
        <v>3868</v>
      </c>
      <c r="B1774" s="6" t="s">
        <v>3852</v>
      </c>
      <c r="C1774" s="4" t="s">
        <v>420</v>
      </c>
      <c r="D1774" s="4">
        <v>10</v>
      </c>
      <c r="E1774" s="4" t="s">
        <v>1378</v>
      </c>
    </row>
    <row r="1775" spans="1:6">
      <c r="A1775" s="4" t="s">
        <v>3869</v>
      </c>
      <c r="B1775" s="6" t="s">
        <v>3852</v>
      </c>
      <c r="C1775" s="4" t="s">
        <v>53</v>
      </c>
      <c r="D1775" s="4">
        <v>12</v>
      </c>
      <c r="E1775" s="4" t="s">
        <v>3866</v>
      </c>
    </row>
    <row r="1776" spans="1:6">
      <c r="A1776" s="4" t="s">
        <v>3870</v>
      </c>
      <c r="B1776" s="6" t="s">
        <v>3852</v>
      </c>
      <c r="C1776" s="4" t="s">
        <v>53</v>
      </c>
      <c r="D1776" s="4">
        <v>13</v>
      </c>
      <c r="E1776" s="4" t="s">
        <v>3871</v>
      </c>
    </row>
    <row r="1777" spans="1:6">
      <c r="A1777" s="4" t="s">
        <v>3872</v>
      </c>
      <c r="B1777" s="6" t="s">
        <v>3852</v>
      </c>
      <c r="C1777" s="4" t="s">
        <v>1129</v>
      </c>
      <c r="D1777" s="4">
        <v>21</v>
      </c>
      <c r="E1777" s="4" t="s">
        <v>1047</v>
      </c>
      <c r="F1777" s="4" t="s">
        <v>3873</v>
      </c>
    </row>
    <row r="1778" spans="1:6">
      <c r="A1778" s="4" t="s">
        <v>3874</v>
      </c>
      <c r="B1778" s="6" t="s">
        <v>3852</v>
      </c>
      <c r="C1778" s="4" t="s">
        <v>317</v>
      </c>
      <c r="D1778" s="4">
        <v>8</v>
      </c>
      <c r="E1778" s="4" t="s">
        <v>1378</v>
      </c>
      <c r="F1778" s="4" t="s">
        <v>3875</v>
      </c>
    </row>
    <row r="1779" spans="1:6">
      <c r="A1779" s="4" t="s">
        <v>3876</v>
      </c>
      <c r="B1779" s="6" t="s">
        <v>3852</v>
      </c>
      <c r="C1779" s="4" t="s">
        <v>271</v>
      </c>
      <c r="D1779" s="4">
        <v>10</v>
      </c>
      <c r="E1779" s="4" t="s">
        <v>1378</v>
      </c>
      <c r="F1779" s="4" t="s">
        <v>3497</v>
      </c>
    </row>
    <row r="1780" spans="1:6">
      <c r="A1780" s="4" t="s">
        <v>3877</v>
      </c>
      <c r="B1780" s="6" t="s">
        <v>3852</v>
      </c>
      <c r="C1780" s="4" t="s">
        <v>27</v>
      </c>
      <c r="D1780" s="4">
        <v>7</v>
      </c>
      <c r="E1780" s="4" t="s">
        <v>3878</v>
      </c>
    </row>
    <row r="1781" spans="1:6">
      <c r="A1781" s="4" t="s">
        <v>3879</v>
      </c>
      <c r="B1781" s="6" t="s">
        <v>3852</v>
      </c>
      <c r="C1781" s="4" t="s">
        <v>285</v>
      </c>
      <c r="D1781" s="4">
        <v>12</v>
      </c>
      <c r="E1781" s="4" t="s">
        <v>1378</v>
      </c>
      <c r="F1781" s="4" t="s">
        <v>3863</v>
      </c>
    </row>
    <row r="1782" spans="1:6">
      <c r="A1782" s="4" t="s">
        <v>3880</v>
      </c>
      <c r="B1782" s="6" t="s">
        <v>3881</v>
      </c>
      <c r="C1782" s="4" t="s">
        <v>301</v>
      </c>
      <c r="D1782" s="4">
        <v>9</v>
      </c>
      <c r="E1782" s="4" t="s">
        <v>3663</v>
      </c>
    </row>
    <row r="1783" spans="1:6">
      <c r="A1783" s="4" t="s">
        <v>214</v>
      </c>
      <c r="B1783" s="6" t="s">
        <v>3881</v>
      </c>
      <c r="C1783" s="4" t="s">
        <v>214</v>
      </c>
      <c r="D1783" s="4">
        <v>3</v>
      </c>
      <c r="E1783" s="4" t="s">
        <v>3663</v>
      </c>
      <c r="F1783" s="4" t="s">
        <v>3882</v>
      </c>
    </row>
    <row r="1784" spans="1:6">
      <c r="A1784" s="4" t="s">
        <v>3883</v>
      </c>
      <c r="B1784" s="6" t="s">
        <v>3881</v>
      </c>
      <c r="C1784" s="4" t="s">
        <v>53</v>
      </c>
      <c r="D1784" s="4">
        <v>6</v>
      </c>
      <c r="E1784" s="4" t="s">
        <v>1378</v>
      </c>
      <c r="F1784" s="4" t="s">
        <v>3884</v>
      </c>
    </row>
    <row r="1785" spans="1:6">
      <c r="A1785" s="4" t="s">
        <v>487</v>
      </c>
      <c r="B1785" s="6" t="s">
        <v>3881</v>
      </c>
      <c r="C1785" s="4" t="s">
        <v>487</v>
      </c>
      <c r="D1785" s="4">
        <v>2</v>
      </c>
      <c r="E1785" s="4" t="s">
        <v>1378</v>
      </c>
    </row>
    <row r="1786" spans="1:6">
      <c r="A1786" s="4" t="s">
        <v>3885</v>
      </c>
      <c r="B1786" s="6" t="s">
        <v>3886</v>
      </c>
      <c r="C1786" s="4" t="s">
        <v>149</v>
      </c>
      <c r="D1786" s="4">
        <v>12</v>
      </c>
      <c r="E1786" s="4" t="s">
        <v>1378</v>
      </c>
      <c r="F1786" s="4" t="s">
        <v>3887</v>
      </c>
    </row>
    <row r="1787" spans="1:6">
      <c r="A1787" s="4" t="s">
        <v>3888</v>
      </c>
      <c r="B1787" s="6" t="s">
        <v>3889</v>
      </c>
      <c r="C1787" s="4" t="s">
        <v>53</v>
      </c>
      <c r="D1787" s="4">
        <v>12</v>
      </c>
      <c r="E1787" s="4" t="s">
        <v>1609</v>
      </c>
    </row>
    <row r="1788" spans="1:6">
      <c r="A1788" s="4" t="s">
        <v>3890</v>
      </c>
      <c r="B1788" s="6" t="s">
        <v>3891</v>
      </c>
      <c r="C1788" s="4" t="s">
        <v>34</v>
      </c>
      <c r="D1788" s="4">
        <v>11</v>
      </c>
      <c r="E1788" s="4" t="s">
        <v>1378</v>
      </c>
    </row>
    <row r="1789" spans="1:6">
      <c r="A1789" s="4" t="s">
        <v>3892</v>
      </c>
      <c r="B1789" s="6" t="s">
        <v>3893</v>
      </c>
      <c r="C1789" s="4" t="s">
        <v>34</v>
      </c>
      <c r="D1789" s="4">
        <v>7</v>
      </c>
      <c r="E1789" s="4" t="s">
        <v>3518</v>
      </c>
      <c r="F1789" s="4" t="s">
        <v>3894</v>
      </c>
    </row>
    <row r="1790" spans="1:6">
      <c r="A1790" s="4" t="s">
        <v>3895</v>
      </c>
      <c r="B1790" s="6" t="s">
        <v>3893</v>
      </c>
      <c r="C1790" s="4" t="s">
        <v>254</v>
      </c>
      <c r="D1790" s="4">
        <v>6</v>
      </c>
      <c r="E1790" s="4" t="s">
        <v>2881</v>
      </c>
    </row>
    <row r="1791" spans="1:6">
      <c r="A1791" s="4" t="s">
        <v>3896</v>
      </c>
      <c r="B1791" s="6" t="s">
        <v>3893</v>
      </c>
      <c r="C1791" s="4" t="s">
        <v>14</v>
      </c>
      <c r="D1791" s="4">
        <v>7</v>
      </c>
      <c r="E1791" s="4" t="s">
        <v>2881</v>
      </c>
    </row>
    <row r="1792" spans="1:6">
      <c r="A1792" s="4" t="s">
        <v>3897</v>
      </c>
      <c r="B1792" s="6" t="s">
        <v>3898</v>
      </c>
      <c r="C1792" s="4" t="s">
        <v>81</v>
      </c>
      <c r="D1792" s="4">
        <v>7</v>
      </c>
      <c r="E1792" s="4" t="s">
        <v>1378</v>
      </c>
      <c r="F1792" s="4" t="s">
        <v>3899</v>
      </c>
    </row>
    <row r="1793" spans="1:6">
      <c r="A1793" s="4" t="s">
        <v>3900</v>
      </c>
      <c r="B1793" s="6" t="s">
        <v>3898</v>
      </c>
      <c r="C1793" s="4" t="s">
        <v>104</v>
      </c>
      <c r="D1793" s="4">
        <v>16</v>
      </c>
      <c r="E1793" s="4" t="s">
        <v>1378</v>
      </c>
    </row>
    <row r="1794" spans="1:6">
      <c r="A1794" s="4" t="s">
        <v>3901</v>
      </c>
      <c r="B1794" s="6" t="s">
        <v>3902</v>
      </c>
      <c r="C1794" s="4" t="s">
        <v>390</v>
      </c>
      <c r="D1794" s="4">
        <v>19</v>
      </c>
      <c r="E1794" s="4" t="s">
        <v>3608</v>
      </c>
    </row>
    <row r="1795" spans="1:6">
      <c r="A1795" s="4" t="s">
        <v>3903</v>
      </c>
      <c r="B1795" s="6" t="s">
        <v>3902</v>
      </c>
      <c r="C1795" s="4" t="s">
        <v>520</v>
      </c>
      <c r="D1795" s="4">
        <v>23</v>
      </c>
      <c r="E1795" s="4" t="s">
        <v>3608</v>
      </c>
    </row>
    <row r="1796" spans="1:6">
      <c r="A1796" s="4" t="s">
        <v>3904</v>
      </c>
      <c r="B1796" s="6" t="s">
        <v>3905</v>
      </c>
      <c r="C1796" s="4" t="s">
        <v>53</v>
      </c>
      <c r="D1796" s="4">
        <v>7</v>
      </c>
      <c r="E1796" s="4" t="s">
        <v>3906</v>
      </c>
      <c r="F1796" s="4" t="s">
        <v>3907</v>
      </c>
    </row>
    <row r="1797" spans="1:6">
      <c r="A1797" s="4" t="s">
        <v>3908</v>
      </c>
      <c r="B1797" s="6" t="s">
        <v>3905</v>
      </c>
      <c r="C1797" s="4" t="s">
        <v>53</v>
      </c>
      <c r="D1797" s="4">
        <v>8</v>
      </c>
      <c r="E1797" s="4" t="s">
        <v>3906</v>
      </c>
      <c r="F1797" s="4" t="s">
        <v>3907</v>
      </c>
    </row>
    <row r="1798" spans="1:6">
      <c r="A1798" s="4" t="s">
        <v>3909</v>
      </c>
      <c r="B1798" s="6" t="s">
        <v>3905</v>
      </c>
      <c r="C1798" s="4" t="s">
        <v>351</v>
      </c>
      <c r="D1798" s="4">
        <v>11</v>
      </c>
      <c r="E1798" s="4" t="s">
        <v>3906</v>
      </c>
      <c r="F1798" s="4" t="s">
        <v>3907</v>
      </c>
    </row>
    <row r="1799" spans="1:6">
      <c r="A1799" s="4" t="s">
        <v>3910</v>
      </c>
      <c r="B1799" s="6" t="s">
        <v>3911</v>
      </c>
      <c r="C1799" s="4" t="s">
        <v>285</v>
      </c>
      <c r="D1799" s="4">
        <v>12</v>
      </c>
      <c r="E1799" s="4" t="s">
        <v>3912</v>
      </c>
      <c r="F1799" s="4" t="s">
        <v>3913</v>
      </c>
    </row>
    <row r="1800" spans="1:6">
      <c r="A1800" s="4" t="s">
        <v>3914</v>
      </c>
      <c r="B1800" s="6" t="s">
        <v>3911</v>
      </c>
      <c r="C1800" s="4" t="s">
        <v>49</v>
      </c>
      <c r="D1800" s="4">
        <v>18</v>
      </c>
      <c r="E1800" s="4" t="s">
        <v>3912</v>
      </c>
      <c r="F1800" s="4" t="s">
        <v>3915</v>
      </c>
    </row>
    <row r="1801" spans="1:6">
      <c r="A1801" s="4" t="s">
        <v>3916</v>
      </c>
      <c r="B1801" s="6" t="s">
        <v>3911</v>
      </c>
      <c r="C1801" s="4" t="s">
        <v>254</v>
      </c>
      <c r="D1801" s="4">
        <v>17</v>
      </c>
      <c r="E1801" s="4" t="s">
        <v>3912</v>
      </c>
    </row>
    <row r="1802" spans="1:6">
      <c r="A1802" s="4" t="s">
        <v>3917</v>
      </c>
      <c r="B1802" s="6" t="s">
        <v>3911</v>
      </c>
      <c r="C1802" s="4" t="s">
        <v>14</v>
      </c>
      <c r="D1802" s="4">
        <v>11</v>
      </c>
      <c r="E1802" s="4" t="s">
        <v>3918</v>
      </c>
    </row>
    <row r="1803" spans="1:6">
      <c r="A1803" s="4" t="s">
        <v>3919</v>
      </c>
      <c r="B1803" s="6" t="s">
        <v>3920</v>
      </c>
      <c r="C1803" s="4" t="s">
        <v>53</v>
      </c>
      <c r="D1803" s="4">
        <v>20</v>
      </c>
      <c r="E1803" s="4" t="s">
        <v>3912</v>
      </c>
    </row>
    <row r="1804" spans="1:6">
      <c r="A1804" s="4" t="s">
        <v>3921</v>
      </c>
      <c r="B1804" s="6" t="s">
        <v>3920</v>
      </c>
      <c r="C1804" s="4" t="s">
        <v>49</v>
      </c>
      <c r="D1804" s="4">
        <v>19</v>
      </c>
      <c r="E1804" s="4" t="s">
        <v>3912</v>
      </c>
    </row>
    <row r="1805" spans="1:6">
      <c r="A1805" s="4" t="s">
        <v>3922</v>
      </c>
      <c r="B1805" s="6" t="s">
        <v>3920</v>
      </c>
      <c r="C1805" s="4" t="s">
        <v>87</v>
      </c>
      <c r="D1805" s="4">
        <v>20</v>
      </c>
      <c r="E1805" s="4" t="s">
        <v>3912</v>
      </c>
    </row>
    <row r="1806" spans="1:6">
      <c r="A1806" s="4" t="s">
        <v>3923</v>
      </c>
      <c r="B1806" s="6" t="s">
        <v>3924</v>
      </c>
      <c r="C1806" s="4" t="s">
        <v>87</v>
      </c>
      <c r="D1806" s="4">
        <v>13</v>
      </c>
      <c r="E1806" s="4" t="s">
        <v>1439</v>
      </c>
      <c r="F1806" s="4" t="s">
        <v>3925</v>
      </c>
    </row>
    <row r="1807" spans="1:6">
      <c r="A1807" s="4" t="s">
        <v>3926</v>
      </c>
      <c r="B1807" s="6" t="s">
        <v>3924</v>
      </c>
      <c r="C1807" s="4" t="s">
        <v>179</v>
      </c>
      <c r="D1807" s="4">
        <v>9</v>
      </c>
      <c r="E1807" s="4" t="s">
        <v>1439</v>
      </c>
    </row>
    <row r="1808" spans="1:6">
      <c r="A1808" s="4" t="s">
        <v>3927</v>
      </c>
      <c r="B1808" s="6" t="s">
        <v>3924</v>
      </c>
      <c r="C1808" s="4" t="s">
        <v>41</v>
      </c>
      <c r="D1808" s="4">
        <v>12</v>
      </c>
      <c r="E1808" s="4" t="s">
        <v>1439</v>
      </c>
    </row>
    <row r="1809" spans="1:6">
      <c r="A1809" s="4" t="s">
        <v>3928</v>
      </c>
      <c r="B1809" s="6" t="s">
        <v>3924</v>
      </c>
      <c r="C1809" s="4" t="s">
        <v>53</v>
      </c>
      <c r="D1809" s="4">
        <v>13</v>
      </c>
      <c r="E1809" s="4" t="s">
        <v>3929</v>
      </c>
    </row>
    <row r="1810" spans="1:6">
      <c r="A1810" s="4" t="s">
        <v>3930</v>
      </c>
      <c r="B1810" s="6" t="s">
        <v>3924</v>
      </c>
      <c r="C1810" s="4" t="s">
        <v>427</v>
      </c>
      <c r="D1810" s="4">
        <v>16</v>
      </c>
      <c r="E1810" s="4" t="s">
        <v>1439</v>
      </c>
    </row>
    <row r="1811" spans="1:6">
      <c r="A1811" s="4" t="s">
        <v>3931</v>
      </c>
      <c r="B1811" s="6" t="s">
        <v>3932</v>
      </c>
      <c r="C1811" s="4" t="s">
        <v>870</v>
      </c>
      <c r="D1811" s="4">
        <v>9</v>
      </c>
      <c r="F1811" s="4" t="s">
        <v>3933</v>
      </c>
    </row>
    <row r="1812" spans="1:6">
      <c r="A1812" s="4" t="s">
        <v>3934</v>
      </c>
      <c r="B1812" s="6" t="s">
        <v>3935</v>
      </c>
      <c r="C1812" s="4" t="s">
        <v>34</v>
      </c>
      <c r="D1812" s="4">
        <v>15</v>
      </c>
      <c r="E1812" s="4" t="s">
        <v>1439</v>
      </c>
    </row>
    <row r="1813" spans="1:6">
      <c r="A1813" s="4" t="s">
        <v>3936</v>
      </c>
      <c r="B1813" s="6" t="s">
        <v>3935</v>
      </c>
      <c r="C1813" s="4" t="s">
        <v>2111</v>
      </c>
      <c r="D1813" s="4">
        <v>7</v>
      </c>
      <c r="E1813" s="4" t="s">
        <v>1439</v>
      </c>
    </row>
    <row r="1814" spans="1:6">
      <c r="A1814" s="4" t="s">
        <v>3937</v>
      </c>
      <c r="B1814" s="6" t="s">
        <v>3935</v>
      </c>
      <c r="C1814" s="4" t="s">
        <v>76</v>
      </c>
      <c r="D1814" s="4">
        <v>17</v>
      </c>
      <c r="E1814" s="4" t="s">
        <v>1439</v>
      </c>
    </row>
    <row r="1815" spans="1:6">
      <c r="A1815" s="4" t="s">
        <v>3938</v>
      </c>
      <c r="B1815" s="6" t="s">
        <v>3939</v>
      </c>
      <c r="C1815" s="4" t="s">
        <v>705</v>
      </c>
      <c r="D1815" s="4">
        <v>7</v>
      </c>
      <c r="E1815" s="4" t="s">
        <v>1439</v>
      </c>
      <c r="F1815" s="4" t="s">
        <v>3940</v>
      </c>
    </row>
    <row r="1816" spans="1:6">
      <c r="A1816" s="4" t="s">
        <v>3941</v>
      </c>
      <c r="B1816" s="6" t="s">
        <v>3939</v>
      </c>
      <c r="C1816" s="4" t="s">
        <v>705</v>
      </c>
      <c r="D1816" s="4">
        <v>12</v>
      </c>
      <c r="E1816" s="4" t="s">
        <v>1439</v>
      </c>
      <c r="F1816" s="4" t="s">
        <v>3940</v>
      </c>
    </row>
    <row r="1817" spans="1:6">
      <c r="A1817" s="4" t="s">
        <v>3942</v>
      </c>
      <c r="B1817" s="6" t="s">
        <v>3943</v>
      </c>
      <c r="C1817" s="4" t="s">
        <v>870</v>
      </c>
      <c r="D1817" s="4">
        <v>11</v>
      </c>
    </row>
    <row r="1818" spans="1:6">
      <c r="A1818" s="4" t="s">
        <v>3944</v>
      </c>
      <c r="B1818" s="6" t="s">
        <v>3945</v>
      </c>
      <c r="C1818" s="4" t="s">
        <v>23</v>
      </c>
      <c r="D1818" s="4">
        <v>9</v>
      </c>
      <c r="E1818" s="4" t="s">
        <v>1439</v>
      </c>
    </row>
    <row r="1819" spans="1:6">
      <c r="A1819" s="4" t="s">
        <v>3946</v>
      </c>
      <c r="B1819" s="6" t="s">
        <v>3947</v>
      </c>
      <c r="C1819" s="4" t="s">
        <v>2568</v>
      </c>
      <c r="D1819" s="4">
        <v>17</v>
      </c>
      <c r="E1819" s="4" t="s">
        <v>3912</v>
      </c>
    </row>
    <row r="1820" spans="1:6">
      <c r="A1820" s="4" t="s">
        <v>3948</v>
      </c>
      <c r="B1820" s="6" t="s">
        <v>3947</v>
      </c>
      <c r="C1820" s="4" t="s">
        <v>34</v>
      </c>
      <c r="D1820" s="4">
        <v>25</v>
      </c>
      <c r="E1820" s="4" t="s">
        <v>3912</v>
      </c>
    </row>
    <row r="1821" spans="1:6">
      <c r="A1821" s="4" t="s">
        <v>3949</v>
      </c>
      <c r="B1821" s="6" t="s">
        <v>3947</v>
      </c>
      <c r="C1821" s="4" t="s">
        <v>53</v>
      </c>
      <c r="D1821" s="4">
        <v>26</v>
      </c>
      <c r="E1821" s="4" t="s">
        <v>3912</v>
      </c>
    </row>
    <row r="1822" spans="1:6">
      <c r="A1822" s="4" t="s">
        <v>3950</v>
      </c>
      <c r="B1822" s="6" t="s">
        <v>3951</v>
      </c>
      <c r="C1822" s="4" t="s">
        <v>14</v>
      </c>
      <c r="D1822" s="4">
        <v>19</v>
      </c>
      <c r="E1822" s="4" t="s">
        <v>3912</v>
      </c>
    </row>
    <row r="1823" spans="1:6">
      <c r="A1823" s="4" t="s">
        <v>3952</v>
      </c>
      <c r="B1823" s="6" t="s">
        <v>3953</v>
      </c>
      <c r="C1823" s="4" t="s">
        <v>34</v>
      </c>
      <c r="D1823" s="4">
        <v>19</v>
      </c>
      <c r="E1823" s="4" t="s">
        <v>3912</v>
      </c>
    </row>
    <row r="1824" spans="1:6">
      <c r="A1824" s="4" t="s">
        <v>3954</v>
      </c>
      <c r="B1824" s="6" t="s">
        <v>3955</v>
      </c>
      <c r="C1824" s="4" t="s">
        <v>87</v>
      </c>
      <c r="D1824" s="4">
        <v>10</v>
      </c>
      <c r="E1824" s="4" t="s">
        <v>1439</v>
      </c>
      <c r="F1824" s="4" t="s">
        <v>212</v>
      </c>
    </row>
    <row r="1825" spans="1:6">
      <c r="A1825" s="4" t="s">
        <v>3956</v>
      </c>
      <c r="B1825" s="6" t="s">
        <v>3955</v>
      </c>
      <c r="C1825" s="4" t="s">
        <v>354</v>
      </c>
      <c r="D1825" s="4">
        <v>10</v>
      </c>
      <c r="E1825" s="4" t="s">
        <v>1439</v>
      </c>
      <c r="F1825" s="4" t="s">
        <v>3957</v>
      </c>
    </row>
    <row r="1826" spans="1:6">
      <c r="A1826" s="4" t="s">
        <v>3958</v>
      </c>
      <c r="B1826" s="6" t="s">
        <v>3959</v>
      </c>
      <c r="C1826" s="4" t="s">
        <v>470</v>
      </c>
      <c r="D1826" s="4">
        <v>7</v>
      </c>
      <c r="E1826" s="4" t="s">
        <v>3960</v>
      </c>
      <c r="F1826" s="4" t="s">
        <v>3961</v>
      </c>
    </row>
    <row r="1827" spans="1:6">
      <c r="A1827" s="4" t="s">
        <v>3962</v>
      </c>
      <c r="B1827" s="6" t="s">
        <v>3963</v>
      </c>
      <c r="C1827" s="4" t="s">
        <v>1335</v>
      </c>
      <c r="D1827" s="4">
        <v>8</v>
      </c>
      <c r="E1827" s="4" t="s">
        <v>3964</v>
      </c>
    </row>
    <row r="1828" spans="1:6">
      <c r="A1828" s="4" t="s">
        <v>3965</v>
      </c>
      <c r="B1828" s="6" t="s">
        <v>3966</v>
      </c>
      <c r="C1828" s="4" t="s">
        <v>221</v>
      </c>
      <c r="D1828" s="4">
        <v>14</v>
      </c>
      <c r="E1828" s="4" t="s">
        <v>3967</v>
      </c>
    </row>
    <row r="1829" spans="1:6">
      <c r="A1829" s="4" t="s">
        <v>2610</v>
      </c>
      <c r="B1829" s="6" t="s">
        <v>3968</v>
      </c>
      <c r="C1829" s="4" t="s">
        <v>2610</v>
      </c>
      <c r="D1829" s="4">
        <v>6</v>
      </c>
      <c r="E1829" s="4" t="s">
        <v>1439</v>
      </c>
      <c r="F1829" s="4" t="s">
        <v>3969</v>
      </c>
    </row>
    <row r="1830" spans="1:6">
      <c r="A1830" s="4" t="s">
        <v>3970</v>
      </c>
      <c r="B1830" s="6" t="s">
        <v>3971</v>
      </c>
      <c r="C1830" s="4" t="s">
        <v>301</v>
      </c>
      <c r="D1830" s="4">
        <v>11</v>
      </c>
      <c r="E1830" s="4" t="s">
        <v>3972</v>
      </c>
      <c r="F1830" s="4" t="s">
        <v>3973</v>
      </c>
    </row>
    <row r="1831" spans="1:6">
      <c r="A1831" s="4" t="s">
        <v>3974</v>
      </c>
      <c r="B1831" s="6" t="s">
        <v>3971</v>
      </c>
      <c r="C1831" s="4" t="s">
        <v>49</v>
      </c>
      <c r="D1831" s="4">
        <v>12</v>
      </c>
      <c r="E1831" s="4" t="s">
        <v>3972</v>
      </c>
      <c r="F1831" s="4" t="s">
        <v>3975</v>
      </c>
    </row>
    <row r="1832" spans="1:6">
      <c r="A1832" s="4" t="s">
        <v>3976</v>
      </c>
      <c r="B1832" s="6" t="s">
        <v>3971</v>
      </c>
      <c r="C1832" s="4" t="s">
        <v>1262</v>
      </c>
      <c r="D1832" s="4">
        <v>13</v>
      </c>
      <c r="E1832" s="4" t="s">
        <v>3972</v>
      </c>
    </row>
    <row r="1833" spans="1:6">
      <c r="A1833" s="4" t="s">
        <v>3977</v>
      </c>
      <c r="B1833" s="6" t="s">
        <v>3971</v>
      </c>
      <c r="C1833" s="4" t="s">
        <v>34</v>
      </c>
      <c r="D1833" s="4">
        <v>18</v>
      </c>
      <c r="E1833" s="4" t="s">
        <v>3978</v>
      </c>
    </row>
    <row r="1834" spans="1:6">
      <c r="A1834" s="4" t="s">
        <v>3979</v>
      </c>
      <c r="B1834" s="6" t="s">
        <v>3971</v>
      </c>
      <c r="C1834" s="4" t="s">
        <v>53</v>
      </c>
      <c r="D1834" s="4">
        <v>15</v>
      </c>
      <c r="E1834" s="4" t="s">
        <v>3980</v>
      </c>
      <c r="F1834" s="4" t="s">
        <v>3981</v>
      </c>
    </row>
    <row r="1835" spans="1:6">
      <c r="A1835" s="4" t="s">
        <v>3982</v>
      </c>
      <c r="B1835" s="6" t="s">
        <v>3971</v>
      </c>
      <c r="C1835" s="4" t="s">
        <v>87</v>
      </c>
      <c r="D1835" s="4">
        <v>9</v>
      </c>
      <c r="E1835" s="4" t="s">
        <v>3972</v>
      </c>
    </row>
    <row r="1836" spans="1:6">
      <c r="A1836" s="4" t="s">
        <v>3983</v>
      </c>
      <c r="B1836" s="6" t="s">
        <v>3984</v>
      </c>
      <c r="C1836" s="4" t="s">
        <v>53</v>
      </c>
      <c r="D1836" s="4">
        <v>13</v>
      </c>
      <c r="E1836" s="4" t="s">
        <v>3980</v>
      </c>
      <c r="F1836" s="4" t="s">
        <v>3981</v>
      </c>
    </row>
    <row r="1837" spans="1:6">
      <c r="A1837" s="4" t="s">
        <v>3985</v>
      </c>
      <c r="B1837" s="6" t="s">
        <v>3986</v>
      </c>
      <c r="C1837" s="4" t="s">
        <v>87</v>
      </c>
      <c r="D1837" s="4">
        <v>16</v>
      </c>
      <c r="E1837" s="4" t="s">
        <v>3906</v>
      </c>
      <c r="F1837" s="4" t="s">
        <v>3987</v>
      </c>
    </row>
    <row r="1838" spans="1:6">
      <c r="A1838" s="4" t="s">
        <v>3988</v>
      </c>
      <c r="B1838" s="6" t="s">
        <v>3986</v>
      </c>
      <c r="C1838" s="4" t="s">
        <v>221</v>
      </c>
      <c r="D1838" s="4">
        <v>16</v>
      </c>
      <c r="E1838" s="4" t="s">
        <v>3906</v>
      </c>
      <c r="F1838" s="4" t="s">
        <v>3989</v>
      </c>
    </row>
    <row r="1839" spans="1:6">
      <c r="A1839" s="4" t="s">
        <v>3990</v>
      </c>
      <c r="B1839" s="6" t="s">
        <v>3986</v>
      </c>
      <c r="C1839" s="4" t="s">
        <v>23</v>
      </c>
      <c r="D1839" s="4">
        <v>6</v>
      </c>
      <c r="E1839" s="4" t="s">
        <v>3991</v>
      </c>
    </row>
    <row r="1840" spans="1:6">
      <c r="A1840" s="4" t="s">
        <v>3992</v>
      </c>
      <c r="B1840" s="6" t="s">
        <v>3986</v>
      </c>
      <c r="C1840" s="4" t="s">
        <v>76</v>
      </c>
      <c r="D1840" s="4">
        <v>21</v>
      </c>
      <c r="E1840" s="4" t="s">
        <v>3906</v>
      </c>
    </row>
    <row r="1841" spans="1:6">
      <c r="A1841" s="4" t="s">
        <v>3993</v>
      </c>
      <c r="B1841" s="6" t="s">
        <v>3994</v>
      </c>
      <c r="C1841" s="4" t="s">
        <v>87</v>
      </c>
      <c r="D1841" s="4">
        <v>18</v>
      </c>
      <c r="E1841" s="4" t="s">
        <v>3912</v>
      </c>
    </row>
    <row r="1842" spans="1:6">
      <c r="A1842" s="4" t="s">
        <v>3995</v>
      </c>
      <c r="B1842" s="6" t="s">
        <v>3996</v>
      </c>
      <c r="C1842" s="4" t="s">
        <v>686</v>
      </c>
      <c r="D1842" s="4">
        <v>16</v>
      </c>
      <c r="E1842" s="4" t="s">
        <v>3997</v>
      </c>
    </row>
    <row r="1843" spans="1:6">
      <c r="A1843" s="4" t="s">
        <v>3998</v>
      </c>
      <c r="B1843" s="6" t="s">
        <v>3996</v>
      </c>
      <c r="C1843" s="4" t="s">
        <v>686</v>
      </c>
      <c r="D1843" s="4">
        <v>21</v>
      </c>
      <c r="E1843" s="4" t="s">
        <v>3912</v>
      </c>
      <c r="F1843" s="4" t="s">
        <v>3999</v>
      </c>
    </row>
    <row r="1844" spans="1:6">
      <c r="A1844" s="4" t="s">
        <v>4000</v>
      </c>
      <c r="B1844" s="6" t="s">
        <v>4001</v>
      </c>
      <c r="C1844" s="4" t="s">
        <v>1211</v>
      </c>
      <c r="D1844" s="4">
        <v>11</v>
      </c>
      <c r="E1844" s="4" t="s">
        <v>4002</v>
      </c>
      <c r="F1844" s="4" t="s">
        <v>4003</v>
      </c>
    </row>
    <row r="1845" spans="1:6">
      <c r="A1845" s="4" t="s">
        <v>4004</v>
      </c>
      <c r="B1845" s="6" t="s">
        <v>4001</v>
      </c>
      <c r="C1845" s="4" t="s">
        <v>34</v>
      </c>
      <c r="D1845" s="4">
        <v>8</v>
      </c>
      <c r="E1845" s="4" t="s">
        <v>4005</v>
      </c>
      <c r="F1845" s="4" t="s">
        <v>4006</v>
      </c>
    </row>
    <row r="1846" spans="1:6">
      <c r="A1846" s="4" t="s">
        <v>4007</v>
      </c>
      <c r="B1846" s="6" t="s">
        <v>4008</v>
      </c>
      <c r="C1846" s="4" t="s">
        <v>271</v>
      </c>
      <c r="D1846" s="4">
        <v>9</v>
      </c>
      <c r="E1846" s="4" t="s">
        <v>4009</v>
      </c>
    </row>
    <row r="1847" spans="1:6">
      <c r="A1847" s="4" t="s">
        <v>4010</v>
      </c>
      <c r="B1847" s="6" t="s">
        <v>4008</v>
      </c>
      <c r="C1847" s="4" t="s">
        <v>554</v>
      </c>
      <c r="D1847" s="4">
        <v>14</v>
      </c>
      <c r="E1847" s="4" t="s">
        <v>4009</v>
      </c>
    </row>
    <row r="1848" spans="1:6">
      <c r="A1848" s="4" t="s">
        <v>4011</v>
      </c>
      <c r="B1848" s="6" t="s">
        <v>4008</v>
      </c>
      <c r="C1848" s="4" t="s">
        <v>23</v>
      </c>
      <c r="D1848" s="4">
        <v>12</v>
      </c>
      <c r="E1848" s="4" t="s">
        <v>4012</v>
      </c>
    </row>
    <row r="1849" spans="1:6">
      <c r="A1849" s="4" t="s">
        <v>4013</v>
      </c>
      <c r="B1849" s="6" t="s">
        <v>4014</v>
      </c>
      <c r="C1849" s="4" t="s">
        <v>4015</v>
      </c>
      <c r="D1849" s="4">
        <v>18</v>
      </c>
      <c r="E1849" s="4" t="s">
        <v>4016</v>
      </c>
      <c r="F1849" s="4" t="s">
        <v>4017</v>
      </c>
    </row>
    <row r="1850" spans="1:6">
      <c r="A1850" s="4" t="s">
        <v>4018</v>
      </c>
      <c r="B1850" s="6" t="s">
        <v>4014</v>
      </c>
      <c r="C1850" s="4" t="s">
        <v>53</v>
      </c>
      <c r="D1850" s="4">
        <v>8</v>
      </c>
      <c r="E1850" s="4" t="s">
        <v>4016</v>
      </c>
      <c r="F1850" s="4" t="s">
        <v>4019</v>
      </c>
    </row>
    <row r="1851" spans="1:6">
      <c r="A1851" s="4" t="s">
        <v>4020</v>
      </c>
      <c r="B1851" s="6" t="s">
        <v>4014</v>
      </c>
      <c r="C1851" s="4" t="s">
        <v>76</v>
      </c>
      <c r="D1851" s="4">
        <v>13</v>
      </c>
      <c r="E1851" s="4" t="s">
        <v>4016</v>
      </c>
    </row>
    <row r="1852" spans="1:6">
      <c r="A1852" s="4" t="s">
        <v>4021</v>
      </c>
      <c r="B1852" s="6" t="s">
        <v>4014</v>
      </c>
      <c r="C1852" s="4" t="s">
        <v>87</v>
      </c>
      <c r="D1852" s="4">
        <v>11</v>
      </c>
      <c r="E1852" s="4" t="s">
        <v>4016</v>
      </c>
      <c r="F1852" s="4" t="s">
        <v>4022</v>
      </c>
    </row>
    <row r="1853" spans="1:6">
      <c r="A1853" s="4" t="s">
        <v>4023</v>
      </c>
      <c r="B1853" s="6" t="s">
        <v>4024</v>
      </c>
      <c r="C1853" s="4" t="s">
        <v>19</v>
      </c>
      <c r="D1853" s="4">
        <v>16</v>
      </c>
      <c r="E1853" s="4" t="s">
        <v>4016</v>
      </c>
      <c r="F1853" s="4" t="s">
        <v>4025</v>
      </c>
    </row>
    <row r="1854" spans="1:6">
      <c r="A1854" s="4" t="s">
        <v>4026</v>
      </c>
      <c r="B1854" s="6" t="s">
        <v>4027</v>
      </c>
      <c r="C1854" s="4" t="s">
        <v>870</v>
      </c>
      <c r="D1854" s="4">
        <v>9</v>
      </c>
      <c r="F1854" s="4" t="s">
        <v>4028</v>
      </c>
    </row>
    <row r="1855" spans="1:6">
      <c r="A1855" s="4" t="s">
        <v>4029</v>
      </c>
      <c r="B1855" s="6" t="s">
        <v>4024</v>
      </c>
      <c r="C1855" s="4" t="s">
        <v>81</v>
      </c>
      <c r="D1855" s="4">
        <v>15</v>
      </c>
      <c r="E1855" s="4" t="s">
        <v>4030</v>
      </c>
      <c r="F1855" s="4" t="s">
        <v>4031</v>
      </c>
    </row>
    <row r="1856" spans="1:6">
      <c r="A1856" s="4" t="s">
        <v>4032</v>
      </c>
      <c r="B1856" s="6" t="s">
        <v>4024</v>
      </c>
      <c r="C1856" s="4" t="s">
        <v>686</v>
      </c>
      <c r="D1856" s="4">
        <v>16</v>
      </c>
      <c r="E1856" s="4" t="s">
        <v>4016</v>
      </c>
    </row>
    <row r="1857" spans="1:6">
      <c r="A1857" s="4" t="s">
        <v>4033</v>
      </c>
      <c r="B1857" s="6" t="s">
        <v>4034</v>
      </c>
      <c r="C1857" s="4" t="s">
        <v>53</v>
      </c>
      <c r="D1857" s="4">
        <v>13</v>
      </c>
      <c r="E1857" s="4" t="s">
        <v>1439</v>
      </c>
    </row>
    <row r="1858" spans="1:6">
      <c r="A1858" s="4" t="s">
        <v>4035</v>
      </c>
      <c r="B1858" s="6" t="s">
        <v>4034</v>
      </c>
      <c r="C1858" s="4" t="s">
        <v>53</v>
      </c>
      <c r="D1858" s="4">
        <v>15</v>
      </c>
      <c r="E1858" s="4" t="s">
        <v>4036</v>
      </c>
    </row>
    <row r="1859" spans="1:6">
      <c r="A1859" s="4" t="s">
        <v>4037</v>
      </c>
      <c r="B1859" s="6" t="s">
        <v>4034</v>
      </c>
      <c r="C1859" s="4" t="s">
        <v>76</v>
      </c>
      <c r="D1859" s="4">
        <v>16</v>
      </c>
      <c r="E1859" s="4" t="s">
        <v>4038</v>
      </c>
    </row>
    <row r="1860" spans="1:6">
      <c r="A1860" s="4" t="s">
        <v>4039</v>
      </c>
      <c r="B1860" s="6" t="s">
        <v>4034</v>
      </c>
      <c r="C1860" s="4" t="s">
        <v>427</v>
      </c>
      <c r="D1860" s="4">
        <v>17</v>
      </c>
      <c r="E1860" s="4" t="s">
        <v>1439</v>
      </c>
    </row>
    <row r="1861" spans="1:6">
      <c r="A1861" s="4" t="s">
        <v>4040</v>
      </c>
      <c r="B1861" s="6" t="s">
        <v>4034</v>
      </c>
      <c r="C1861" s="4" t="s">
        <v>14</v>
      </c>
      <c r="D1861" s="4">
        <v>11</v>
      </c>
      <c r="E1861" s="4" t="s">
        <v>4036</v>
      </c>
    </row>
    <row r="1862" spans="1:6">
      <c r="A1862" s="4" t="s">
        <v>4041</v>
      </c>
      <c r="B1862" s="6" t="s">
        <v>4042</v>
      </c>
      <c r="C1862" s="4" t="s">
        <v>254</v>
      </c>
      <c r="D1862" s="4">
        <v>13</v>
      </c>
      <c r="E1862" s="4" t="s">
        <v>4038</v>
      </c>
    </row>
    <row r="1863" spans="1:6">
      <c r="A1863" s="4" t="s">
        <v>4043</v>
      </c>
      <c r="B1863" s="6" t="s">
        <v>4044</v>
      </c>
      <c r="C1863" s="4" t="s">
        <v>81</v>
      </c>
      <c r="D1863" s="4">
        <v>16</v>
      </c>
      <c r="E1863" s="4" t="s">
        <v>4016</v>
      </c>
    </row>
    <row r="1864" spans="1:6">
      <c r="A1864" s="4" t="s">
        <v>4045</v>
      </c>
      <c r="B1864" s="6" t="s">
        <v>4044</v>
      </c>
    </row>
    <row r="1865" spans="1:6">
      <c r="A1865" s="4" t="s">
        <v>4046</v>
      </c>
      <c r="B1865" s="6" t="s">
        <v>4044</v>
      </c>
      <c r="C1865" s="4" t="s">
        <v>470</v>
      </c>
      <c r="D1865" s="4">
        <v>15</v>
      </c>
      <c r="E1865" s="4" t="s">
        <v>4016</v>
      </c>
    </row>
    <row r="1866" spans="1:6">
      <c r="A1866" s="4" t="s">
        <v>4047</v>
      </c>
      <c r="B1866" s="6" t="s">
        <v>4044</v>
      </c>
      <c r="C1866" s="4" t="s">
        <v>41</v>
      </c>
      <c r="D1866" s="4">
        <v>16</v>
      </c>
      <c r="E1866" s="4" t="s">
        <v>4016</v>
      </c>
    </row>
    <row r="1867" spans="1:6">
      <c r="A1867" s="4" t="s">
        <v>4048</v>
      </c>
      <c r="B1867" s="6" t="s">
        <v>4049</v>
      </c>
      <c r="C1867" s="4" t="s">
        <v>81</v>
      </c>
      <c r="D1867" s="4">
        <v>10</v>
      </c>
      <c r="E1867" s="4" t="s">
        <v>4016</v>
      </c>
    </row>
    <row r="1868" spans="1:6">
      <c r="A1868" s="4" t="s">
        <v>4050</v>
      </c>
      <c r="B1868" s="6" t="s">
        <v>4049</v>
      </c>
      <c r="C1868" s="4" t="s">
        <v>23</v>
      </c>
      <c r="D1868" s="4">
        <v>7</v>
      </c>
      <c r="E1868" s="4" t="s">
        <v>4016</v>
      </c>
      <c r="F1868" s="4" t="s">
        <v>4051</v>
      </c>
    </row>
    <row r="1869" spans="1:6">
      <c r="A1869" s="4" t="s">
        <v>870</v>
      </c>
      <c r="B1869" s="6" t="s">
        <v>4052</v>
      </c>
      <c r="C1869" s="4" t="s">
        <v>870</v>
      </c>
      <c r="D1869" s="4">
        <v>5</v>
      </c>
      <c r="E1869" s="4" t="s">
        <v>4053</v>
      </c>
      <c r="F1869" s="4" t="s">
        <v>4054</v>
      </c>
    </row>
    <row r="1870" spans="1:6">
      <c r="A1870" s="4" t="s">
        <v>4055</v>
      </c>
      <c r="B1870" s="6" t="s">
        <v>4056</v>
      </c>
      <c r="C1870" s="4" t="s">
        <v>870</v>
      </c>
      <c r="D1870" s="4">
        <v>7</v>
      </c>
      <c r="F1870" s="4" t="s">
        <v>4057</v>
      </c>
    </row>
    <row r="1871" spans="1:6">
      <c r="A1871" s="4" t="s">
        <v>4058</v>
      </c>
      <c r="B1871" s="6" t="s">
        <v>4059</v>
      </c>
      <c r="C1871" s="4" t="s">
        <v>53</v>
      </c>
      <c r="D1871" s="4">
        <v>10</v>
      </c>
      <c r="E1871" s="4" t="s">
        <v>4060</v>
      </c>
      <c r="F1871" s="4" t="s">
        <v>4061</v>
      </c>
    </row>
    <row r="1872" spans="1:6">
      <c r="A1872" s="4" t="s">
        <v>4062</v>
      </c>
      <c r="B1872" s="6" t="s">
        <v>4059</v>
      </c>
      <c r="C1872" s="4" t="s">
        <v>81</v>
      </c>
      <c r="D1872" s="4">
        <v>13</v>
      </c>
      <c r="E1872" s="4" t="s">
        <v>4060</v>
      </c>
      <c r="F1872" s="4" t="s">
        <v>4063</v>
      </c>
    </row>
    <row r="1873" spans="1:6">
      <c r="A1873" s="4" t="s">
        <v>4064</v>
      </c>
      <c r="B1873" s="6" t="s">
        <v>4065</v>
      </c>
      <c r="C1873" s="4" t="s">
        <v>87</v>
      </c>
      <c r="D1873" s="4">
        <v>14</v>
      </c>
      <c r="E1873" s="4" t="s">
        <v>1439</v>
      </c>
      <c r="F1873" s="4" t="s">
        <v>4066</v>
      </c>
    </row>
    <row r="1874" spans="1:6">
      <c r="A1874" s="4" t="s">
        <v>4067</v>
      </c>
      <c r="B1874" s="6" t="s">
        <v>4068</v>
      </c>
      <c r="C1874" s="4" t="s">
        <v>19</v>
      </c>
      <c r="D1874" s="4">
        <v>11</v>
      </c>
      <c r="E1874" s="4" t="s">
        <v>3967</v>
      </c>
      <c r="F1874" s="4" t="s">
        <v>4069</v>
      </c>
    </row>
    <row r="1875" spans="1:6">
      <c r="A1875" s="4" t="s">
        <v>4070</v>
      </c>
      <c r="B1875" s="6" t="s">
        <v>4068</v>
      </c>
      <c r="C1875" s="4" t="s">
        <v>49</v>
      </c>
      <c r="D1875" s="4">
        <v>14</v>
      </c>
      <c r="E1875" s="4" t="s">
        <v>3967</v>
      </c>
      <c r="F1875" s="4" t="s">
        <v>4071</v>
      </c>
    </row>
    <row r="1876" spans="1:6">
      <c r="A1876" s="4" t="s">
        <v>4072</v>
      </c>
      <c r="B1876" s="6" t="s">
        <v>4068</v>
      </c>
      <c r="C1876" s="4" t="s">
        <v>301</v>
      </c>
      <c r="D1876" s="4">
        <v>14</v>
      </c>
      <c r="E1876" s="4" t="s">
        <v>4073</v>
      </c>
      <c r="F1876" s="4" t="s">
        <v>3260</v>
      </c>
    </row>
    <row r="1877" spans="1:6">
      <c r="A1877" s="4" t="s">
        <v>4074</v>
      </c>
      <c r="B1877" s="6" t="s">
        <v>4068</v>
      </c>
      <c r="C1877" s="4" t="s">
        <v>53</v>
      </c>
      <c r="D1877" s="4">
        <v>13</v>
      </c>
      <c r="E1877" s="4" t="s">
        <v>4075</v>
      </c>
    </row>
    <row r="1878" spans="1:6">
      <c r="A1878" s="4" t="s">
        <v>4076</v>
      </c>
      <c r="B1878" s="6" t="s">
        <v>4068</v>
      </c>
      <c r="C1878" s="4" t="s">
        <v>470</v>
      </c>
      <c r="D1878" s="4">
        <v>10</v>
      </c>
      <c r="E1878" s="4" t="s">
        <v>3967</v>
      </c>
      <c r="F1878" s="4" t="s">
        <v>4077</v>
      </c>
    </row>
    <row r="1879" spans="1:6">
      <c r="A1879" s="4" t="s">
        <v>4078</v>
      </c>
      <c r="B1879" s="6" t="s">
        <v>4068</v>
      </c>
      <c r="C1879" s="4" t="s">
        <v>458</v>
      </c>
      <c r="D1879" s="4">
        <v>13</v>
      </c>
      <c r="E1879" s="4" t="s">
        <v>3967</v>
      </c>
    </row>
    <row r="1880" spans="1:6">
      <c r="A1880" s="4" t="s">
        <v>4079</v>
      </c>
      <c r="B1880" s="6" t="s">
        <v>4068</v>
      </c>
      <c r="C1880" s="4" t="s">
        <v>285</v>
      </c>
      <c r="D1880" s="4">
        <v>11</v>
      </c>
      <c r="E1880" s="4" t="s">
        <v>3967</v>
      </c>
    </row>
    <row r="1881" spans="1:6">
      <c r="A1881" s="4" t="s">
        <v>4080</v>
      </c>
      <c r="B1881" s="6" t="s">
        <v>4081</v>
      </c>
      <c r="C1881" s="4" t="s">
        <v>4082</v>
      </c>
      <c r="D1881" s="4">
        <v>15</v>
      </c>
      <c r="E1881" s="4" t="s">
        <v>4083</v>
      </c>
    </row>
    <row r="1882" spans="1:6">
      <c r="A1882" s="4" t="s">
        <v>4084</v>
      </c>
      <c r="B1882" s="6" t="s">
        <v>4081</v>
      </c>
      <c r="C1882" s="4" t="s">
        <v>53</v>
      </c>
      <c r="D1882" s="4">
        <v>11</v>
      </c>
      <c r="E1882" s="4" t="s">
        <v>3991</v>
      </c>
      <c r="F1882" s="4" t="s">
        <v>4085</v>
      </c>
    </row>
    <row r="1883" spans="1:6">
      <c r="A1883" s="4" t="s">
        <v>4086</v>
      </c>
      <c r="B1883" s="6" t="s">
        <v>4087</v>
      </c>
      <c r="C1883" s="4" t="s">
        <v>461</v>
      </c>
      <c r="D1883" s="4">
        <v>5</v>
      </c>
      <c r="E1883" s="4" t="s">
        <v>4088</v>
      </c>
    </row>
    <row r="1884" spans="1:6">
      <c r="A1884" s="4" t="s">
        <v>4089</v>
      </c>
      <c r="B1884" s="6" t="s">
        <v>4090</v>
      </c>
      <c r="C1884" s="4" t="s">
        <v>87</v>
      </c>
      <c r="D1884" s="4">
        <v>10</v>
      </c>
      <c r="E1884" s="4" t="s">
        <v>4091</v>
      </c>
      <c r="F1884" s="4" t="s">
        <v>4092</v>
      </c>
    </row>
    <row r="1885" spans="1:6">
      <c r="A1885" s="4" t="s">
        <v>4093</v>
      </c>
      <c r="B1885" s="6" t="s">
        <v>4090</v>
      </c>
      <c r="C1885" s="4" t="s">
        <v>4094</v>
      </c>
      <c r="D1885" s="4">
        <v>16</v>
      </c>
      <c r="E1885" s="4" t="s">
        <v>3964</v>
      </c>
    </row>
    <row r="1886" spans="1:6">
      <c r="A1886" s="4" t="s">
        <v>4095</v>
      </c>
      <c r="B1886" s="6" t="s">
        <v>4090</v>
      </c>
      <c r="C1886" s="4" t="s">
        <v>1231</v>
      </c>
      <c r="D1886" s="4">
        <v>19</v>
      </c>
      <c r="E1886" s="4" t="s">
        <v>3964</v>
      </c>
      <c r="F1886" s="4" t="s">
        <v>4096</v>
      </c>
    </row>
    <row r="1887" spans="1:6">
      <c r="A1887" s="4" t="s">
        <v>4097</v>
      </c>
      <c r="B1887" s="6" t="s">
        <v>4090</v>
      </c>
      <c r="C1887" s="4" t="s">
        <v>538</v>
      </c>
      <c r="D1887" s="4">
        <v>7</v>
      </c>
      <c r="E1887" s="4" t="s">
        <v>3964</v>
      </c>
      <c r="F1887" s="4" t="s">
        <v>4098</v>
      </c>
    </row>
    <row r="1888" spans="1:6">
      <c r="A1888" s="4" t="s">
        <v>4099</v>
      </c>
      <c r="B1888" s="6" t="s">
        <v>4090</v>
      </c>
      <c r="C1888" s="4" t="s">
        <v>705</v>
      </c>
      <c r="D1888" s="4">
        <v>7</v>
      </c>
      <c r="E1888" s="4" t="s">
        <v>3964</v>
      </c>
      <c r="F1888" s="4" t="s">
        <v>4100</v>
      </c>
    </row>
    <row r="1889" spans="1:6">
      <c r="A1889" s="4" t="s">
        <v>4101</v>
      </c>
      <c r="B1889" s="6" t="s">
        <v>4090</v>
      </c>
      <c r="C1889" s="4" t="s">
        <v>34</v>
      </c>
      <c r="D1889" s="4">
        <v>10</v>
      </c>
      <c r="E1889" s="4" t="s">
        <v>4102</v>
      </c>
      <c r="F1889" s="4" t="s">
        <v>4103</v>
      </c>
    </row>
    <row r="1890" spans="1:6">
      <c r="A1890" s="4" t="s">
        <v>4104</v>
      </c>
      <c r="B1890" s="6" t="s">
        <v>4090</v>
      </c>
      <c r="C1890" s="4" t="s">
        <v>76</v>
      </c>
      <c r="D1890" s="4">
        <v>21</v>
      </c>
      <c r="E1890" s="4" t="s">
        <v>4105</v>
      </c>
    </row>
    <row r="1891" spans="1:6">
      <c r="A1891" s="4" t="s">
        <v>4106</v>
      </c>
      <c r="B1891" s="6" t="s">
        <v>4090</v>
      </c>
      <c r="C1891" s="4" t="s">
        <v>76</v>
      </c>
      <c r="D1891" s="4">
        <v>17</v>
      </c>
      <c r="E1891" s="4" t="s">
        <v>3964</v>
      </c>
    </row>
    <row r="1892" spans="1:6">
      <c r="A1892" s="4" t="s">
        <v>4107</v>
      </c>
      <c r="B1892" s="6" t="s">
        <v>4090</v>
      </c>
      <c r="C1892" s="4" t="s">
        <v>254</v>
      </c>
      <c r="D1892" s="4">
        <v>21</v>
      </c>
      <c r="E1892" s="4" t="s">
        <v>3964</v>
      </c>
    </row>
    <row r="1893" spans="1:6">
      <c r="A1893" s="4" t="s">
        <v>4108</v>
      </c>
      <c r="B1893" s="6" t="s">
        <v>4090</v>
      </c>
      <c r="C1893" s="4" t="s">
        <v>705</v>
      </c>
      <c r="D1893" s="4">
        <v>16</v>
      </c>
      <c r="E1893" s="4" t="s">
        <v>3964</v>
      </c>
      <c r="F1893" s="4" t="s">
        <v>4100</v>
      </c>
    </row>
    <row r="1894" spans="1:6">
      <c r="A1894" s="4" t="s">
        <v>4109</v>
      </c>
      <c r="B1894" s="6" t="s">
        <v>4090</v>
      </c>
      <c r="C1894" s="4" t="s">
        <v>23</v>
      </c>
      <c r="D1894" s="4">
        <v>10</v>
      </c>
      <c r="E1894" s="4" t="s">
        <v>3964</v>
      </c>
    </row>
    <row r="1895" spans="1:6">
      <c r="A1895" s="4" t="s">
        <v>4110</v>
      </c>
      <c r="B1895" s="6" t="s">
        <v>4111</v>
      </c>
      <c r="C1895" s="4" t="s">
        <v>53</v>
      </c>
      <c r="D1895" s="4">
        <v>12</v>
      </c>
      <c r="E1895" s="4" t="s">
        <v>4112</v>
      </c>
    </row>
    <row r="1896" spans="1:6">
      <c r="A1896" s="4" t="s">
        <v>4113</v>
      </c>
      <c r="B1896" s="6" t="s">
        <v>4114</v>
      </c>
      <c r="C1896" s="4" t="s">
        <v>254</v>
      </c>
      <c r="D1896" s="4">
        <v>5</v>
      </c>
      <c r="E1896" s="4" t="s">
        <v>3964</v>
      </c>
    </row>
    <row r="1897" spans="1:6">
      <c r="A1897" s="4" t="s">
        <v>4115</v>
      </c>
      <c r="B1897" s="6" t="s">
        <v>4116</v>
      </c>
      <c r="C1897" s="4" t="s">
        <v>41</v>
      </c>
      <c r="D1897" s="4">
        <v>13</v>
      </c>
      <c r="E1897" s="4" t="s">
        <v>4030</v>
      </c>
      <c r="F1897" s="4" t="s">
        <v>4117</v>
      </c>
    </row>
    <row r="1898" spans="1:6">
      <c r="A1898" s="4" t="s">
        <v>4118</v>
      </c>
      <c r="B1898" s="6" t="s">
        <v>4116</v>
      </c>
      <c r="C1898" s="4" t="s">
        <v>315</v>
      </c>
      <c r="D1898" s="4">
        <v>18</v>
      </c>
      <c r="E1898" s="4" t="s">
        <v>4030</v>
      </c>
      <c r="F1898" s="4" t="s">
        <v>1645</v>
      </c>
    </row>
    <row r="1899" spans="1:6">
      <c r="A1899" s="4" t="s">
        <v>4119</v>
      </c>
      <c r="B1899" s="6" t="s">
        <v>4116</v>
      </c>
      <c r="C1899" s="4" t="s">
        <v>121</v>
      </c>
      <c r="D1899" s="4">
        <v>15</v>
      </c>
      <c r="E1899" s="4" t="s">
        <v>4030</v>
      </c>
    </row>
    <row r="1900" spans="1:6">
      <c r="A1900" s="4" t="s">
        <v>4120</v>
      </c>
      <c r="B1900" s="6" t="s">
        <v>4116</v>
      </c>
      <c r="C1900" s="4" t="s">
        <v>403</v>
      </c>
      <c r="D1900" s="4">
        <v>19</v>
      </c>
      <c r="E1900" s="4" t="s">
        <v>4030</v>
      </c>
      <c r="F1900" s="4" t="s">
        <v>4121</v>
      </c>
    </row>
    <row r="1901" spans="1:6">
      <c r="A1901" s="4" t="s">
        <v>4122</v>
      </c>
      <c r="B1901" s="6" t="s">
        <v>4116</v>
      </c>
      <c r="C1901" s="4" t="s">
        <v>2818</v>
      </c>
      <c r="D1901" s="4">
        <v>16</v>
      </c>
      <c r="E1901" s="4" t="s">
        <v>4030</v>
      </c>
    </row>
    <row r="1902" spans="1:6">
      <c r="A1902" s="4" t="s">
        <v>4123</v>
      </c>
      <c r="B1902" s="6" t="s">
        <v>4124</v>
      </c>
      <c r="C1902" s="4" t="s">
        <v>275</v>
      </c>
      <c r="D1902" s="4">
        <v>10</v>
      </c>
      <c r="E1902" s="4" t="s">
        <v>4030</v>
      </c>
      <c r="F1902" s="4" t="s">
        <v>4125</v>
      </c>
    </row>
    <row r="1903" spans="1:6">
      <c r="A1903" s="4" t="s">
        <v>4126</v>
      </c>
      <c r="B1903" s="6" t="s">
        <v>4127</v>
      </c>
      <c r="C1903" s="4" t="s">
        <v>870</v>
      </c>
      <c r="D1903" s="4">
        <v>8</v>
      </c>
      <c r="F1903" s="4" t="s">
        <v>4128</v>
      </c>
    </row>
    <row r="1904" spans="1:6">
      <c r="A1904" s="4" t="s">
        <v>4129</v>
      </c>
      <c r="B1904" s="6" t="s">
        <v>4124</v>
      </c>
      <c r="C1904" s="4" t="s">
        <v>49</v>
      </c>
      <c r="D1904" s="4">
        <v>13</v>
      </c>
      <c r="E1904" s="4" t="s">
        <v>4030</v>
      </c>
      <c r="F1904" s="4" t="s">
        <v>4130</v>
      </c>
    </row>
    <row r="1905" spans="1:6">
      <c r="A1905" s="4" t="s">
        <v>4131</v>
      </c>
      <c r="B1905" s="6" t="s">
        <v>4124</v>
      </c>
      <c r="C1905" s="4" t="s">
        <v>1282</v>
      </c>
      <c r="D1905" s="4">
        <v>17</v>
      </c>
      <c r="E1905" s="4" t="s">
        <v>4030</v>
      </c>
    </row>
    <row r="1906" spans="1:6">
      <c r="A1906" s="4" t="s">
        <v>4132</v>
      </c>
      <c r="B1906" s="6" t="s">
        <v>4124</v>
      </c>
      <c r="C1906" s="4" t="s">
        <v>23</v>
      </c>
      <c r="D1906" s="4">
        <v>14</v>
      </c>
      <c r="E1906" s="4" t="s">
        <v>4030</v>
      </c>
    </row>
    <row r="1907" spans="1:6">
      <c r="A1907" s="4" t="s">
        <v>4133</v>
      </c>
      <c r="B1907" s="6" t="s">
        <v>4134</v>
      </c>
      <c r="C1907" s="4" t="s">
        <v>254</v>
      </c>
      <c r="D1907" s="4">
        <v>14</v>
      </c>
      <c r="E1907" s="4" t="s">
        <v>3967</v>
      </c>
    </row>
    <row r="1908" spans="1:6">
      <c r="A1908" s="4" t="s">
        <v>4135</v>
      </c>
      <c r="B1908" s="6" t="s">
        <v>4134</v>
      </c>
      <c r="C1908" s="4" t="s">
        <v>45</v>
      </c>
      <c r="D1908" s="4">
        <v>15</v>
      </c>
      <c r="E1908" s="4" t="s">
        <v>3967</v>
      </c>
    </row>
    <row r="1909" spans="1:6">
      <c r="A1909" s="4" t="s">
        <v>4136</v>
      </c>
      <c r="B1909" s="6" t="s">
        <v>4134</v>
      </c>
      <c r="C1909" s="4" t="s">
        <v>275</v>
      </c>
      <c r="D1909" s="4">
        <v>15</v>
      </c>
      <c r="E1909" s="4" t="s">
        <v>3967</v>
      </c>
    </row>
    <row r="1910" spans="1:6">
      <c r="A1910" s="4" t="s">
        <v>4137</v>
      </c>
      <c r="B1910" s="6" t="s">
        <v>4134</v>
      </c>
      <c r="C1910" s="4" t="s">
        <v>34</v>
      </c>
      <c r="D1910" s="4">
        <v>15</v>
      </c>
      <c r="E1910" s="4" t="s">
        <v>3967</v>
      </c>
    </row>
    <row r="1911" spans="1:6">
      <c r="A1911" s="4" t="s">
        <v>4138</v>
      </c>
      <c r="B1911" s="6" t="s">
        <v>4134</v>
      </c>
      <c r="C1911" s="4" t="s">
        <v>41</v>
      </c>
      <c r="D1911" s="4">
        <v>14</v>
      </c>
      <c r="E1911" s="4" t="s">
        <v>3967</v>
      </c>
    </row>
    <row r="1912" spans="1:6">
      <c r="A1912" s="4" t="s">
        <v>4139</v>
      </c>
      <c r="B1912" s="6" t="s">
        <v>4134</v>
      </c>
      <c r="C1912" s="4" t="s">
        <v>45</v>
      </c>
      <c r="D1912" s="4">
        <v>14</v>
      </c>
      <c r="E1912" s="4" t="s">
        <v>3967</v>
      </c>
    </row>
    <row r="1913" spans="1:6">
      <c r="A1913" s="4" t="s">
        <v>4140</v>
      </c>
      <c r="B1913" s="6" t="s">
        <v>4141</v>
      </c>
      <c r="C1913" s="4" t="s">
        <v>31</v>
      </c>
      <c r="D1913" s="4">
        <v>17</v>
      </c>
      <c r="E1913" s="4" t="s">
        <v>731</v>
      </c>
    </row>
    <row r="1914" spans="1:6">
      <c r="A1914" s="4" t="s">
        <v>4142</v>
      </c>
      <c r="B1914" s="6" t="s">
        <v>4143</v>
      </c>
      <c r="C1914" s="4" t="s">
        <v>414</v>
      </c>
      <c r="D1914" s="4">
        <v>17</v>
      </c>
      <c r="E1914" s="4" t="s">
        <v>4030</v>
      </c>
    </row>
    <row r="1915" spans="1:6">
      <c r="A1915" s="4" t="s">
        <v>4144</v>
      </c>
      <c r="B1915" s="6" t="s">
        <v>4145</v>
      </c>
      <c r="C1915" s="4" t="s">
        <v>1885</v>
      </c>
      <c r="D1915" s="4">
        <v>2</v>
      </c>
      <c r="E1915" s="4" t="s">
        <v>3967</v>
      </c>
    </row>
    <row r="1916" spans="1:6">
      <c r="A1916" s="4" t="s">
        <v>4146</v>
      </c>
      <c r="B1916" s="6" t="s">
        <v>4145</v>
      </c>
      <c r="C1916" s="4" t="s">
        <v>53</v>
      </c>
      <c r="D1916" s="4">
        <v>9</v>
      </c>
      <c r="E1916" s="4" t="s">
        <v>4002</v>
      </c>
      <c r="F1916" s="4" t="s">
        <v>4147</v>
      </c>
    </row>
    <row r="1917" spans="1:6">
      <c r="A1917" s="4" t="s">
        <v>4148</v>
      </c>
      <c r="B1917" s="6" t="s">
        <v>4149</v>
      </c>
      <c r="C1917" s="4" t="s">
        <v>1248</v>
      </c>
      <c r="D1917" s="4">
        <v>11</v>
      </c>
      <c r="E1917" s="4" t="s">
        <v>3967</v>
      </c>
    </row>
    <row r="1918" spans="1:6">
      <c r="A1918" s="4" t="s">
        <v>4150</v>
      </c>
      <c r="B1918" s="6" t="s">
        <v>4151</v>
      </c>
      <c r="C1918" s="4" t="s">
        <v>686</v>
      </c>
      <c r="D1918" s="4">
        <v>10</v>
      </c>
      <c r="E1918" s="4" t="s">
        <v>4060</v>
      </c>
      <c r="F1918" s="4" t="s">
        <v>3575</v>
      </c>
    </row>
    <row r="1919" spans="1:6">
      <c r="A1919" s="4" t="s">
        <v>4152</v>
      </c>
      <c r="B1919" s="6" t="s">
        <v>4151</v>
      </c>
      <c r="C1919" s="4" t="s">
        <v>223</v>
      </c>
      <c r="D1919" s="4">
        <v>12</v>
      </c>
      <c r="E1919" s="4" t="s">
        <v>4153</v>
      </c>
      <c r="F1919" s="4" t="s">
        <v>4154</v>
      </c>
    </row>
    <row r="1920" spans="1:6">
      <c r="A1920" s="4" t="s">
        <v>4155</v>
      </c>
      <c r="B1920" s="6" t="s">
        <v>4151</v>
      </c>
      <c r="C1920" s="4" t="s">
        <v>254</v>
      </c>
      <c r="D1920" s="4">
        <v>8</v>
      </c>
      <c r="E1920" s="4" t="s">
        <v>4102</v>
      </c>
      <c r="F1920" s="4" t="s">
        <v>4156</v>
      </c>
    </row>
    <row r="1921" spans="1:6">
      <c r="A1921" s="4" t="s">
        <v>4157</v>
      </c>
      <c r="B1921" s="6" t="s">
        <v>4151</v>
      </c>
      <c r="C1921" s="4" t="s">
        <v>705</v>
      </c>
      <c r="D1921" s="4">
        <v>6</v>
      </c>
      <c r="E1921" s="4" t="s">
        <v>4153</v>
      </c>
      <c r="F1921" s="4" t="s">
        <v>4158</v>
      </c>
    </row>
    <row r="1922" spans="1:6">
      <c r="A1922" s="4" t="s">
        <v>4159</v>
      </c>
      <c r="B1922" s="6" t="s">
        <v>4151</v>
      </c>
      <c r="C1922" s="4" t="s">
        <v>271</v>
      </c>
      <c r="D1922" s="4">
        <v>6</v>
      </c>
      <c r="E1922" s="4" t="s">
        <v>4153</v>
      </c>
      <c r="F1922" s="4" t="s">
        <v>4160</v>
      </c>
    </row>
    <row r="1923" spans="1:6">
      <c r="A1923" s="4" t="s">
        <v>4161</v>
      </c>
      <c r="B1923" s="6" t="s">
        <v>4151</v>
      </c>
      <c r="C1923" s="4" t="s">
        <v>87</v>
      </c>
      <c r="D1923" s="4">
        <v>9</v>
      </c>
      <c r="E1923" s="4" t="s">
        <v>4153</v>
      </c>
    </row>
    <row r="1924" spans="1:6">
      <c r="A1924" s="4" t="s">
        <v>4162</v>
      </c>
      <c r="B1924" s="6" t="s">
        <v>4151</v>
      </c>
      <c r="C1924" s="4" t="s">
        <v>470</v>
      </c>
      <c r="D1924" s="4">
        <v>8</v>
      </c>
      <c r="E1924" s="4" t="s">
        <v>4153</v>
      </c>
    </row>
    <row r="1925" spans="1:6">
      <c r="A1925" s="4" t="s">
        <v>4163</v>
      </c>
      <c r="B1925" s="6" t="s">
        <v>4164</v>
      </c>
      <c r="C1925" s="4" t="s">
        <v>27</v>
      </c>
      <c r="D1925" s="4">
        <v>10</v>
      </c>
      <c r="E1925" s="4" t="s">
        <v>4165</v>
      </c>
    </row>
    <row r="1926" spans="1:6">
      <c r="A1926" s="4" t="s">
        <v>4166</v>
      </c>
      <c r="B1926" s="6" t="s">
        <v>4164</v>
      </c>
      <c r="C1926" s="4" t="s">
        <v>27</v>
      </c>
      <c r="D1926" s="4">
        <v>10</v>
      </c>
      <c r="E1926" s="4" t="s">
        <v>4165</v>
      </c>
    </row>
    <row r="1927" spans="1:6">
      <c r="A1927" s="4" t="s">
        <v>4167</v>
      </c>
      <c r="B1927" s="6" t="s">
        <v>4168</v>
      </c>
      <c r="C1927" s="4" t="s">
        <v>76</v>
      </c>
      <c r="D1927" s="4">
        <v>17</v>
      </c>
      <c r="E1927" s="4" t="s">
        <v>3967</v>
      </c>
    </row>
    <row r="1928" spans="1:6">
      <c r="A1928" s="4" t="s">
        <v>4169</v>
      </c>
      <c r="B1928" s="6" t="s">
        <v>4168</v>
      </c>
      <c r="C1928" s="4" t="s">
        <v>992</v>
      </c>
      <c r="D1928" s="4">
        <v>10</v>
      </c>
      <c r="E1928" s="4" t="s">
        <v>3967</v>
      </c>
    </row>
    <row r="1929" spans="1:6">
      <c r="A1929" s="4" t="s">
        <v>4170</v>
      </c>
      <c r="B1929" s="6" t="s">
        <v>4171</v>
      </c>
      <c r="C1929" s="4" t="s">
        <v>315</v>
      </c>
      <c r="D1929" s="4">
        <v>13</v>
      </c>
      <c r="E1929" s="4" t="s">
        <v>4172</v>
      </c>
      <c r="F1929" s="4" t="s">
        <v>4173</v>
      </c>
    </row>
    <row r="1930" spans="1:6">
      <c r="A1930" s="4" t="s">
        <v>4174</v>
      </c>
      <c r="B1930" s="6" t="s">
        <v>4171</v>
      </c>
      <c r="C1930" s="4" t="s">
        <v>63</v>
      </c>
      <c r="D1930" s="4">
        <v>13</v>
      </c>
      <c r="E1930" s="4" t="s">
        <v>3964</v>
      </c>
      <c r="F1930" s="4" t="s">
        <v>4175</v>
      </c>
    </row>
    <row r="1931" spans="1:6">
      <c r="A1931" s="4" t="s">
        <v>4176</v>
      </c>
      <c r="B1931" s="6" t="s">
        <v>4171</v>
      </c>
      <c r="C1931" s="4" t="s">
        <v>63</v>
      </c>
      <c r="D1931" s="4">
        <v>15</v>
      </c>
      <c r="E1931" s="4" t="s">
        <v>3960</v>
      </c>
      <c r="F1931" s="4" t="s">
        <v>940</v>
      </c>
    </row>
    <row r="1932" spans="1:6">
      <c r="A1932" s="4" t="s">
        <v>4177</v>
      </c>
      <c r="B1932" s="6" t="s">
        <v>4171</v>
      </c>
      <c r="C1932" s="4" t="s">
        <v>4178</v>
      </c>
      <c r="D1932" s="4">
        <v>17</v>
      </c>
      <c r="E1932" s="4" t="s">
        <v>3964</v>
      </c>
      <c r="F1932" s="4" t="s">
        <v>4179</v>
      </c>
    </row>
    <row r="1933" spans="1:6">
      <c r="A1933" s="4" t="s">
        <v>4180</v>
      </c>
      <c r="B1933" s="6" t="s">
        <v>4171</v>
      </c>
      <c r="C1933" s="4" t="s">
        <v>254</v>
      </c>
      <c r="D1933" s="4">
        <v>7</v>
      </c>
      <c r="E1933" s="4" t="s">
        <v>3964</v>
      </c>
    </row>
    <row r="1934" spans="1:6">
      <c r="A1934" s="4" t="s">
        <v>4181</v>
      </c>
      <c r="B1934" s="6" t="s">
        <v>4171</v>
      </c>
      <c r="C1934" s="4" t="s">
        <v>81</v>
      </c>
      <c r="D1934" s="4">
        <v>8</v>
      </c>
      <c r="E1934" s="4" t="s">
        <v>3964</v>
      </c>
    </row>
    <row r="1935" spans="1:6">
      <c r="A1935" s="4" t="s">
        <v>4182</v>
      </c>
      <c r="B1935" s="6" t="s">
        <v>4171</v>
      </c>
      <c r="C1935" s="4" t="s">
        <v>218</v>
      </c>
      <c r="D1935" s="4">
        <v>9</v>
      </c>
      <c r="E1935" s="4" t="s">
        <v>3964</v>
      </c>
    </row>
    <row r="1936" spans="1:6">
      <c r="A1936" s="4" t="s">
        <v>4183</v>
      </c>
      <c r="B1936" s="6" t="s">
        <v>4171</v>
      </c>
      <c r="C1936" s="4" t="s">
        <v>53</v>
      </c>
      <c r="D1936" s="4">
        <v>21</v>
      </c>
      <c r="E1936" s="4" t="s">
        <v>3964</v>
      </c>
    </row>
    <row r="1937" spans="1:6">
      <c r="A1937" s="4" t="s">
        <v>4184</v>
      </c>
      <c r="B1937" s="6" t="s">
        <v>4171</v>
      </c>
      <c r="C1937" s="4" t="s">
        <v>427</v>
      </c>
      <c r="D1937" s="4">
        <v>11</v>
      </c>
      <c r="E1937" s="4" t="s">
        <v>3964</v>
      </c>
    </row>
    <row r="1938" spans="1:6">
      <c r="A1938" s="4" t="s">
        <v>4185</v>
      </c>
      <c r="B1938" s="6" t="s">
        <v>4171</v>
      </c>
      <c r="C1938" s="4" t="s">
        <v>92</v>
      </c>
      <c r="D1938" s="4">
        <v>20</v>
      </c>
      <c r="E1938" s="4" t="s">
        <v>3964</v>
      </c>
      <c r="F1938" s="4" t="s">
        <v>4179</v>
      </c>
    </row>
    <row r="1939" spans="1:6">
      <c r="A1939" s="4" t="s">
        <v>4186</v>
      </c>
      <c r="B1939" s="6" t="s">
        <v>4187</v>
      </c>
      <c r="C1939" s="4" t="s">
        <v>285</v>
      </c>
      <c r="D1939" s="4">
        <v>17</v>
      </c>
      <c r="E1939" s="4" t="s">
        <v>3960</v>
      </c>
      <c r="F1939" s="4" t="s">
        <v>4188</v>
      </c>
    </row>
    <row r="1940" spans="1:6">
      <c r="A1940" s="4" t="s">
        <v>4189</v>
      </c>
      <c r="B1940" s="6" t="s">
        <v>4190</v>
      </c>
      <c r="C1940" s="4" t="s">
        <v>104</v>
      </c>
      <c r="D1940" s="4">
        <v>14</v>
      </c>
      <c r="E1940" s="4" t="s">
        <v>4105</v>
      </c>
      <c r="F1940" s="4" t="s">
        <v>4191</v>
      </c>
    </row>
    <row r="1941" spans="1:6">
      <c r="A1941" s="4" t="s">
        <v>4192</v>
      </c>
      <c r="B1941" s="6" t="s">
        <v>4190</v>
      </c>
      <c r="C1941" s="4" t="s">
        <v>675</v>
      </c>
      <c r="D1941" s="4">
        <v>14</v>
      </c>
      <c r="E1941" s="4" t="s">
        <v>4105</v>
      </c>
    </row>
    <row r="1942" spans="1:6">
      <c r="A1942" s="4" t="s">
        <v>4193</v>
      </c>
      <c r="B1942" s="6" t="s">
        <v>4190</v>
      </c>
      <c r="C1942" s="4" t="s">
        <v>53</v>
      </c>
      <c r="D1942" s="4">
        <v>19</v>
      </c>
      <c r="E1942" s="4" t="s">
        <v>4105</v>
      </c>
    </row>
    <row r="1943" spans="1:6">
      <c r="A1943" s="4" t="s">
        <v>4194</v>
      </c>
      <c r="B1943" s="6" t="s">
        <v>4190</v>
      </c>
      <c r="C1943" s="4" t="s">
        <v>53</v>
      </c>
      <c r="D1943" s="4">
        <v>20</v>
      </c>
      <c r="E1943" s="4" t="s">
        <v>4105</v>
      </c>
    </row>
    <row r="1944" spans="1:6">
      <c r="A1944" s="4" t="s">
        <v>4195</v>
      </c>
      <c r="B1944" s="6" t="s">
        <v>4190</v>
      </c>
      <c r="C1944" s="4" t="s">
        <v>574</v>
      </c>
      <c r="D1944" s="4">
        <v>22</v>
      </c>
      <c r="E1944" s="4" t="s">
        <v>4105</v>
      </c>
      <c r="F1944" s="4" t="s">
        <v>1589</v>
      </c>
    </row>
    <row r="1945" spans="1:6">
      <c r="A1945" s="4" t="s">
        <v>4196</v>
      </c>
      <c r="B1945" s="6" t="s">
        <v>4190</v>
      </c>
      <c r="C1945" s="4" t="s">
        <v>485</v>
      </c>
      <c r="D1945" s="4">
        <v>20</v>
      </c>
      <c r="E1945" s="4" t="s">
        <v>4105</v>
      </c>
    </row>
    <row r="1946" spans="1:6">
      <c r="A1946" s="4" t="s">
        <v>4197</v>
      </c>
      <c r="B1946" s="6" t="s">
        <v>4198</v>
      </c>
      <c r="C1946" s="4" t="s">
        <v>427</v>
      </c>
      <c r="D1946" s="4">
        <v>17</v>
      </c>
      <c r="E1946" s="4" t="s">
        <v>3608</v>
      </c>
    </row>
    <row r="1947" spans="1:6">
      <c r="A1947" s="4" t="s">
        <v>4199</v>
      </c>
      <c r="B1947" s="6" t="s">
        <v>4198</v>
      </c>
      <c r="C1947" s="4" t="s">
        <v>76</v>
      </c>
      <c r="D1947" s="4">
        <v>16</v>
      </c>
      <c r="E1947" s="4" t="s">
        <v>4091</v>
      </c>
    </row>
    <row r="1948" spans="1:6">
      <c r="A1948" s="4" t="s">
        <v>4200</v>
      </c>
      <c r="B1948" s="6" t="s">
        <v>4201</v>
      </c>
      <c r="C1948" s="4" t="s">
        <v>87</v>
      </c>
      <c r="D1948" s="4">
        <v>12</v>
      </c>
      <c r="E1948" s="4" t="s">
        <v>4202</v>
      </c>
    </row>
    <row r="1949" spans="1:6">
      <c r="A1949" s="4" t="s">
        <v>4203</v>
      </c>
      <c r="B1949" s="6" t="s">
        <v>4201</v>
      </c>
      <c r="C1949" s="4" t="s">
        <v>34</v>
      </c>
      <c r="D1949" s="4">
        <v>23</v>
      </c>
      <c r="E1949" s="4" t="s">
        <v>4030</v>
      </c>
    </row>
    <row r="1950" spans="1:6">
      <c r="A1950" s="4" t="s">
        <v>4204</v>
      </c>
      <c r="B1950" s="6" t="s">
        <v>4201</v>
      </c>
      <c r="C1950" s="4" t="s">
        <v>53</v>
      </c>
      <c r="D1950" s="4">
        <v>23</v>
      </c>
      <c r="E1950" s="4" t="s">
        <v>3912</v>
      </c>
    </row>
    <row r="1951" spans="1:6">
      <c r="A1951" s="4" t="s">
        <v>4205</v>
      </c>
      <c r="B1951" s="6" t="s">
        <v>4201</v>
      </c>
      <c r="C1951" s="4" t="s">
        <v>132</v>
      </c>
      <c r="D1951" s="4">
        <v>30</v>
      </c>
      <c r="E1951" s="4" t="s">
        <v>3912</v>
      </c>
    </row>
    <row r="1952" spans="1:6">
      <c r="A1952" s="4" t="s">
        <v>4206</v>
      </c>
      <c r="B1952" s="6" t="s">
        <v>4201</v>
      </c>
      <c r="C1952" s="4" t="s">
        <v>87</v>
      </c>
      <c r="D1952" s="4">
        <v>25</v>
      </c>
      <c r="E1952" s="4" t="s">
        <v>4202</v>
      </c>
    </row>
    <row r="1953" spans="1:6">
      <c r="A1953" s="4" t="s">
        <v>4207</v>
      </c>
      <c r="B1953" s="6" t="s">
        <v>4201</v>
      </c>
      <c r="C1953" s="4" t="s">
        <v>285</v>
      </c>
      <c r="D1953" s="4">
        <v>22</v>
      </c>
      <c r="E1953" s="4" t="s">
        <v>3912</v>
      </c>
    </row>
    <row r="1954" spans="1:6">
      <c r="A1954" s="4" t="s">
        <v>4208</v>
      </c>
      <c r="B1954" s="6" t="s">
        <v>4201</v>
      </c>
      <c r="C1954" s="4" t="s">
        <v>464</v>
      </c>
      <c r="D1954" s="4">
        <v>9</v>
      </c>
      <c r="E1954" s="4" t="s">
        <v>4202</v>
      </c>
    </row>
    <row r="1955" spans="1:6">
      <c r="A1955" s="4" t="s">
        <v>4209</v>
      </c>
      <c r="B1955" s="6" t="s">
        <v>4201</v>
      </c>
      <c r="C1955" s="4" t="s">
        <v>464</v>
      </c>
      <c r="D1955" s="4">
        <v>22</v>
      </c>
      <c r="E1955" s="4" t="s">
        <v>4202</v>
      </c>
    </row>
    <row r="1956" spans="1:6">
      <c r="A1956" s="4" t="s">
        <v>4210</v>
      </c>
      <c r="B1956" s="6" t="s">
        <v>4211</v>
      </c>
      <c r="C1956" s="4" t="s">
        <v>271</v>
      </c>
      <c r="D1956" s="4">
        <v>8</v>
      </c>
      <c r="E1956" s="4" t="s">
        <v>4212</v>
      </c>
      <c r="F1956" s="4" t="s">
        <v>4213</v>
      </c>
    </row>
    <row r="1957" spans="1:6">
      <c r="A1957" s="4" t="s">
        <v>4214</v>
      </c>
      <c r="B1957" s="6" t="s">
        <v>4215</v>
      </c>
      <c r="C1957" s="4" t="s">
        <v>221</v>
      </c>
      <c r="D1957" s="4">
        <v>18</v>
      </c>
      <c r="E1957" s="4" t="s">
        <v>4091</v>
      </c>
      <c r="F1957" s="4" t="s">
        <v>4216</v>
      </c>
    </row>
    <row r="1958" spans="1:6">
      <c r="A1958" s="4" t="s">
        <v>4217</v>
      </c>
      <c r="B1958" s="6" t="s">
        <v>4218</v>
      </c>
      <c r="C1958" s="4" t="s">
        <v>182</v>
      </c>
      <c r="D1958" s="4">
        <v>7</v>
      </c>
      <c r="E1958" s="4" t="s">
        <v>3912</v>
      </c>
      <c r="F1958" s="4" t="s">
        <v>4219</v>
      </c>
    </row>
    <row r="1959" spans="1:6">
      <c r="A1959" s="4" t="s">
        <v>4220</v>
      </c>
      <c r="B1959" s="6" t="s">
        <v>4218</v>
      </c>
      <c r="C1959" s="4" t="s">
        <v>182</v>
      </c>
      <c r="D1959" s="4">
        <v>13</v>
      </c>
      <c r="E1959" s="4" t="s">
        <v>3912</v>
      </c>
      <c r="F1959" s="4" t="s">
        <v>4219</v>
      </c>
    </row>
    <row r="1960" spans="1:6">
      <c r="A1960" s="4" t="s">
        <v>4221</v>
      </c>
      <c r="B1960" s="6" t="s">
        <v>4222</v>
      </c>
      <c r="C1960" s="4" t="s">
        <v>19</v>
      </c>
      <c r="D1960" s="4">
        <v>11</v>
      </c>
      <c r="E1960" s="4" t="s">
        <v>4002</v>
      </c>
    </row>
    <row r="1961" spans="1:6">
      <c r="A1961" s="4" t="s">
        <v>4223</v>
      </c>
      <c r="B1961" s="6" t="s">
        <v>4222</v>
      </c>
      <c r="C1961" s="4" t="s">
        <v>3399</v>
      </c>
      <c r="D1961" s="4">
        <v>10</v>
      </c>
      <c r="E1961" s="4" t="s">
        <v>4224</v>
      </c>
      <c r="F1961" s="4" t="s">
        <v>4225</v>
      </c>
    </row>
    <row r="1962" spans="1:6">
      <c r="A1962" s="4" t="s">
        <v>4226</v>
      </c>
      <c r="B1962" s="6" t="s">
        <v>4222</v>
      </c>
      <c r="C1962" s="4" t="s">
        <v>285</v>
      </c>
      <c r="D1962" s="4">
        <v>15</v>
      </c>
      <c r="E1962" s="4" t="s">
        <v>4002</v>
      </c>
    </row>
    <row r="1963" spans="1:6">
      <c r="A1963" s="4" t="s">
        <v>3399</v>
      </c>
      <c r="B1963" s="6" t="s">
        <v>4227</v>
      </c>
      <c r="C1963" s="4" t="s">
        <v>3399</v>
      </c>
      <c r="D1963" s="4">
        <v>16</v>
      </c>
      <c r="E1963" s="4" t="s">
        <v>4002</v>
      </c>
    </row>
    <row r="1964" spans="1:6">
      <c r="A1964" s="4" t="s">
        <v>4228</v>
      </c>
      <c r="B1964" s="6" t="s">
        <v>4229</v>
      </c>
      <c r="C1964" s="4" t="s">
        <v>1569</v>
      </c>
      <c r="D1964" s="4">
        <v>14</v>
      </c>
      <c r="E1964" s="4" t="s">
        <v>721</v>
      </c>
      <c r="F1964" s="4" t="s">
        <v>4230</v>
      </c>
    </row>
    <row r="1965" spans="1:6">
      <c r="A1965" s="4" t="s">
        <v>4231</v>
      </c>
      <c r="B1965" s="6" t="s">
        <v>4232</v>
      </c>
      <c r="C1965" s="4" t="s">
        <v>686</v>
      </c>
      <c r="D1965" s="4">
        <v>8</v>
      </c>
      <c r="E1965" s="4" t="s">
        <v>4233</v>
      </c>
    </row>
    <row r="1966" spans="1:6">
      <c r="A1966" s="4" t="s">
        <v>4234</v>
      </c>
      <c r="B1966" s="6" t="s">
        <v>4232</v>
      </c>
      <c r="C1966" s="4" t="s">
        <v>53</v>
      </c>
      <c r="D1966" s="4">
        <v>20</v>
      </c>
      <c r="E1966" s="4" t="s">
        <v>4233</v>
      </c>
      <c r="F1966" s="4" t="s">
        <v>4235</v>
      </c>
    </row>
    <row r="1967" spans="1:6">
      <c r="A1967" s="4" t="s">
        <v>4236</v>
      </c>
      <c r="B1967" s="6" t="s">
        <v>4232</v>
      </c>
      <c r="C1967" s="4" t="s">
        <v>49</v>
      </c>
      <c r="D1967" s="4">
        <v>19</v>
      </c>
      <c r="E1967" s="4" t="s">
        <v>4233</v>
      </c>
    </row>
    <row r="1968" spans="1:6">
      <c r="A1968" s="4" t="s">
        <v>4237</v>
      </c>
      <c r="B1968" s="6" t="s">
        <v>4232</v>
      </c>
      <c r="C1968" s="4" t="s">
        <v>87</v>
      </c>
      <c r="D1968" s="4">
        <v>19</v>
      </c>
      <c r="E1968" s="4" t="s">
        <v>4233</v>
      </c>
    </row>
    <row r="1969" spans="1:6">
      <c r="A1969" s="4" t="s">
        <v>4238</v>
      </c>
      <c r="B1969" s="6" t="s">
        <v>4232</v>
      </c>
      <c r="C1969" s="4" t="s">
        <v>315</v>
      </c>
      <c r="D1969" s="4">
        <v>23</v>
      </c>
      <c r="E1969" s="4" t="s">
        <v>4239</v>
      </c>
      <c r="F1969" s="4" t="s">
        <v>4240</v>
      </c>
    </row>
    <row r="1970" spans="1:6">
      <c r="A1970" s="4" t="s">
        <v>4241</v>
      </c>
      <c r="B1970" s="6" t="s">
        <v>4242</v>
      </c>
      <c r="C1970" s="4" t="s">
        <v>63</v>
      </c>
      <c r="D1970" s="4">
        <v>13</v>
      </c>
      <c r="E1970" s="4" t="s">
        <v>3906</v>
      </c>
      <c r="F1970" s="4" t="s">
        <v>4243</v>
      </c>
    </row>
    <row r="1971" spans="1:6">
      <c r="A1971" s="4" t="s">
        <v>4244</v>
      </c>
      <c r="B1971" s="6" t="s">
        <v>4242</v>
      </c>
      <c r="C1971" s="4" t="s">
        <v>34</v>
      </c>
      <c r="D1971" s="4">
        <v>16</v>
      </c>
      <c r="E1971" s="4" t="s">
        <v>3906</v>
      </c>
    </row>
    <row r="1972" spans="1:6">
      <c r="A1972" s="4" t="s">
        <v>4245</v>
      </c>
      <c r="B1972" s="6" t="s">
        <v>4246</v>
      </c>
      <c r="C1972" s="4" t="s">
        <v>3181</v>
      </c>
      <c r="D1972" s="4">
        <v>13</v>
      </c>
      <c r="E1972" s="4" t="s">
        <v>4247</v>
      </c>
      <c r="F1972" s="4" t="s">
        <v>4248</v>
      </c>
    </row>
    <row r="1973" spans="1:6">
      <c r="A1973" s="4" t="s">
        <v>4249</v>
      </c>
      <c r="B1973" s="6" t="s">
        <v>4246</v>
      </c>
      <c r="C1973" s="4" t="s">
        <v>53</v>
      </c>
      <c r="D1973" s="4">
        <v>19</v>
      </c>
      <c r="E1973" s="4" t="s">
        <v>4233</v>
      </c>
      <c r="F1973" s="4" t="s">
        <v>4250</v>
      </c>
    </row>
    <row r="1974" spans="1:6">
      <c r="A1974" s="4" t="s">
        <v>4251</v>
      </c>
      <c r="B1974" s="6" t="s">
        <v>4246</v>
      </c>
      <c r="C1974" s="4" t="s">
        <v>4251</v>
      </c>
      <c r="D1974" s="4">
        <v>11</v>
      </c>
      <c r="E1974" s="4" t="s">
        <v>4233</v>
      </c>
    </row>
    <row r="1975" spans="1:6">
      <c r="A1975" s="4" t="s">
        <v>4252</v>
      </c>
      <c r="B1975" s="6" t="s">
        <v>4253</v>
      </c>
      <c r="C1975" s="4" t="s">
        <v>254</v>
      </c>
      <c r="D1975" s="4">
        <v>17</v>
      </c>
      <c r="E1975" s="4" t="s">
        <v>3906</v>
      </c>
    </row>
    <row r="1976" spans="1:6">
      <c r="A1976" s="4" t="s">
        <v>4254</v>
      </c>
      <c r="B1976" s="6" t="s">
        <v>4255</v>
      </c>
      <c r="C1976" s="4" t="s">
        <v>439</v>
      </c>
      <c r="D1976" s="4">
        <v>13</v>
      </c>
      <c r="E1976" s="4" t="s">
        <v>4233</v>
      </c>
      <c r="F1976" s="4" t="s">
        <v>4256</v>
      </c>
    </row>
    <row r="1977" spans="1:6">
      <c r="A1977" s="4" t="s">
        <v>4257</v>
      </c>
      <c r="B1977" s="6" t="s">
        <v>4255</v>
      </c>
      <c r="C1977" s="4" t="s">
        <v>63</v>
      </c>
      <c r="D1977" s="4">
        <v>21</v>
      </c>
      <c r="E1977" s="4" t="s">
        <v>4233</v>
      </c>
      <c r="F1977" s="4" t="s">
        <v>4258</v>
      </c>
    </row>
    <row r="1978" spans="1:6">
      <c r="A1978" s="4" t="s">
        <v>4259</v>
      </c>
      <c r="B1978" s="6" t="s">
        <v>4255</v>
      </c>
      <c r="C1978" s="4" t="s">
        <v>49</v>
      </c>
      <c r="D1978" s="4">
        <v>16</v>
      </c>
      <c r="E1978" s="4" t="s">
        <v>4233</v>
      </c>
      <c r="F1978" s="4" t="s">
        <v>4260</v>
      </c>
    </row>
    <row r="1979" spans="1:6">
      <c r="A1979" s="4" t="s">
        <v>4261</v>
      </c>
      <c r="B1979" s="6" t="s">
        <v>4255</v>
      </c>
      <c r="C1979" s="4" t="s">
        <v>132</v>
      </c>
      <c r="D1979" s="4">
        <v>24</v>
      </c>
      <c r="E1979" s="4" t="s">
        <v>4233</v>
      </c>
      <c r="F1979" s="4" t="s">
        <v>4262</v>
      </c>
    </row>
    <row r="1980" spans="1:6">
      <c r="A1980" s="4" t="s">
        <v>4263</v>
      </c>
      <c r="B1980" s="6" t="s">
        <v>4264</v>
      </c>
      <c r="C1980" s="4" t="s">
        <v>461</v>
      </c>
      <c r="D1980" s="4">
        <v>12</v>
      </c>
      <c r="E1980" s="4" t="s">
        <v>4265</v>
      </c>
    </row>
    <row r="1981" spans="1:6">
      <c r="A1981" s="4" t="s">
        <v>1231</v>
      </c>
      <c r="B1981" s="6" t="s">
        <v>4264</v>
      </c>
      <c r="C1981" s="4" t="s">
        <v>1231</v>
      </c>
      <c r="D1981" s="4">
        <v>11</v>
      </c>
      <c r="E1981" s="4" t="s">
        <v>4265</v>
      </c>
      <c r="F1981" s="4" t="s">
        <v>4266</v>
      </c>
    </row>
    <row r="1982" spans="1:6">
      <c r="A1982" s="4" t="s">
        <v>4267</v>
      </c>
      <c r="B1982" s="6" t="s">
        <v>4264</v>
      </c>
      <c r="C1982" s="4" t="s">
        <v>1231</v>
      </c>
      <c r="D1982" s="4">
        <v>19</v>
      </c>
      <c r="E1982" s="4" t="s">
        <v>4265</v>
      </c>
      <c r="F1982" s="4" t="s">
        <v>4268</v>
      </c>
    </row>
    <row r="1983" spans="1:6">
      <c r="A1983" s="4" t="s">
        <v>4269</v>
      </c>
      <c r="B1983" s="6" t="s">
        <v>4270</v>
      </c>
      <c r="C1983" s="4" t="s">
        <v>23</v>
      </c>
      <c r="D1983" s="4">
        <v>10</v>
      </c>
      <c r="E1983" s="4" t="s">
        <v>1439</v>
      </c>
    </row>
    <row r="1984" spans="1:6">
      <c r="A1984" s="4" t="s">
        <v>4271</v>
      </c>
      <c r="B1984" s="6" t="s">
        <v>4270</v>
      </c>
      <c r="C1984" s="4" t="s">
        <v>558</v>
      </c>
      <c r="D1984" s="4">
        <v>7</v>
      </c>
      <c r="E1984" s="4" t="s">
        <v>1439</v>
      </c>
      <c r="F1984" s="4" t="s">
        <v>4272</v>
      </c>
    </row>
    <row r="1985" spans="1:6">
      <c r="A1985" s="4" t="s">
        <v>4273</v>
      </c>
      <c r="B1985" s="6" t="s">
        <v>4274</v>
      </c>
      <c r="C1985" s="4" t="s">
        <v>271</v>
      </c>
      <c r="D1985" s="4">
        <v>7</v>
      </c>
      <c r="E1985" s="4" t="s">
        <v>3991</v>
      </c>
      <c r="F1985" s="4" t="s">
        <v>4275</v>
      </c>
    </row>
    <row r="1986" spans="1:6">
      <c r="A1986" s="4" t="s">
        <v>4276</v>
      </c>
      <c r="B1986" s="6" t="s">
        <v>4274</v>
      </c>
      <c r="C1986" s="4" t="s">
        <v>81</v>
      </c>
      <c r="D1986" s="4">
        <v>10</v>
      </c>
      <c r="E1986" s="4" t="s">
        <v>3991</v>
      </c>
    </row>
    <row r="1987" spans="1:6">
      <c r="A1987" s="4" t="s">
        <v>4277</v>
      </c>
      <c r="B1987" s="6" t="s">
        <v>4274</v>
      </c>
      <c r="C1987" s="4" t="s">
        <v>254</v>
      </c>
      <c r="D1987" s="4">
        <v>9</v>
      </c>
      <c r="E1987" s="4" t="s">
        <v>3991</v>
      </c>
    </row>
    <row r="1988" spans="1:6">
      <c r="A1988" s="4" t="s">
        <v>4278</v>
      </c>
      <c r="B1988" s="6" t="s">
        <v>4279</v>
      </c>
      <c r="C1988" s="4" t="s">
        <v>574</v>
      </c>
      <c r="D1988" s="4">
        <v>15</v>
      </c>
      <c r="E1988" s="4" t="s">
        <v>4016</v>
      </c>
      <c r="F1988" s="4" t="s">
        <v>4280</v>
      </c>
    </row>
    <row r="1989" spans="1:6">
      <c r="A1989" s="4" t="s">
        <v>4281</v>
      </c>
      <c r="B1989" s="6" t="s">
        <v>4279</v>
      </c>
      <c r="C1989" s="4" t="s">
        <v>254</v>
      </c>
      <c r="D1989" s="4">
        <v>10</v>
      </c>
      <c r="E1989" s="4" t="s">
        <v>4016</v>
      </c>
    </row>
    <row r="1990" spans="1:6">
      <c r="A1990" s="4" t="s">
        <v>4282</v>
      </c>
      <c r="B1990" s="6" t="s">
        <v>4279</v>
      </c>
      <c r="C1990" s="4" t="s">
        <v>254</v>
      </c>
      <c r="D1990" s="4">
        <v>8</v>
      </c>
      <c r="E1990" s="4" t="s">
        <v>4283</v>
      </c>
    </row>
    <row r="1991" spans="1:6">
      <c r="A1991" s="4" t="s">
        <v>4284</v>
      </c>
      <c r="B1991" s="6" t="s">
        <v>4279</v>
      </c>
      <c r="C1991" s="4" t="s">
        <v>285</v>
      </c>
      <c r="D1991" s="4">
        <v>11</v>
      </c>
      <c r="E1991" s="4" t="s">
        <v>4283</v>
      </c>
    </row>
    <row r="1992" spans="1:6">
      <c r="A1992" s="4" t="s">
        <v>4285</v>
      </c>
      <c r="B1992" s="6" t="s">
        <v>4279</v>
      </c>
      <c r="C1992" s="4" t="s">
        <v>285</v>
      </c>
      <c r="D1992" s="4">
        <v>11</v>
      </c>
      <c r="E1992" s="4" t="s">
        <v>4283</v>
      </c>
    </row>
    <row r="1993" spans="1:6">
      <c r="A1993" s="4" t="s">
        <v>4286</v>
      </c>
      <c r="B1993" s="6" t="s">
        <v>4287</v>
      </c>
      <c r="C1993" s="4" t="s">
        <v>37</v>
      </c>
      <c r="D1993" s="4">
        <v>15</v>
      </c>
      <c r="E1993" s="4" t="s">
        <v>4283</v>
      </c>
      <c r="F1993" s="4" t="s">
        <v>4288</v>
      </c>
    </row>
    <row r="1994" spans="1:6">
      <c r="A1994" s="4" t="s">
        <v>4289</v>
      </c>
      <c r="B1994" s="6" t="s">
        <v>4290</v>
      </c>
      <c r="C1994" s="4" t="s">
        <v>351</v>
      </c>
      <c r="D1994" s="4">
        <v>6</v>
      </c>
      <c r="E1994" s="4" t="s">
        <v>4291</v>
      </c>
    </row>
    <row r="1995" spans="1:6">
      <c r="A1995" s="4" t="s">
        <v>4292</v>
      </c>
      <c r="B1995" s="6" t="s">
        <v>4293</v>
      </c>
      <c r="C1995" s="4" t="s">
        <v>57</v>
      </c>
      <c r="D1995" s="4">
        <v>20</v>
      </c>
      <c r="E1995" s="4" t="s">
        <v>1439</v>
      </c>
    </row>
    <row r="1996" spans="1:6">
      <c r="A1996" s="4" t="s">
        <v>4294</v>
      </c>
      <c r="B1996" s="6" t="s">
        <v>4293</v>
      </c>
      <c r="C1996" s="4" t="s">
        <v>1282</v>
      </c>
      <c r="D1996" s="4">
        <v>22</v>
      </c>
      <c r="E1996" s="4" t="s">
        <v>1439</v>
      </c>
    </row>
    <row r="1997" spans="1:6">
      <c r="A1997" s="4" t="s">
        <v>4295</v>
      </c>
      <c r="B1997" s="6" t="s">
        <v>4293</v>
      </c>
      <c r="C1997" s="4" t="s">
        <v>403</v>
      </c>
      <c r="D1997" s="4">
        <v>21</v>
      </c>
      <c r="E1997" s="4" t="s">
        <v>4038</v>
      </c>
      <c r="F1997" s="4" t="s">
        <v>4296</v>
      </c>
    </row>
    <row r="1998" spans="1:6">
      <c r="A1998" s="4" t="s">
        <v>4297</v>
      </c>
      <c r="B1998" s="6" t="s">
        <v>4298</v>
      </c>
      <c r="C1998" s="4" t="s">
        <v>1851</v>
      </c>
      <c r="D1998" s="4">
        <v>19</v>
      </c>
      <c r="E1998" s="4" t="s">
        <v>4091</v>
      </c>
    </row>
    <row r="1999" spans="1:6">
      <c r="A1999" s="4" t="s">
        <v>4299</v>
      </c>
      <c r="B1999" s="6" t="s">
        <v>4300</v>
      </c>
      <c r="C1999" s="4" t="s">
        <v>81</v>
      </c>
      <c r="D1999" s="4">
        <v>10</v>
      </c>
      <c r="E1999" s="4" t="s">
        <v>4030</v>
      </c>
      <c r="F1999" s="4" t="s">
        <v>4301</v>
      </c>
    </row>
    <row r="2000" spans="1:6">
      <c r="A2000" s="4" t="s">
        <v>4302</v>
      </c>
      <c r="B2000" s="6" t="s">
        <v>4300</v>
      </c>
      <c r="C2000" s="4" t="s">
        <v>81</v>
      </c>
      <c r="D2000" s="4">
        <v>23</v>
      </c>
      <c r="E2000" s="4" t="s">
        <v>4030</v>
      </c>
      <c r="F2000" s="4" t="s">
        <v>4301</v>
      </c>
    </row>
    <row r="2001" spans="1:6">
      <c r="A2001" s="4" t="s">
        <v>4303</v>
      </c>
      <c r="B2001" s="6" t="s">
        <v>4304</v>
      </c>
      <c r="C2001" s="4" t="s">
        <v>301</v>
      </c>
      <c r="D2001" s="4">
        <v>14</v>
      </c>
      <c r="E2001" s="4" t="s">
        <v>4030</v>
      </c>
      <c r="F2001" s="4" t="s">
        <v>4305</v>
      </c>
    </row>
    <row r="2002" spans="1:6">
      <c r="A2002" s="4" t="s">
        <v>4306</v>
      </c>
      <c r="B2002" s="6" t="s">
        <v>4304</v>
      </c>
      <c r="C2002" s="4" t="s">
        <v>315</v>
      </c>
      <c r="D2002" s="4">
        <v>16</v>
      </c>
      <c r="E2002" s="4" t="s">
        <v>4030</v>
      </c>
    </row>
    <row r="2003" spans="1:6">
      <c r="A2003" s="4" t="s">
        <v>4307</v>
      </c>
      <c r="B2003" s="6" t="s">
        <v>4304</v>
      </c>
      <c r="C2003" s="4" t="s">
        <v>53</v>
      </c>
      <c r="D2003" s="4">
        <v>13</v>
      </c>
      <c r="E2003" s="4" t="s">
        <v>4030</v>
      </c>
    </row>
    <row r="2004" spans="1:6">
      <c r="A2004" s="4" t="s">
        <v>4308</v>
      </c>
      <c r="B2004" s="6" t="s">
        <v>4304</v>
      </c>
      <c r="C2004" s="4" t="s">
        <v>686</v>
      </c>
      <c r="D2004" s="4">
        <v>12</v>
      </c>
      <c r="E2004" s="4" t="s">
        <v>4030</v>
      </c>
    </row>
    <row r="2005" spans="1:6">
      <c r="A2005" s="4" t="s">
        <v>4309</v>
      </c>
      <c r="B2005" s="6" t="s">
        <v>4310</v>
      </c>
      <c r="C2005" s="4" t="s">
        <v>605</v>
      </c>
      <c r="D2005" s="4">
        <v>12</v>
      </c>
      <c r="E2005" s="4" t="s">
        <v>4311</v>
      </c>
      <c r="F2005" s="4" t="s">
        <v>4312</v>
      </c>
    </row>
    <row r="2006" spans="1:6">
      <c r="A2006" s="4" t="s">
        <v>4313</v>
      </c>
      <c r="B2006" s="6" t="s">
        <v>4314</v>
      </c>
      <c r="C2006" s="4" t="s">
        <v>27</v>
      </c>
      <c r="D2006" s="4">
        <v>19</v>
      </c>
      <c r="E2006" s="4" t="s">
        <v>4315</v>
      </c>
    </row>
    <row r="2007" spans="1:6">
      <c r="A2007" s="4" t="s">
        <v>4316</v>
      </c>
      <c r="B2007" s="6" t="s">
        <v>4317</v>
      </c>
      <c r="C2007" s="4" t="s">
        <v>301</v>
      </c>
      <c r="D2007" s="4">
        <v>11</v>
      </c>
      <c r="E2007" s="4" t="s">
        <v>4091</v>
      </c>
    </row>
    <row r="2008" spans="1:6">
      <c r="A2008" s="4" t="s">
        <v>4318</v>
      </c>
      <c r="B2008" s="6" t="s">
        <v>4317</v>
      </c>
      <c r="C2008" s="4" t="s">
        <v>27</v>
      </c>
      <c r="D2008" s="4">
        <v>12</v>
      </c>
      <c r="E2008" s="4" t="s">
        <v>4091</v>
      </c>
    </row>
    <row r="2009" spans="1:6">
      <c r="A2009" s="4" t="s">
        <v>4319</v>
      </c>
      <c r="B2009" s="6" t="s">
        <v>4320</v>
      </c>
      <c r="C2009" s="4" t="s">
        <v>317</v>
      </c>
      <c r="D2009" s="4">
        <v>4</v>
      </c>
      <c r="E2009" s="4" t="s">
        <v>4321</v>
      </c>
      <c r="F2009" s="4" t="s">
        <v>4322</v>
      </c>
    </row>
    <row r="2010" spans="1:6">
      <c r="A2010" s="4" t="s">
        <v>4323</v>
      </c>
      <c r="B2010" s="6" t="s">
        <v>4320</v>
      </c>
      <c r="C2010" s="4" t="s">
        <v>301</v>
      </c>
      <c r="D2010" s="4">
        <v>14</v>
      </c>
      <c r="E2010" s="4" t="s">
        <v>4324</v>
      </c>
      <c r="F2010" s="4" t="s">
        <v>4325</v>
      </c>
    </row>
    <row r="2011" spans="1:6">
      <c r="A2011" s="4" t="s">
        <v>4326</v>
      </c>
      <c r="B2011" s="6" t="s">
        <v>4320</v>
      </c>
      <c r="C2011" s="4" t="s">
        <v>315</v>
      </c>
      <c r="D2011" s="4">
        <v>16</v>
      </c>
      <c r="E2011" s="4" t="s">
        <v>4265</v>
      </c>
    </row>
    <row r="2012" spans="1:6">
      <c r="A2012" s="4" t="s">
        <v>4327</v>
      </c>
      <c r="B2012" s="6" t="s">
        <v>4320</v>
      </c>
      <c r="C2012" s="4" t="s">
        <v>19</v>
      </c>
      <c r="D2012" s="4">
        <v>11</v>
      </c>
      <c r="E2012" s="4" t="s">
        <v>4328</v>
      </c>
    </row>
    <row r="2013" spans="1:6">
      <c r="A2013" s="4" t="s">
        <v>4329</v>
      </c>
      <c r="B2013" s="6" t="s">
        <v>4320</v>
      </c>
      <c r="C2013" s="4" t="s">
        <v>1078</v>
      </c>
      <c r="D2013" s="4">
        <v>15</v>
      </c>
      <c r="E2013" s="4" t="s">
        <v>4328</v>
      </c>
    </row>
    <row r="2014" spans="1:6">
      <c r="A2014" s="4" t="s">
        <v>4330</v>
      </c>
      <c r="B2014" s="6" t="s">
        <v>4320</v>
      </c>
      <c r="C2014" s="4" t="s">
        <v>705</v>
      </c>
      <c r="D2014" s="4">
        <v>13</v>
      </c>
      <c r="E2014" s="4" t="s">
        <v>4328</v>
      </c>
    </row>
    <row r="2015" spans="1:6">
      <c r="A2015" s="4" t="s">
        <v>4331</v>
      </c>
      <c r="B2015" s="6" t="s">
        <v>4332</v>
      </c>
      <c r="C2015" s="4" t="s">
        <v>53</v>
      </c>
      <c r="D2015" s="4">
        <v>8</v>
      </c>
      <c r="E2015" s="4" t="s">
        <v>4233</v>
      </c>
    </row>
    <row r="2016" spans="1:6">
      <c r="A2016" s="4" t="s">
        <v>4333</v>
      </c>
      <c r="B2016" s="6" t="s">
        <v>4332</v>
      </c>
      <c r="C2016" s="4" t="s">
        <v>53</v>
      </c>
      <c r="D2016" s="4">
        <v>19</v>
      </c>
      <c r="E2016" s="4" t="s">
        <v>4239</v>
      </c>
    </row>
    <row r="2017" spans="1:6">
      <c r="A2017" s="4" t="s">
        <v>4334</v>
      </c>
      <c r="B2017" s="6" t="s">
        <v>4332</v>
      </c>
      <c r="C2017" s="4" t="s">
        <v>268</v>
      </c>
      <c r="D2017" s="4">
        <v>26</v>
      </c>
      <c r="E2017" s="4" t="s">
        <v>4239</v>
      </c>
    </row>
    <row r="2018" spans="1:6">
      <c r="A2018" s="4" t="s">
        <v>4335</v>
      </c>
      <c r="B2018" s="6" t="s">
        <v>4332</v>
      </c>
      <c r="C2018" s="4" t="s">
        <v>221</v>
      </c>
      <c r="D2018" s="4">
        <v>25</v>
      </c>
      <c r="E2018" s="4" t="s">
        <v>4233</v>
      </c>
    </row>
    <row r="2019" spans="1:6">
      <c r="A2019" s="4" t="s">
        <v>4336</v>
      </c>
      <c r="B2019" s="6" t="s">
        <v>4332</v>
      </c>
      <c r="C2019" s="4" t="s">
        <v>41</v>
      </c>
      <c r="D2019" s="4">
        <v>16</v>
      </c>
      <c r="E2019" s="4" t="s">
        <v>4233</v>
      </c>
    </row>
    <row r="2020" spans="1:6">
      <c r="A2020" s="4" t="s">
        <v>4337</v>
      </c>
      <c r="B2020" s="6" t="s">
        <v>4338</v>
      </c>
      <c r="C2020" s="4" t="s">
        <v>87</v>
      </c>
      <c r="D2020" s="4">
        <v>11</v>
      </c>
      <c r="E2020" s="4" t="s">
        <v>3967</v>
      </c>
      <c r="F2020" s="4" t="s">
        <v>4339</v>
      </c>
    </row>
    <row r="2021" spans="1:6">
      <c r="A2021" s="4" t="s">
        <v>4340</v>
      </c>
      <c r="B2021" s="6" t="s">
        <v>4338</v>
      </c>
      <c r="C2021" s="4" t="s">
        <v>4341</v>
      </c>
      <c r="D2021" s="4">
        <v>7</v>
      </c>
      <c r="E2021" s="4" t="s">
        <v>3967</v>
      </c>
      <c r="F2021" s="4" t="s">
        <v>4342</v>
      </c>
    </row>
    <row r="2022" spans="1:6">
      <c r="A2022" s="4" t="s">
        <v>4343</v>
      </c>
      <c r="B2022" s="6" t="s">
        <v>4338</v>
      </c>
      <c r="C2022" s="4" t="s">
        <v>53</v>
      </c>
      <c r="D2022" s="4">
        <v>11</v>
      </c>
      <c r="E2022" s="4" t="s">
        <v>3967</v>
      </c>
      <c r="F2022" s="4" t="s">
        <v>4344</v>
      </c>
    </row>
    <row r="2023" spans="1:6">
      <c r="A2023" s="4" t="s">
        <v>4345</v>
      </c>
      <c r="B2023" s="6" t="s">
        <v>4338</v>
      </c>
      <c r="C2023" s="4" t="s">
        <v>470</v>
      </c>
      <c r="D2023" s="4">
        <v>10</v>
      </c>
      <c r="E2023" s="4" t="s">
        <v>3967</v>
      </c>
      <c r="F2023" s="4" t="s">
        <v>4339</v>
      </c>
    </row>
    <row r="2024" spans="1:6">
      <c r="A2024" s="4" t="s">
        <v>4346</v>
      </c>
      <c r="B2024" s="6" t="s">
        <v>4347</v>
      </c>
      <c r="C2024" s="4" t="s">
        <v>254</v>
      </c>
      <c r="D2024" s="4">
        <v>10</v>
      </c>
      <c r="E2024" s="4" t="s">
        <v>3967</v>
      </c>
    </row>
    <row r="2025" spans="1:6">
      <c r="A2025" s="4" t="s">
        <v>4348</v>
      </c>
      <c r="B2025" s="6" t="s">
        <v>4349</v>
      </c>
      <c r="C2025" s="4" t="s">
        <v>448</v>
      </c>
      <c r="D2025" s="4">
        <v>6</v>
      </c>
      <c r="E2025" s="4" t="s">
        <v>3967</v>
      </c>
    </row>
    <row r="2026" spans="1:6">
      <c r="A2026" s="4" t="s">
        <v>4350</v>
      </c>
      <c r="B2026" s="6" t="s">
        <v>4349</v>
      </c>
      <c r="C2026" s="4" t="s">
        <v>1749</v>
      </c>
      <c r="D2026" s="4">
        <v>8</v>
      </c>
      <c r="E2026" s="4" t="s">
        <v>3967</v>
      </c>
    </row>
    <row r="2027" spans="1:6">
      <c r="A2027" s="4" t="s">
        <v>4351</v>
      </c>
      <c r="B2027" s="6" t="s">
        <v>4352</v>
      </c>
      <c r="C2027" s="4" t="s">
        <v>420</v>
      </c>
      <c r="D2027" s="4">
        <v>11</v>
      </c>
      <c r="E2027" s="4" t="s">
        <v>4353</v>
      </c>
    </row>
    <row r="2028" spans="1:6">
      <c r="A2028" s="4" t="s">
        <v>4354</v>
      </c>
      <c r="B2028" s="6" t="s">
        <v>4352</v>
      </c>
      <c r="C2028" s="4" t="s">
        <v>34</v>
      </c>
      <c r="D2028" s="4">
        <v>11</v>
      </c>
      <c r="E2028" s="4" t="s">
        <v>4353</v>
      </c>
      <c r="F2028" s="4" t="s">
        <v>4355</v>
      </c>
    </row>
    <row r="2029" spans="1:6">
      <c r="A2029" s="4" t="s">
        <v>4356</v>
      </c>
      <c r="B2029" s="6" t="s">
        <v>4357</v>
      </c>
      <c r="C2029" s="4" t="s">
        <v>1211</v>
      </c>
      <c r="D2029" s="4">
        <v>18</v>
      </c>
      <c r="E2029" s="4" t="s">
        <v>3967</v>
      </c>
      <c r="F2029" s="4" t="s">
        <v>4358</v>
      </c>
    </row>
    <row r="2030" spans="1:6">
      <c r="A2030" s="4" t="s">
        <v>4359</v>
      </c>
      <c r="B2030" s="6" t="s">
        <v>4357</v>
      </c>
      <c r="C2030" s="4" t="s">
        <v>1560</v>
      </c>
      <c r="D2030" s="4">
        <v>12</v>
      </c>
      <c r="E2030" s="4" t="s">
        <v>3967</v>
      </c>
      <c r="F2030" s="4" t="s">
        <v>4360</v>
      </c>
    </row>
    <row r="2031" spans="1:6">
      <c r="A2031" s="4" t="s">
        <v>4361</v>
      </c>
      <c r="B2031" s="6" t="s">
        <v>4357</v>
      </c>
      <c r="C2031" s="4" t="s">
        <v>37</v>
      </c>
      <c r="D2031" s="4">
        <v>15</v>
      </c>
      <c r="E2031" s="4" t="s">
        <v>3967</v>
      </c>
    </row>
    <row r="2032" spans="1:6">
      <c r="A2032" s="4" t="s">
        <v>4362</v>
      </c>
      <c r="B2032" s="6" t="s">
        <v>4357</v>
      </c>
      <c r="C2032" s="4" t="s">
        <v>405</v>
      </c>
      <c r="D2032" s="4">
        <v>9</v>
      </c>
      <c r="E2032" s="4" t="s">
        <v>3967</v>
      </c>
    </row>
    <row r="2033" spans="1:6">
      <c r="A2033" s="4" t="s">
        <v>4363</v>
      </c>
      <c r="B2033" s="6" t="s">
        <v>4357</v>
      </c>
      <c r="C2033" s="4" t="s">
        <v>3168</v>
      </c>
      <c r="D2033" s="4">
        <v>18</v>
      </c>
      <c r="E2033" s="4" t="s">
        <v>3967</v>
      </c>
    </row>
    <row r="2034" spans="1:6">
      <c r="A2034" s="4" t="s">
        <v>4364</v>
      </c>
      <c r="B2034" s="6" t="s">
        <v>4357</v>
      </c>
      <c r="C2034" s="4" t="s">
        <v>23</v>
      </c>
      <c r="D2034" s="4">
        <v>12</v>
      </c>
      <c r="E2034" s="4" t="s">
        <v>3967</v>
      </c>
    </row>
    <row r="2035" spans="1:6">
      <c r="A2035" s="4" t="s">
        <v>4365</v>
      </c>
      <c r="B2035" s="6" t="s">
        <v>4366</v>
      </c>
      <c r="C2035" s="4" t="s">
        <v>87</v>
      </c>
      <c r="D2035" s="4">
        <v>10</v>
      </c>
      <c r="E2035" s="4" t="s">
        <v>4367</v>
      </c>
      <c r="F2035" s="4" t="s">
        <v>4368</v>
      </c>
    </row>
    <row r="2036" spans="1:6">
      <c r="A2036" s="4" t="s">
        <v>4369</v>
      </c>
      <c r="B2036" s="6" t="s">
        <v>4366</v>
      </c>
      <c r="C2036" s="4" t="s">
        <v>420</v>
      </c>
      <c r="D2036" s="4">
        <v>10</v>
      </c>
      <c r="E2036" s="4" t="s">
        <v>4367</v>
      </c>
      <c r="F2036" s="4" t="s">
        <v>409</v>
      </c>
    </row>
    <row r="2037" spans="1:6">
      <c r="A2037" s="4" t="s">
        <v>4370</v>
      </c>
      <c r="B2037" s="6" t="s">
        <v>4366</v>
      </c>
      <c r="C2037" s="4" t="s">
        <v>485</v>
      </c>
      <c r="D2037" s="4">
        <v>12</v>
      </c>
      <c r="E2037" s="4" t="s">
        <v>4002</v>
      </c>
    </row>
    <row r="2038" spans="1:6">
      <c r="A2038" s="4" t="s">
        <v>4371</v>
      </c>
      <c r="B2038" s="6" t="s">
        <v>4366</v>
      </c>
      <c r="C2038" s="4" t="s">
        <v>271</v>
      </c>
      <c r="D2038" s="4">
        <v>15</v>
      </c>
      <c r="E2038" s="4" t="s">
        <v>4002</v>
      </c>
    </row>
    <row r="2039" spans="1:6">
      <c r="A2039" s="4" t="s">
        <v>4372</v>
      </c>
      <c r="B2039" s="6" t="s">
        <v>4366</v>
      </c>
      <c r="C2039" s="4" t="s">
        <v>57</v>
      </c>
      <c r="D2039" s="4">
        <v>14</v>
      </c>
      <c r="E2039" s="4" t="s">
        <v>4367</v>
      </c>
    </row>
    <row r="2040" spans="1:6">
      <c r="A2040" s="4" t="s">
        <v>4373</v>
      </c>
      <c r="B2040" s="6" t="s">
        <v>4366</v>
      </c>
      <c r="C2040" s="4" t="s">
        <v>296</v>
      </c>
      <c r="D2040" s="4">
        <v>13</v>
      </c>
      <c r="E2040" s="4" t="s">
        <v>4002</v>
      </c>
    </row>
    <row r="2041" spans="1:6">
      <c r="A2041" s="4" t="s">
        <v>4374</v>
      </c>
      <c r="B2041" s="6" t="s">
        <v>4366</v>
      </c>
      <c r="C2041" s="4" t="s">
        <v>57</v>
      </c>
      <c r="D2041" s="4">
        <v>11</v>
      </c>
      <c r="E2041" s="4" t="s">
        <v>4002</v>
      </c>
    </row>
    <row r="2042" spans="1:6">
      <c r="A2042" s="4" t="s">
        <v>4375</v>
      </c>
      <c r="B2042" s="6" t="s">
        <v>4366</v>
      </c>
      <c r="C2042" s="4" t="s">
        <v>23</v>
      </c>
      <c r="D2042" s="4">
        <v>18</v>
      </c>
      <c r="E2042" s="4" t="s">
        <v>4002</v>
      </c>
    </row>
    <row r="2043" spans="1:6">
      <c r="A2043" s="4" t="s">
        <v>4376</v>
      </c>
      <c r="B2043" s="6" t="s">
        <v>4377</v>
      </c>
      <c r="C2043" s="4" t="s">
        <v>296</v>
      </c>
      <c r="D2043" s="4">
        <v>10</v>
      </c>
      <c r="E2043" s="4" t="s">
        <v>4247</v>
      </c>
      <c r="F2043" s="4" t="s">
        <v>2432</v>
      </c>
    </row>
    <row r="2044" spans="1:6">
      <c r="A2044" s="4" t="s">
        <v>4378</v>
      </c>
      <c r="B2044" s="6" t="s">
        <v>4377</v>
      </c>
      <c r="C2044" s="4" t="s">
        <v>23</v>
      </c>
      <c r="D2044" s="4">
        <v>7</v>
      </c>
      <c r="E2044" s="4" t="s">
        <v>4239</v>
      </c>
    </row>
    <row r="2045" spans="1:6">
      <c r="A2045" s="4" t="s">
        <v>4379</v>
      </c>
      <c r="B2045" s="6" t="s">
        <v>4377</v>
      </c>
      <c r="C2045" s="4" t="s">
        <v>53</v>
      </c>
      <c r="D2045" s="4">
        <v>11</v>
      </c>
      <c r="E2045" s="4" t="s">
        <v>4239</v>
      </c>
    </row>
    <row r="2046" spans="1:6">
      <c r="A2046" s="4" t="s">
        <v>4380</v>
      </c>
      <c r="B2046" s="6" t="s">
        <v>4377</v>
      </c>
      <c r="C2046" s="4" t="s">
        <v>254</v>
      </c>
      <c r="D2046" s="4">
        <v>9</v>
      </c>
      <c r="E2046" s="4" t="s">
        <v>4239</v>
      </c>
    </row>
    <row r="2047" spans="1:6">
      <c r="A2047" s="4" t="s">
        <v>4381</v>
      </c>
      <c r="B2047" s="6" t="s">
        <v>4382</v>
      </c>
      <c r="C2047" s="4" t="s">
        <v>81</v>
      </c>
      <c r="D2047" s="4">
        <v>15</v>
      </c>
      <c r="E2047" s="4" t="s">
        <v>4247</v>
      </c>
      <c r="F2047" s="4" t="s">
        <v>4383</v>
      </c>
    </row>
    <row r="2048" spans="1:6">
      <c r="A2048" s="4" t="s">
        <v>4384</v>
      </c>
      <c r="B2048" s="6" t="s">
        <v>4382</v>
      </c>
      <c r="C2048" s="4" t="s">
        <v>87</v>
      </c>
      <c r="D2048" s="4">
        <v>18</v>
      </c>
      <c r="E2048" s="4" t="s">
        <v>4233</v>
      </c>
      <c r="F2048" s="4" t="s">
        <v>4385</v>
      </c>
    </row>
    <row r="2049" spans="1:6">
      <c r="A2049" s="4" t="s">
        <v>705</v>
      </c>
      <c r="B2049" s="6" t="s">
        <v>4386</v>
      </c>
      <c r="C2049" s="4" t="s">
        <v>705</v>
      </c>
      <c r="D2049" s="4">
        <v>2</v>
      </c>
      <c r="E2049" s="4" t="s">
        <v>4387</v>
      </c>
      <c r="F2049" s="4" t="s">
        <v>4388</v>
      </c>
    </row>
    <row r="2050" spans="1:6">
      <c r="A2050" s="4" t="s">
        <v>4389</v>
      </c>
      <c r="B2050" s="6" t="s">
        <v>4390</v>
      </c>
      <c r="C2050" s="4" t="s">
        <v>87</v>
      </c>
      <c r="D2050" s="4">
        <v>13</v>
      </c>
      <c r="E2050" s="4" t="s">
        <v>4367</v>
      </c>
      <c r="F2050" s="4" t="s">
        <v>4391</v>
      </c>
    </row>
    <row r="2051" spans="1:6">
      <c r="A2051" s="4" t="s">
        <v>4392</v>
      </c>
      <c r="B2051" s="6" t="s">
        <v>4390</v>
      </c>
      <c r="C2051" s="4" t="s">
        <v>53</v>
      </c>
      <c r="D2051" s="4">
        <v>14</v>
      </c>
      <c r="E2051" s="4" t="s">
        <v>4367</v>
      </c>
    </row>
    <row r="2052" spans="1:6">
      <c r="A2052" s="4" t="s">
        <v>4393</v>
      </c>
      <c r="B2052" s="6" t="s">
        <v>4390</v>
      </c>
      <c r="C2052" s="4" t="s">
        <v>76</v>
      </c>
      <c r="D2052" s="4">
        <v>15</v>
      </c>
      <c r="E2052" s="4" t="s">
        <v>4002</v>
      </c>
      <c r="F2052" s="4" t="s">
        <v>4394</v>
      </c>
    </row>
    <row r="2053" spans="1:6">
      <c r="A2053" s="4" t="s">
        <v>4395</v>
      </c>
      <c r="B2053" s="6" t="s">
        <v>4396</v>
      </c>
      <c r="C2053" s="4" t="s">
        <v>1106</v>
      </c>
      <c r="D2053" s="4">
        <v>19</v>
      </c>
      <c r="E2053" s="4" t="s">
        <v>3991</v>
      </c>
      <c r="F2053" s="4" t="s">
        <v>4397</v>
      </c>
    </row>
    <row r="2054" spans="1:6">
      <c r="A2054" s="4" t="s">
        <v>4398</v>
      </c>
      <c r="B2054" s="6" t="s">
        <v>4399</v>
      </c>
      <c r="C2054" s="4" t="s">
        <v>870</v>
      </c>
      <c r="D2054" s="4">
        <v>14</v>
      </c>
      <c r="F2054" s="4" t="s">
        <v>4400</v>
      </c>
    </row>
    <row r="2055" spans="1:6">
      <c r="A2055" s="4" t="s">
        <v>4401</v>
      </c>
      <c r="B2055" s="6" t="s">
        <v>4396</v>
      </c>
      <c r="C2055" s="4" t="s">
        <v>57</v>
      </c>
      <c r="D2055" s="4">
        <v>15</v>
      </c>
      <c r="E2055" s="4" t="s">
        <v>3991</v>
      </c>
    </row>
    <row r="2056" spans="1:6">
      <c r="A2056" s="4" t="s">
        <v>4402</v>
      </c>
      <c r="B2056" s="6" t="s">
        <v>4396</v>
      </c>
      <c r="C2056" s="4" t="s">
        <v>390</v>
      </c>
      <c r="D2056" s="4">
        <v>16</v>
      </c>
      <c r="E2056" s="4" t="s">
        <v>3991</v>
      </c>
      <c r="F2056" s="4" t="s">
        <v>4403</v>
      </c>
    </row>
    <row r="2057" spans="1:6">
      <c r="A2057" s="4" t="s">
        <v>4404</v>
      </c>
      <c r="B2057" s="6" t="s">
        <v>4396</v>
      </c>
      <c r="C2057" s="4" t="s">
        <v>1248</v>
      </c>
      <c r="D2057" s="4">
        <v>10</v>
      </c>
      <c r="E2057" s="4" t="s">
        <v>3991</v>
      </c>
      <c r="F2057" s="4" t="s">
        <v>4405</v>
      </c>
    </row>
    <row r="2058" spans="1:6">
      <c r="A2058" s="4" t="s">
        <v>4406</v>
      </c>
      <c r="B2058" s="6" t="s">
        <v>4407</v>
      </c>
      <c r="C2058" s="4" t="s">
        <v>1560</v>
      </c>
      <c r="D2058" s="4">
        <v>18</v>
      </c>
      <c r="E2058" s="4" t="s">
        <v>3991</v>
      </c>
    </row>
    <row r="2059" spans="1:6">
      <c r="A2059" s="4" t="s">
        <v>4408</v>
      </c>
      <c r="B2059" s="6" t="s">
        <v>4409</v>
      </c>
      <c r="C2059" s="4" t="s">
        <v>95</v>
      </c>
      <c r="D2059" s="4">
        <v>9</v>
      </c>
      <c r="E2059" s="4" t="s">
        <v>4016</v>
      </c>
    </row>
    <row r="2060" spans="1:6">
      <c r="A2060" s="4" t="s">
        <v>4410</v>
      </c>
      <c r="B2060" s="6" t="s">
        <v>4409</v>
      </c>
      <c r="C2060" s="4" t="s">
        <v>403</v>
      </c>
      <c r="D2060" s="4">
        <v>25</v>
      </c>
      <c r="E2060" s="4" t="s">
        <v>3991</v>
      </c>
    </row>
    <row r="2061" spans="1:6">
      <c r="A2061" s="4" t="s">
        <v>4411</v>
      </c>
      <c r="B2061" s="6" t="s">
        <v>4409</v>
      </c>
      <c r="C2061" s="4" t="s">
        <v>87</v>
      </c>
      <c r="D2061" s="4">
        <v>14</v>
      </c>
      <c r="E2061" s="4" t="s">
        <v>3991</v>
      </c>
    </row>
    <row r="2062" spans="1:6">
      <c r="A2062" s="4" t="s">
        <v>4412</v>
      </c>
      <c r="B2062" s="6" t="s">
        <v>4413</v>
      </c>
      <c r="C2062" s="4" t="s">
        <v>57</v>
      </c>
      <c r="D2062" s="4">
        <v>11</v>
      </c>
      <c r="E2062" s="4" t="s">
        <v>3991</v>
      </c>
    </row>
    <row r="2063" spans="1:6">
      <c r="A2063" s="4" t="s">
        <v>4414</v>
      </c>
      <c r="B2063" s="6" t="s">
        <v>4413</v>
      </c>
      <c r="C2063" s="4" t="s">
        <v>223</v>
      </c>
      <c r="D2063" s="4">
        <v>13</v>
      </c>
      <c r="E2063" s="4" t="s">
        <v>3991</v>
      </c>
      <c r="F2063" s="4" t="s">
        <v>4415</v>
      </c>
    </row>
    <row r="2064" spans="1:6">
      <c r="A2064" s="4" t="s">
        <v>1560</v>
      </c>
      <c r="B2064" s="6" t="s">
        <v>4413</v>
      </c>
      <c r="C2064" s="4" t="s">
        <v>1560</v>
      </c>
      <c r="D2064" s="4">
        <v>7</v>
      </c>
      <c r="E2064" s="4" t="s">
        <v>3991</v>
      </c>
      <c r="F2064" s="4" t="s">
        <v>4416</v>
      </c>
    </row>
    <row r="2065" spans="1:6">
      <c r="A2065" s="4" t="s">
        <v>4417</v>
      </c>
      <c r="B2065" s="6" t="s">
        <v>4413</v>
      </c>
      <c r="C2065" s="4" t="s">
        <v>605</v>
      </c>
      <c r="D2065" s="4">
        <v>15</v>
      </c>
      <c r="E2065" s="4" t="s">
        <v>3991</v>
      </c>
      <c r="F2065" s="4" t="s">
        <v>4418</v>
      </c>
    </row>
    <row r="2066" spans="1:6">
      <c r="A2066" s="4" t="s">
        <v>4419</v>
      </c>
      <c r="B2066" s="6" t="s">
        <v>4413</v>
      </c>
      <c r="C2066" s="4" t="s">
        <v>1129</v>
      </c>
      <c r="D2066" s="4">
        <v>18</v>
      </c>
      <c r="E2066" s="4" t="s">
        <v>3991</v>
      </c>
      <c r="F2066" s="4" t="s">
        <v>4420</v>
      </c>
    </row>
    <row r="2067" spans="1:6">
      <c r="A2067" s="4" t="s">
        <v>4421</v>
      </c>
      <c r="B2067" s="6" t="s">
        <v>4413</v>
      </c>
      <c r="C2067" s="4" t="s">
        <v>53</v>
      </c>
      <c r="D2067" s="4">
        <v>7</v>
      </c>
      <c r="E2067" s="4" t="s">
        <v>3991</v>
      </c>
    </row>
    <row r="2068" spans="1:6">
      <c r="A2068" s="4" t="s">
        <v>4422</v>
      </c>
      <c r="B2068" s="6" t="s">
        <v>4413</v>
      </c>
      <c r="C2068" s="4" t="s">
        <v>254</v>
      </c>
      <c r="D2068" s="4">
        <v>9</v>
      </c>
      <c r="E2068" s="4" t="s">
        <v>3991</v>
      </c>
    </row>
    <row r="2069" spans="1:6">
      <c r="A2069" s="4" t="s">
        <v>4423</v>
      </c>
      <c r="B2069" s="6" t="s">
        <v>4413</v>
      </c>
      <c r="C2069" s="4" t="s">
        <v>23</v>
      </c>
      <c r="D2069" s="4">
        <v>10</v>
      </c>
      <c r="E2069" s="4" t="s">
        <v>3991</v>
      </c>
    </row>
    <row r="2070" spans="1:6">
      <c r="A2070" s="4" t="s">
        <v>4424</v>
      </c>
      <c r="B2070" s="6" t="s">
        <v>4413</v>
      </c>
      <c r="C2070" s="4" t="s">
        <v>223</v>
      </c>
      <c r="D2070" s="4">
        <v>12</v>
      </c>
      <c r="E2070" s="4" t="s">
        <v>3991</v>
      </c>
      <c r="F2070" s="4" t="s">
        <v>4415</v>
      </c>
    </row>
    <row r="2071" spans="1:6">
      <c r="A2071" s="4" t="s">
        <v>4425</v>
      </c>
      <c r="B2071" s="6" t="s">
        <v>4426</v>
      </c>
      <c r="C2071" s="4" t="s">
        <v>87</v>
      </c>
      <c r="D2071" s="4">
        <v>10</v>
      </c>
      <c r="E2071" s="4" t="s">
        <v>3991</v>
      </c>
      <c r="F2071" s="4" t="s">
        <v>4427</v>
      </c>
    </row>
    <row r="2072" spans="1:6">
      <c r="A2072" s="4" t="s">
        <v>4428</v>
      </c>
      <c r="B2072" s="6" t="s">
        <v>4429</v>
      </c>
      <c r="C2072" s="4" t="s">
        <v>76</v>
      </c>
      <c r="D2072" s="4">
        <v>12</v>
      </c>
      <c r="E2072" s="4" t="s">
        <v>3991</v>
      </c>
    </row>
    <row r="2073" spans="1:6">
      <c r="A2073" s="4" t="s">
        <v>4430</v>
      </c>
      <c r="B2073" s="6" t="s">
        <v>4429</v>
      </c>
      <c r="C2073" s="4" t="s">
        <v>49</v>
      </c>
      <c r="D2073" s="4">
        <v>10</v>
      </c>
      <c r="E2073" s="4" t="s">
        <v>4431</v>
      </c>
    </row>
    <row r="2074" spans="1:6">
      <c r="A2074" s="4" t="s">
        <v>4432</v>
      </c>
      <c r="B2074" s="6" t="s">
        <v>4433</v>
      </c>
      <c r="C2074" s="4" t="s">
        <v>427</v>
      </c>
      <c r="D2074" s="4">
        <v>13</v>
      </c>
      <c r="E2074" s="4" t="s">
        <v>3991</v>
      </c>
    </row>
    <row r="2075" spans="1:6">
      <c r="A2075" s="4" t="s">
        <v>4434</v>
      </c>
      <c r="B2075" s="6" t="s">
        <v>4433</v>
      </c>
      <c r="C2075" s="4" t="s">
        <v>1129</v>
      </c>
      <c r="D2075" s="4">
        <v>18</v>
      </c>
      <c r="F2075" s="4" t="s">
        <v>4435</v>
      </c>
    </row>
    <row r="2076" spans="1:6">
      <c r="A2076" s="4" t="s">
        <v>4436</v>
      </c>
      <c r="B2076" s="6" t="s">
        <v>4433</v>
      </c>
      <c r="C2076" s="4" t="s">
        <v>37</v>
      </c>
      <c r="D2076" s="4">
        <v>12</v>
      </c>
      <c r="E2076" s="4" t="s">
        <v>3991</v>
      </c>
    </row>
    <row r="2077" spans="1:6">
      <c r="A2077" s="4" t="s">
        <v>4437</v>
      </c>
      <c r="B2077" s="6" t="s">
        <v>4438</v>
      </c>
      <c r="C2077" s="4" t="s">
        <v>4437</v>
      </c>
      <c r="D2077" s="4">
        <v>11</v>
      </c>
      <c r="E2077" s="4" t="s">
        <v>4439</v>
      </c>
      <c r="F2077" s="4" t="s">
        <v>4440</v>
      </c>
    </row>
    <row r="2078" spans="1:6">
      <c r="A2078" s="4" t="s">
        <v>4441</v>
      </c>
      <c r="B2078" s="6" t="s">
        <v>4438</v>
      </c>
      <c r="C2078" s="4" t="s">
        <v>34</v>
      </c>
      <c r="D2078" s="4">
        <v>15</v>
      </c>
      <c r="E2078" s="4" t="s">
        <v>4439</v>
      </c>
    </row>
    <row r="2079" spans="1:6">
      <c r="A2079" s="4" t="s">
        <v>4442</v>
      </c>
      <c r="B2079" s="6" t="s">
        <v>4438</v>
      </c>
      <c r="C2079" s="4" t="s">
        <v>485</v>
      </c>
      <c r="D2079" s="4">
        <v>16</v>
      </c>
      <c r="E2079" s="4" t="s">
        <v>4439</v>
      </c>
      <c r="F2079" s="4" t="s">
        <v>4443</v>
      </c>
    </row>
    <row r="2080" spans="1:6">
      <c r="A2080" s="4" t="s">
        <v>4444</v>
      </c>
      <c r="B2080" s="6" t="s">
        <v>4438</v>
      </c>
      <c r="C2080" s="4" t="s">
        <v>3168</v>
      </c>
      <c r="D2080" s="4">
        <v>21</v>
      </c>
      <c r="E2080" s="4" t="s">
        <v>4439</v>
      </c>
    </row>
    <row r="2081" spans="1:6">
      <c r="A2081" s="4" t="s">
        <v>4445</v>
      </c>
      <c r="B2081" s="6" t="s">
        <v>4438</v>
      </c>
      <c r="C2081" s="4" t="s">
        <v>4437</v>
      </c>
      <c r="D2081" s="4">
        <v>18</v>
      </c>
      <c r="F2081" s="4" t="s">
        <v>4446</v>
      </c>
    </row>
    <row r="2082" spans="1:6">
      <c r="A2082" s="4" t="s">
        <v>4447</v>
      </c>
      <c r="B2082" s="6" t="s">
        <v>4438</v>
      </c>
      <c r="C2082" s="4" t="s">
        <v>76</v>
      </c>
      <c r="D2082" s="4">
        <v>13</v>
      </c>
      <c r="E2082" s="4" t="s">
        <v>4448</v>
      </c>
    </row>
    <row r="2083" spans="1:6">
      <c r="A2083" s="4" t="s">
        <v>4449</v>
      </c>
      <c r="B2083" s="6" t="s">
        <v>4438</v>
      </c>
      <c r="C2083" s="4" t="s">
        <v>23</v>
      </c>
      <c r="D2083" s="4">
        <v>14</v>
      </c>
      <c r="E2083" s="4" t="s">
        <v>4439</v>
      </c>
    </row>
    <row r="2084" spans="1:6">
      <c r="A2084" s="4" t="s">
        <v>4450</v>
      </c>
      <c r="B2084" s="6" t="s">
        <v>4451</v>
      </c>
      <c r="C2084" s="4" t="s">
        <v>27</v>
      </c>
      <c r="D2084" s="4">
        <v>10</v>
      </c>
      <c r="E2084" s="4" t="s">
        <v>4452</v>
      </c>
      <c r="F2084" s="4" t="s">
        <v>4453</v>
      </c>
    </row>
    <row r="2085" spans="1:6">
      <c r="A2085" s="4" t="s">
        <v>4454</v>
      </c>
      <c r="B2085" s="6" t="s">
        <v>4451</v>
      </c>
      <c r="C2085" s="4" t="s">
        <v>53</v>
      </c>
      <c r="D2085" s="4">
        <v>8</v>
      </c>
      <c r="E2085" s="4" t="s">
        <v>4455</v>
      </c>
    </row>
    <row r="2086" spans="1:6">
      <c r="A2086" s="4" t="s">
        <v>4456</v>
      </c>
      <c r="B2086" s="6" t="s">
        <v>4451</v>
      </c>
      <c r="C2086" s="4" t="s">
        <v>53</v>
      </c>
      <c r="D2086" s="4">
        <v>10</v>
      </c>
      <c r="E2086" s="4" t="s">
        <v>3871</v>
      </c>
      <c r="F2086" s="4" t="s">
        <v>4457</v>
      </c>
    </row>
    <row r="2087" spans="1:6">
      <c r="A2087" s="4" t="s">
        <v>4458</v>
      </c>
      <c r="B2087" s="6" t="s">
        <v>4459</v>
      </c>
      <c r="C2087" s="4" t="s">
        <v>427</v>
      </c>
      <c r="D2087" s="4">
        <v>12</v>
      </c>
      <c r="E2087" s="4" t="s">
        <v>4460</v>
      </c>
    </row>
    <row r="2088" spans="1:6">
      <c r="A2088" s="4" t="s">
        <v>4461</v>
      </c>
      <c r="B2088" s="6" t="s">
        <v>4459</v>
      </c>
      <c r="C2088" s="4" t="s">
        <v>104</v>
      </c>
      <c r="D2088" s="4">
        <v>11</v>
      </c>
      <c r="E2088" s="4" t="s">
        <v>4462</v>
      </c>
    </row>
    <row r="2089" spans="1:6">
      <c r="A2089" s="4" t="s">
        <v>4463</v>
      </c>
      <c r="B2089" s="6" t="s">
        <v>4459</v>
      </c>
      <c r="C2089" s="4" t="s">
        <v>1129</v>
      </c>
      <c r="D2089" s="4">
        <v>22</v>
      </c>
      <c r="E2089" s="4" t="s">
        <v>4464</v>
      </c>
      <c r="F2089" s="4" t="s">
        <v>4465</v>
      </c>
    </row>
    <row r="2090" spans="1:6">
      <c r="A2090" s="4" t="s">
        <v>4466</v>
      </c>
      <c r="B2090" s="6" t="s">
        <v>4467</v>
      </c>
      <c r="C2090" s="4" t="s">
        <v>81</v>
      </c>
      <c r="D2090" s="4">
        <v>6</v>
      </c>
      <c r="E2090" s="4" t="s">
        <v>4468</v>
      </c>
      <c r="F2090" s="4" t="s">
        <v>4469</v>
      </c>
    </row>
    <row r="2091" spans="1:6">
      <c r="A2091" s="4" t="s">
        <v>4470</v>
      </c>
      <c r="B2091" s="6" t="s">
        <v>4467</v>
      </c>
      <c r="C2091" s="4" t="s">
        <v>49</v>
      </c>
      <c r="D2091" s="4">
        <v>9</v>
      </c>
      <c r="E2091" s="4" t="s">
        <v>428</v>
      </c>
    </row>
    <row r="2092" spans="1:6">
      <c r="A2092" s="4" t="s">
        <v>4471</v>
      </c>
      <c r="B2092" s="6" t="s">
        <v>4467</v>
      </c>
      <c r="C2092" s="4" t="s">
        <v>95</v>
      </c>
      <c r="D2092" s="4">
        <v>9</v>
      </c>
      <c r="E2092" s="4" t="s">
        <v>428</v>
      </c>
    </row>
    <row r="2093" spans="1:6">
      <c r="A2093" s="4" t="s">
        <v>4472</v>
      </c>
      <c r="B2093" s="6" t="s">
        <v>4473</v>
      </c>
      <c r="C2093" s="4" t="s">
        <v>4474</v>
      </c>
      <c r="D2093" s="4">
        <v>7</v>
      </c>
      <c r="E2093" s="4" t="s">
        <v>428</v>
      </c>
    </row>
    <row r="2094" spans="1:6">
      <c r="A2094" s="4" t="s">
        <v>4475</v>
      </c>
      <c r="B2094" s="6" t="s">
        <v>4476</v>
      </c>
      <c r="C2094" s="4" t="s">
        <v>995</v>
      </c>
      <c r="D2094" s="4">
        <v>8</v>
      </c>
      <c r="E2094" s="4" t="s">
        <v>4477</v>
      </c>
      <c r="F2094" s="4" t="s">
        <v>4478</v>
      </c>
    </row>
    <row r="2095" spans="1:6">
      <c r="A2095" s="4" t="s">
        <v>4479</v>
      </c>
      <c r="B2095" s="6" t="s">
        <v>4476</v>
      </c>
      <c r="C2095" s="4" t="s">
        <v>49</v>
      </c>
      <c r="D2095" s="4">
        <v>11</v>
      </c>
      <c r="E2095" s="4" t="s">
        <v>235</v>
      </c>
      <c r="F2095" s="4" t="s">
        <v>4480</v>
      </c>
    </row>
    <row r="2096" spans="1:6">
      <c r="A2096" s="4" t="s">
        <v>4481</v>
      </c>
      <c r="B2096" s="6" t="s">
        <v>4476</v>
      </c>
      <c r="C2096" s="4" t="s">
        <v>1581</v>
      </c>
      <c r="D2096" s="4">
        <v>8</v>
      </c>
      <c r="E2096" s="4" t="s">
        <v>428</v>
      </c>
    </row>
    <row r="2097" spans="1:6">
      <c r="A2097" s="4" t="s">
        <v>945</v>
      </c>
      <c r="B2097" s="6" t="s">
        <v>4482</v>
      </c>
      <c r="C2097" s="4" t="s">
        <v>945</v>
      </c>
      <c r="D2097" s="4">
        <v>4</v>
      </c>
      <c r="E2097" s="4" t="s">
        <v>4483</v>
      </c>
      <c r="F2097" s="4" t="s">
        <v>4484</v>
      </c>
    </row>
    <row r="2098" spans="1:6">
      <c r="A2098" s="4" t="s">
        <v>4485</v>
      </c>
      <c r="B2098" s="6" t="s">
        <v>4486</v>
      </c>
      <c r="C2098" s="4" t="s">
        <v>1211</v>
      </c>
      <c r="D2098" s="4">
        <v>10</v>
      </c>
      <c r="F2098" s="4" t="s">
        <v>4487</v>
      </c>
    </row>
    <row r="2099" spans="1:6">
      <c r="A2099" s="4" t="s">
        <v>4488</v>
      </c>
      <c r="B2099" s="6" t="s">
        <v>4482</v>
      </c>
      <c r="C2099" s="4" t="s">
        <v>296</v>
      </c>
      <c r="D2099" s="4">
        <v>10</v>
      </c>
      <c r="E2099" s="4" t="s">
        <v>428</v>
      </c>
    </row>
    <row r="2100" spans="1:6">
      <c r="A2100" s="4" t="s">
        <v>4489</v>
      </c>
      <c r="B2100" s="6" t="s">
        <v>4482</v>
      </c>
      <c r="C2100" s="4" t="s">
        <v>49</v>
      </c>
      <c r="D2100" s="4">
        <v>8</v>
      </c>
      <c r="E2100" s="4" t="s">
        <v>428</v>
      </c>
      <c r="F2100" s="4" t="s">
        <v>4490</v>
      </c>
    </row>
    <row r="2101" spans="1:6">
      <c r="A2101" s="4" t="s">
        <v>4491</v>
      </c>
      <c r="B2101" s="6" t="s">
        <v>4492</v>
      </c>
      <c r="C2101" s="4" t="s">
        <v>14</v>
      </c>
      <c r="D2101" s="4">
        <v>13</v>
      </c>
      <c r="E2101" s="4" t="s">
        <v>4493</v>
      </c>
    </row>
    <row r="2102" spans="1:6">
      <c r="A2102" s="4" t="s">
        <v>4494</v>
      </c>
      <c r="B2102" s="6" t="s">
        <v>4495</v>
      </c>
      <c r="C2102" s="4" t="s">
        <v>1211</v>
      </c>
      <c r="D2102" s="4">
        <v>12</v>
      </c>
      <c r="F2102" s="4" t="s">
        <v>4496</v>
      </c>
    </row>
    <row r="2103" spans="1:6">
      <c r="A2103" s="4" t="s">
        <v>268</v>
      </c>
      <c r="B2103" s="6" t="s">
        <v>4497</v>
      </c>
      <c r="C2103" s="4" t="s">
        <v>268</v>
      </c>
      <c r="D2103" s="4">
        <v>10</v>
      </c>
      <c r="E2103" s="4" t="s">
        <v>4498</v>
      </c>
      <c r="F2103" s="4" t="s">
        <v>4499</v>
      </c>
    </row>
    <row r="2104" spans="1:6">
      <c r="A2104" s="4" t="s">
        <v>4500</v>
      </c>
      <c r="B2104" s="6" t="s">
        <v>4501</v>
      </c>
      <c r="C2104" s="4" t="s">
        <v>453</v>
      </c>
      <c r="D2104" s="4">
        <v>12</v>
      </c>
      <c r="E2104" s="4" t="s">
        <v>638</v>
      </c>
      <c r="F2104" s="4" t="s">
        <v>4502</v>
      </c>
    </row>
    <row r="2105" spans="1:6">
      <c r="A2105" s="4" t="s">
        <v>4503</v>
      </c>
      <c r="B2105" s="6" t="s">
        <v>4504</v>
      </c>
      <c r="C2105" s="4" t="s">
        <v>87</v>
      </c>
      <c r="D2105" s="4">
        <v>12</v>
      </c>
      <c r="E2105" s="4" t="s">
        <v>4462</v>
      </c>
      <c r="F2105" s="4" t="s">
        <v>4505</v>
      </c>
    </row>
    <row r="2106" spans="1:6">
      <c r="A2106" s="4" t="s">
        <v>4506</v>
      </c>
      <c r="B2106" s="6" t="s">
        <v>4507</v>
      </c>
      <c r="C2106" s="4" t="s">
        <v>427</v>
      </c>
      <c r="D2106" s="4">
        <v>15</v>
      </c>
      <c r="E2106" s="4" t="s">
        <v>428</v>
      </c>
    </row>
    <row r="2107" spans="1:6">
      <c r="A2107" s="4" t="s">
        <v>4508</v>
      </c>
      <c r="B2107" s="6" t="s">
        <v>4509</v>
      </c>
      <c r="C2107" s="4" t="s">
        <v>1248</v>
      </c>
      <c r="D2107" s="4">
        <v>11</v>
      </c>
      <c r="E2107" s="4" t="s">
        <v>4483</v>
      </c>
      <c r="F2107" s="4" t="s">
        <v>4510</v>
      </c>
    </row>
    <row r="2108" spans="1:6">
      <c r="A2108" s="4" t="s">
        <v>342</v>
      </c>
      <c r="B2108" s="6" t="s">
        <v>4509</v>
      </c>
      <c r="C2108" s="4" t="s">
        <v>342</v>
      </c>
      <c r="D2108" s="4">
        <v>5</v>
      </c>
      <c r="E2108" s="4" t="s">
        <v>4511</v>
      </c>
      <c r="F2108" s="4" t="s">
        <v>4512</v>
      </c>
    </row>
    <row r="2109" spans="1:6">
      <c r="A2109" s="4" t="s">
        <v>4513</v>
      </c>
      <c r="B2109" s="6" t="s">
        <v>4514</v>
      </c>
      <c r="C2109" s="4" t="s">
        <v>4513</v>
      </c>
      <c r="D2109" s="4">
        <v>13</v>
      </c>
      <c r="E2109" s="4" t="s">
        <v>4515</v>
      </c>
    </row>
    <row r="2110" spans="1:6">
      <c r="A2110" s="4" t="s">
        <v>4516</v>
      </c>
      <c r="B2110" s="6" t="s">
        <v>4517</v>
      </c>
      <c r="C2110" s="4" t="s">
        <v>173</v>
      </c>
      <c r="D2110" s="4">
        <v>5</v>
      </c>
      <c r="E2110" s="4" t="s">
        <v>428</v>
      </c>
      <c r="F2110" s="4" t="s">
        <v>4518</v>
      </c>
    </row>
    <row r="2111" spans="1:6">
      <c r="A2111" s="4" t="s">
        <v>4519</v>
      </c>
      <c r="B2111" s="6" t="s">
        <v>4517</v>
      </c>
      <c r="C2111" s="4" t="s">
        <v>104</v>
      </c>
      <c r="D2111" s="4">
        <v>9</v>
      </c>
      <c r="E2111" s="4" t="s">
        <v>428</v>
      </c>
      <c r="F2111" s="4" t="s">
        <v>4520</v>
      </c>
    </row>
    <row r="2112" spans="1:6">
      <c r="A2112" s="4" t="s">
        <v>4521</v>
      </c>
      <c r="B2112" s="6" t="s">
        <v>4517</v>
      </c>
      <c r="C2112" s="4" t="s">
        <v>1569</v>
      </c>
      <c r="D2112" s="4">
        <v>5</v>
      </c>
      <c r="E2112" s="4" t="s">
        <v>428</v>
      </c>
      <c r="F2112" s="4" t="s">
        <v>4518</v>
      </c>
    </row>
    <row r="2113" spans="1:6">
      <c r="A2113" s="4" t="s">
        <v>4522</v>
      </c>
      <c r="B2113" s="6" t="s">
        <v>4523</v>
      </c>
      <c r="C2113" s="4" t="s">
        <v>390</v>
      </c>
      <c r="D2113" s="4">
        <v>15</v>
      </c>
      <c r="E2113" s="4" t="s">
        <v>328</v>
      </c>
      <c r="F2113" s="4" t="s">
        <v>4524</v>
      </c>
    </row>
    <row r="2114" spans="1:6">
      <c r="A2114" s="4" t="s">
        <v>4525</v>
      </c>
      <c r="B2114" s="6" t="s">
        <v>4526</v>
      </c>
      <c r="C2114" s="4" t="s">
        <v>87</v>
      </c>
      <c r="D2114" s="4">
        <v>13</v>
      </c>
      <c r="E2114" s="4" t="s">
        <v>687</v>
      </c>
    </row>
    <row r="2115" spans="1:6">
      <c r="A2115" s="4" t="s">
        <v>4527</v>
      </c>
      <c r="B2115" s="6" t="s">
        <v>4526</v>
      </c>
      <c r="C2115" s="4" t="s">
        <v>238</v>
      </c>
      <c r="D2115" s="4">
        <v>13</v>
      </c>
      <c r="E2115" s="4" t="s">
        <v>4528</v>
      </c>
    </row>
    <row r="2116" spans="1:6">
      <c r="A2116" s="4" t="s">
        <v>4529</v>
      </c>
      <c r="B2116" s="6" t="s">
        <v>4526</v>
      </c>
      <c r="C2116" s="4" t="s">
        <v>45</v>
      </c>
      <c r="D2116" s="4">
        <v>13</v>
      </c>
      <c r="E2116" s="4" t="s">
        <v>4528</v>
      </c>
    </row>
    <row r="2117" spans="1:6">
      <c r="A2117" s="4" t="s">
        <v>4530</v>
      </c>
      <c r="B2117" s="6" t="s">
        <v>4531</v>
      </c>
      <c r="C2117" s="4" t="s">
        <v>860</v>
      </c>
      <c r="D2117" s="4">
        <v>10</v>
      </c>
      <c r="E2117" s="4" t="s">
        <v>4532</v>
      </c>
    </row>
    <row r="2118" spans="1:6">
      <c r="A2118" s="4" t="s">
        <v>4533</v>
      </c>
      <c r="B2118" s="6" t="s">
        <v>4531</v>
      </c>
      <c r="C2118" s="4" t="s">
        <v>4533</v>
      </c>
      <c r="D2118" s="4">
        <v>7</v>
      </c>
      <c r="E2118" s="4" t="s">
        <v>687</v>
      </c>
      <c r="F2118" s="4" t="s">
        <v>4534</v>
      </c>
    </row>
    <row r="2119" spans="1:6">
      <c r="A2119" s="4" t="s">
        <v>4535</v>
      </c>
      <c r="B2119" s="6" t="s">
        <v>4536</v>
      </c>
      <c r="C2119" s="4" t="s">
        <v>2506</v>
      </c>
      <c r="D2119" s="4">
        <v>7</v>
      </c>
      <c r="E2119" s="4" t="s">
        <v>3871</v>
      </c>
      <c r="F2119" s="4" t="s">
        <v>4537</v>
      </c>
    </row>
    <row r="2120" spans="1:6">
      <c r="A2120" s="4" t="s">
        <v>4538</v>
      </c>
      <c r="B2120" s="6" t="s">
        <v>4536</v>
      </c>
      <c r="C2120" s="4" t="s">
        <v>520</v>
      </c>
      <c r="D2120" s="4">
        <v>16</v>
      </c>
      <c r="E2120" s="4" t="s">
        <v>4452</v>
      </c>
    </row>
    <row r="2121" spans="1:6">
      <c r="A2121" s="4" t="s">
        <v>4539</v>
      </c>
      <c r="B2121" s="6" t="s">
        <v>4536</v>
      </c>
      <c r="C2121" s="4" t="s">
        <v>453</v>
      </c>
      <c r="D2121" s="4">
        <v>15</v>
      </c>
      <c r="E2121" s="4" t="s">
        <v>3871</v>
      </c>
      <c r="F2121" s="4" t="s">
        <v>4537</v>
      </c>
    </row>
    <row r="2122" spans="1:6">
      <c r="A2122" s="4" t="s">
        <v>4540</v>
      </c>
      <c r="B2122" s="6" t="s">
        <v>4541</v>
      </c>
      <c r="C2122" s="4" t="s">
        <v>81</v>
      </c>
      <c r="D2122" s="4">
        <v>14</v>
      </c>
      <c r="E2122" s="4" t="s">
        <v>4542</v>
      </c>
    </row>
    <row r="2123" spans="1:6">
      <c r="A2123" s="4" t="s">
        <v>4543</v>
      </c>
      <c r="B2123" s="6" t="s">
        <v>4541</v>
      </c>
      <c r="C2123" s="4" t="s">
        <v>49</v>
      </c>
      <c r="D2123" s="4">
        <v>14</v>
      </c>
      <c r="E2123" s="4" t="s">
        <v>4544</v>
      </c>
      <c r="F2123" s="4" t="s">
        <v>2774</v>
      </c>
    </row>
    <row r="2124" spans="1:6">
      <c r="A2124" s="4" t="s">
        <v>4545</v>
      </c>
      <c r="B2124" s="6" t="s">
        <v>4541</v>
      </c>
      <c r="C2124" s="4" t="s">
        <v>238</v>
      </c>
      <c r="D2124" s="4">
        <v>14</v>
      </c>
      <c r="E2124" s="4" t="s">
        <v>4544</v>
      </c>
    </row>
    <row r="2125" spans="1:6">
      <c r="A2125" s="4" t="s">
        <v>4546</v>
      </c>
      <c r="B2125" s="6" t="s">
        <v>4547</v>
      </c>
      <c r="C2125" s="4" t="s">
        <v>87</v>
      </c>
      <c r="D2125" s="4">
        <v>14</v>
      </c>
      <c r="E2125" s="4" t="s">
        <v>4464</v>
      </c>
    </row>
    <row r="2126" spans="1:6">
      <c r="A2126" s="4" t="s">
        <v>4548</v>
      </c>
      <c r="B2126" s="6" t="s">
        <v>4549</v>
      </c>
      <c r="C2126" s="4" t="s">
        <v>708</v>
      </c>
      <c r="D2126" s="4">
        <v>8</v>
      </c>
      <c r="E2126" s="4" t="s">
        <v>4477</v>
      </c>
    </row>
    <row r="2127" spans="1:6">
      <c r="A2127" s="4" t="s">
        <v>4550</v>
      </c>
      <c r="B2127" s="6" t="s">
        <v>4551</v>
      </c>
      <c r="C2127" s="4" t="s">
        <v>238</v>
      </c>
      <c r="D2127" s="4">
        <v>12</v>
      </c>
      <c r="E2127" s="4" t="s">
        <v>428</v>
      </c>
    </row>
    <row r="2128" spans="1:6">
      <c r="A2128" s="4" t="s">
        <v>4552</v>
      </c>
      <c r="B2128" s="6" t="s">
        <v>4551</v>
      </c>
      <c r="C2128" s="4" t="s">
        <v>311</v>
      </c>
      <c r="D2128" s="4">
        <v>14</v>
      </c>
      <c r="E2128" s="4" t="s">
        <v>4553</v>
      </c>
    </row>
    <row r="2129" spans="1:6">
      <c r="A2129" s="4" t="s">
        <v>4554</v>
      </c>
      <c r="B2129" s="6" t="s">
        <v>4551</v>
      </c>
      <c r="C2129" s="4" t="s">
        <v>2610</v>
      </c>
      <c r="D2129" s="4">
        <v>10</v>
      </c>
      <c r="E2129" s="4" t="s">
        <v>4477</v>
      </c>
    </row>
    <row r="2130" spans="1:6">
      <c r="A2130" s="4" t="s">
        <v>4555</v>
      </c>
      <c r="B2130" s="6" t="s">
        <v>4556</v>
      </c>
      <c r="C2130" s="4" t="s">
        <v>995</v>
      </c>
      <c r="D2130" s="4">
        <v>9</v>
      </c>
      <c r="E2130" s="4" t="s">
        <v>428</v>
      </c>
      <c r="F2130" s="4" t="s">
        <v>4557</v>
      </c>
    </row>
    <row r="2131" spans="1:6">
      <c r="A2131" s="4" t="s">
        <v>4558</v>
      </c>
      <c r="B2131" s="6" t="s">
        <v>4559</v>
      </c>
      <c r="C2131" s="4" t="s">
        <v>34</v>
      </c>
      <c r="D2131" s="4">
        <v>8</v>
      </c>
      <c r="E2131" s="4" t="s">
        <v>4560</v>
      </c>
    </row>
    <row r="2132" spans="1:6">
      <c r="A2132" s="4" t="s">
        <v>4561</v>
      </c>
      <c r="B2132" s="6" t="s">
        <v>4559</v>
      </c>
      <c r="C2132" s="4" t="s">
        <v>53</v>
      </c>
      <c r="D2132" s="4">
        <v>5</v>
      </c>
      <c r="E2132" s="4" t="s">
        <v>4560</v>
      </c>
      <c r="F2132" s="4" t="s">
        <v>1979</v>
      </c>
    </row>
    <row r="2133" spans="1:6">
      <c r="A2133" s="4" t="s">
        <v>4562</v>
      </c>
      <c r="B2133" s="6" t="s">
        <v>4559</v>
      </c>
      <c r="C2133" s="4" t="s">
        <v>49</v>
      </c>
      <c r="D2133" s="4">
        <v>8</v>
      </c>
      <c r="E2133" s="4" t="s">
        <v>4560</v>
      </c>
    </row>
    <row r="2134" spans="1:6">
      <c r="A2134" s="4" t="s">
        <v>4563</v>
      </c>
      <c r="B2134" s="6" t="s">
        <v>4559</v>
      </c>
      <c r="C2134" s="4" t="s">
        <v>87</v>
      </c>
      <c r="D2134" s="4">
        <v>8</v>
      </c>
      <c r="E2134" s="4" t="s">
        <v>4560</v>
      </c>
      <c r="F2134" s="4" t="s">
        <v>4564</v>
      </c>
    </row>
    <row r="2135" spans="1:6">
      <c r="A2135" s="4" t="s">
        <v>4565</v>
      </c>
      <c r="B2135" s="6" t="s">
        <v>4566</v>
      </c>
      <c r="C2135" s="4" t="s">
        <v>285</v>
      </c>
      <c r="D2135" s="4">
        <v>8</v>
      </c>
      <c r="E2135" s="4" t="s">
        <v>4567</v>
      </c>
    </row>
    <row r="2136" spans="1:6">
      <c r="A2136" s="4" t="s">
        <v>4568</v>
      </c>
      <c r="B2136" s="6" t="s">
        <v>4569</v>
      </c>
      <c r="C2136" s="4" t="s">
        <v>4568</v>
      </c>
      <c r="D2136" s="4">
        <v>5</v>
      </c>
      <c r="E2136" s="4" t="s">
        <v>4570</v>
      </c>
      <c r="F2136" s="4" t="s">
        <v>4571</v>
      </c>
    </row>
    <row r="2137" spans="1:6">
      <c r="A2137" s="4" t="s">
        <v>4572</v>
      </c>
      <c r="B2137" s="6" t="s">
        <v>4569</v>
      </c>
      <c r="C2137" s="4" t="s">
        <v>995</v>
      </c>
      <c r="D2137" s="4">
        <v>11</v>
      </c>
      <c r="E2137" s="4" t="s">
        <v>428</v>
      </c>
      <c r="F2137" s="4" t="s">
        <v>2415</v>
      </c>
    </row>
    <row r="2138" spans="1:6">
      <c r="A2138" s="4" t="s">
        <v>4573</v>
      </c>
      <c r="B2138" s="6" t="s">
        <v>4569</v>
      </c>
      <c r="C2138" s="4" t="s">
        <v>2111</v>
      </c>
      <c r="D2138" s="4">
        <v>6</v>
      </c>
      <c r="E2138" s="4" t="s">
        <v>4574</v>
      </c>
    </row>
    <row r="2139" spans="1:6">
      <c r="A2139" s="4" t="s">
        <v>4575</v>
      </c>
      <c r="B2139" s="6" t="s">
        <v>4576</v>
      </c>
      <c r="C2139" s="4" t="s">
        <v>414</v>
      </c>
      <c r="D2139" s="4">
        <v>10</v>
      </c>
      <c r="E2139" s="4" t="s">
        <v>4577</v>
      </c>
      <c r="F2139" s="4" t="s">
        <v>4578</v>
      </c>
    </row>
    <row r="2140" spans="1:6">
      <c r="A2140" s="4" t="s">
        <v>4579</v>
      </c>
      <c r="B2140" s="6" t="s">
        <v>4576</v>
      </c>
      <c r="C2140" s="4" t="s">
        <v>104</v>
      </c>
      <c r="D2140" s="4">
        <v>8</v>
      </c>
      <c r="E2140" s="4" t="s">
        <v>4577</v>
      </c>
    </row>
    <row r="2141" spans="1:6">
      <c r="A2141" s="4" t="s">
        <v>4580</v>
      </c>
      <c r="B2141" s="6" t="s">
        <v>4576</v>
      </c>
      <c r="C2141" s="4" t="s">
        <v>81</v>
      </c>
      <c r="D2141" s="4">
        <v>13</v>
      </c>
      <c r="E2141" s="4" t="s">
        <v>4577</v>
      </c>
    </row>
    <row r="2142" spans="1:6">
      <c r="A2142" s="4" t="s">
        <v>4581</v>
      </c>
      <c r="B2142" s="6" t="s">
        <v>4576</v>
      </c>
      <c r="C2142" s="4" t="s">
        <v>81</v>
      </c>
      <c r="D2142" s="4">
        <v>15</v>
      </c>
      <c r="E2142" s="4" t="s">
        <v>4577</v>
      </c>
    </row>
    <row r="2143" spans="1:6">
      <c r="A2143" s="4" t="s">
        <v>4582</v>
      </c>
      <c r="B2143" s="6" t="s">
        <v>4583</v>
      </c>
      <c r="C2143" s="4" t="s">
        <v>87</v>
      </c>
      <c r="D2143" s="4">
        <v>8</v>
      </c>
      <c r="E2143" s="4" t="s">
        <v>4567</v>
      </c>
    </row>
    <row r="2144" spans="1:6">
      <c r="A2144" s="4" t="s">
        <v>4584</v>
      </c>
      <c r="B2144" s="6" t="s">
        <v>4585</v>
      </c>
      <c r="C2144" s="4" t="s">
        <v>1835</v>
      </c>
      <c r="D2144" s="4">
        <v>5</v>
      </c>
      <c r="E2144" s="4" t="s">
        <v>4586</v>
      </c>
      <c r="F2144" s="4" t="s">
        <v>4587</v>
      </c>
    </row>
    <row r="2145" spans="1:6">
      <c r="A2145" s="4" t="s">
        <v>4588</v>
      </c>
      <c r="B2145" s="6" t="s">
        <v>4585</v>
      </c>
      <c r="C2145" s="4" t="s">
        <v>420</v>
      </c>
      <c r="D2145" s="4">
        <v>10</v>
      </c>
      <c r="E2145" s="4" t="s">
        <v>4589</v>
      </c>
      <c r="F2145" s="4" t="s">
        <v>4590</v>
      </c>
    </row>
    <row r="2146" spans="1:6">
      <c r="A2146" s="4" t="s">
        <v>4591</v>
      </c>
      <c r="B2146" s="6" t="s">
        <v>4585</v>
      </c>
      <c r="C2146" s="4" t="s">
        <v>2111</v>
      </c>
      <c r="D2146" s="4">
        <v>7</v>
      </c>
      <c r="E2146" s="4" t="s">
        <v>4592</v>
      </c>
      <c r="F2146" s="4" t="s">
        <v>4593</v>
      </c>
    </row>
    <row r="2147" spans="1:6">
      <c r="A2147" s="4" t="s">
        <v>4594</v>
      </c>
      <c r="B2147" s="6" t="s">
        <v>4585</v>
      </c>
      <c r="C2147" s="4" t="s">
        <v>34</v>
      </c>
      <c r="D2147" s="4">
        <v>8</v>
      </c>
      <c r="E2147" s="4" t="s">
        <v>4595</v>
      </c>
    </row>
    <row r="2148" spans="1:6">
      <c r="A2148" s="4" t="s">
        <v>4596</v>
      </c>
      <c r="B2148" s="6" t="s">
        <v>4585</v>
      </c>
      <c r="C2148" s="4" t="s">
        <v>14</v>
      </c>
      <c r="D2148" s="4">
        <v>8</v>
      </c>
      <c r="E2148" s="4" t="s">
        <v>4597</v>
      </c>
    </row>
    <row r="2149" spans="1:6">
      <c r="A2149" s="4" t="s">
        <v>4598</v>
      </c>
      <c r="B2149" s="6" t="s">
        <v>4599</v>
      </c>
      <c r="C2149" s="4" t="s">
        <v>1211</v>
      </c>
      <c r="D2149" s="4">
        <v>8</v>
      </c>
      <c r="F2149" s="4" t="s">
        <v>4600</v>
      </c>
    </row>
    <row r="2150" spans="1:6">
      <c r="A2150" s="4" t="s">
        <v>4601</v>
      </c>
      <c r="B2150" s="6" t="s">
        <v>4602</v>
      </c>
      <c r="C2150" s="4" t="s">
        <v>45</v>
      </c>
      <c r="D2150" s="4">
        <v>11</v>
      </c>
      <c r="E2150" s="4" t="s">
        <v>4603</v>
      </c>
      <c r="F2150" s="4" t="s">
        <v>4604</v>
      </c>
    </row>
    <row r="2151" spans="1:6">
      <c r="A2151" s="4" t="s">
        <v>4605</v>
      </c>
      <c r="B2151" s="6" t="s">
        <v>4602</v>
      </c>
      <c r="C2151" s="4" t="s">
        <v>427</v>
      </c>
      <c r="D2151" s="4">
        <v>14</v>
      </c>
      <c r="E2151" s="4" t="s">
        <v>4603</v>
      </c>
    </row>
    <row r="2152" spans="1:6">
      <c r="A2152" s="4" t="s">
        <v>4606</v>
      </c>
      <c r="B2152" s="6" t="s">
        <v>4607</v>
      </c>
      <c r="C2152" s="4" t="s">
        <v>49</v>
      </c>
      <c r="D2152" s="4">
        <v>8</v>
      </c>
      <c r="E2152" s="4" t="s">
        <v>4608</v>
      </c>
      <c r="F2152" s="4" t="s">
        <v>4609</v>
      </c>
    </row>
    <row r="2153" spans="1:6">
      <c r="A2153" s="4" t="s">
        <v>4610</v>
      </c>
      <c r="B2153" s="6" t="s">
        <v>4607</v>
      </c>
      <c r="C2153" s="4" t="s">
        <v>453</v>
      </c>
      <c r="D2153" s="4">
        <v>12</v>
      </c>
      <c r="E2153" s="4" t="s">
        <v>428</v>
      </c>
    </row>
    <row r="2154" spans="1:6">
      <c r="A2154" s="4" t="s">
        <v>4611</v>
      </c>
      <c r="B2154" s="6" t="s">
        <v>4607</v>
      </c>
      <c r="C2154" s="4" t="s">
        <v>1078</v>
      </c>
      <c r="D2154" s="4">
        <v>5</v>
      </c>
      <c r="E2154" s="4" t="s">
        <v>4597</v>
      </c>
      <c r="F2154" s="4" t="s">
        <v>4612</v>
      </c>
    </row>
    <row r="2155" spans="1:6">
      <c r="A2155" s="4" t="s">
        <v>4613</v>
      </c>
      <c r="B2155" s="6" t="s">
        <v>4607</v>
      </c>
      <c r="C2155" s="4" t="s">
        <v>81</v>
      </c>
      <c r="D2155" s="4">
        <v>17</v>
      </c>
      <c r="E2155" s="4" t="s">
        <v>428</v>
      </c>
    </row>
    <row r="2156" spans="1:6">
      <c r="A2156" s="4" t="s">
        <v>4614</v>
      </c>
      <c r="B2156" s="6" t="s">
        <v>4607</v>
      </c>
      <c r="C2156" s="4" t="s">
        <v>223</v>
      </c>
      <c r="D2156" s="4">
        <v>11</v>
      </c>
      <c r="E2156" s="4" t="s">
        <v>428</v>
      </c>
    </row>
    <row r="2157" spans="1:6">
      <c r="A2157" s="4" t="s">
        <v>4615</v>
      </c>
      <c r="B2157" s="6" t="s">
        <v>4607</v>
      </c>
      <c r="C2157" s="4" t="s">
        <v>53</v>
      </c>
      <c r="D2157" s="4">
        <v>13</v>
      </c>
      <c r="E2157" s="4" t="s">
        <v>428</v>
      </c>
    </row>
    <row r="2158" spans="1:6">
      <c r="A2158" s="4" t="s">
        <v>4616</v>
      </c>
      <c r="B2158" s="6" t="s">
        <v>4617</v>
      </c>
      <c r="C2158" s="4" t="s">
        <v>140</v>
      </c>
      <c r="D2158" s="4">
        <v>15</v>
      </c>
      <c r="E2158" s="4" t="s">
        <v>4618</v>
      </c>
      <c r="F2158" s="4" t="s">
        <v>4619</v>
      </c>
    </row>
    <row r="2159" spans="1:6">
      <c r="A2159" s="4" t="s">
        <v>4620</v>
      </c>
      <c r="B2159" s="6" t="s">
        <v>4617</v>
      </c>
      <c r="C2159" s="4" t="s">
        <v>27</v>
      </c>
      <c r="D2159" s="4">
        <v>14</v>
      </c>
      <c r="E2159" s="4" t="s">
        <v>689</v>
      </c>
      <c r="F2159" s="4" t="s">
        <v>4621</v>
      </c>
    </row>
    <row r="2160" spans="1:6">
      <c r="A2160" s="4" t="s">
        <v>4622</v>
      </c>
      <c r="B2160" s="6" t="s">
        <v>4617</v>
      </c>
      <c r="C2160" s="4" t="s">
        <v>140</v>
      </c>
      <c r="D2160" s="4">
        <v>16</v>
      </c>
      <c r="E2160" s="4" t="s">
        <v>4618</v>
      </c>
      <c r="F2160" s="4" t="s">
        <v>4619</v>
      </c>
    </row>
    <row r="2161" spans="1:6">
      <c r="A2161" s="4" t="s">
        <v>4623</v>
      </c>
      <c r="B2161" s="6" t="s">
        <v>4624</v>
      </c>
      <c r="C2161" s="4" t="s">
        <v>275</v>
      </c>
      <c r="D2161" s="4">
        <v>9</v>
      </c>
      <c r="E2161" s="4" t="s">
        <v>4625</v>
      </c>
      <c r="F2161" s="4" t="s">
        <v>4626</v>
      </c>
    </row>
    <row r="2162" spans="1:6">
      <c r="A2162" s="4" t="s">
        <v>4627</v>
      </c>
      <c r="B2162" s="6" t="s">
        <v>4624</v>
      </c>
      <c r="C2162" s="4" t="s">
        <v>37</v>
      </c>
      <c r="D2162" s="4">
        <v>17</v>
      </c>
      <c r="E2162" s="4" t="s">
        <v>4625</v>
      </c>
      <c r="F2162" s="4" t="s">
        <v>4628</v>
      </c>
    </row>
    <row r="2163" spans="1:6">
      <c r="A2163" s="4" t="s">
        <v>4629</v>
      </c>
      <c r="B2163" s="6" t="s">
        <v>4630</v>
      </c>
    </row>
    <row r="2164" spans="1:6">
      <c r="A2164" s="4" t="s">
        <v>1211</v>
      </c>
      <c r="B2164" s="6" t="s">
        <v>4631</v>
      </c>
      <c r="C2164" s="4" t="s">
        <v>1211</v>
      </c>
      <c r="D2164" s="4">
        <v>6</v>
      </c>
      <c r="E2164" s="4" t="s">
        <v>4632</v>
      </c>
      <c r="F2164" s="4" t="s">
        <v>4633</v>
      </c>
    </row>
    <row r="2165" spans="1:6">
      <c r="A2165" s="4" t="s">
        <v>4634</v>
      </c>
      <c r="B2165" s="6" t="s">
        <v>4635</v>
      </c>
      <c r="C2165" s="4" t="s">
        <v>23</v>
      </c>
      <c r="D2165" s="4">
        <v>8</v>
      </c>
      <c r="E2165" s="4" t="s">
        <v>4636</v>
      </c>
      <c r="F2165" s="4" t="s">
        <v>4637</v>
      </c>
    </row>
    <row r="2166" spans="1:6">
      <c r="A2166" s="4" t="s">
        <v>4638</v>
      </c>
      <c r="B2166" s="6" t="s">
        <v>4639</v>
      </c>
      <c r="C2166" s="4" t="s">
        <v>995</v>
      </c>
      <c r="D2166" s="4">
        <v>9</v>
      </c>
      <c r="E2166" s="4" t="s">
        <v>617</v>
      </c>
      <c r="F2166" s="4" t="s">
        <v>3775</v>
      </c>
    </row>
    <row r="2167" spans="1:6">
      <c r="A2167" s="4" t="s">
        <v>4640</v>
      </c>
      <c r="B2167" s="6" t="s">
        <v>4639</v>
      </c>
      <c r="C2167" s="4" t="s">
        <v>285</v>
      </c>
      <c r="D2167" s="4">
        <v>12</v>
      </c>
      <c r="E2167" s="4" t="s">
        <v>617</v>
      </c>
    </row>
    <row r="2168" spans="1:6">
      <c r="A2168" s="4" t="s">
        <v>4641</v>
      </c>
      <c r="B2168" s="6" t="s">
        <v>4639</v>
      </c>
      <c r="C2168" s="4" t="s">
        <v>4437</v>
      </c>
      <c r="D2168" s="4">
        <v>14</v>
      </c>
      <c r="E2168" s="4" t="s">
        <v>4642</v>
      </c>
    </row>
    <row r="2169" spans="1:6">
      <c r="A2169" s="4" t="s">
        <v>4643</v>
      </c>
      <c r="B2169" s="6" t="s">
        <v>4639</v>
      </c>
      <c r="C2169" s="4" t="s">
        <v>1231</v>
      </c>
      <c r="D2169" s="4">
        <v>17</v>
      </c>
      <c r="E2169" s="4" t="s">
        <v>1615</v>
      </c>
      <c r="F2169" s="4" t="s">
        <v>4644</v>
      </c>
    </row>
    <row r="2170" spans="1:6">
      <c r="A2170" s="4" t="s">
        <v>4645</v>
      </c>
      <c r="B2170" s="6" t="s">
        <v>4646</v>
      </c>
      <c r="C2170" s="4" t="s">
        <v>995</v>
      </c>
      <c r="D2170" s="4">
        <v>10</v>
      </c>
      <c r="E2170" s="4" t="s">
        <v>4647</v>
      </c>
      <c r="F2170" s="4" t="s">
        <v>4648</v>
      </c>
    </row>
    <row r="2171" spans="1:6">
      <c r="A2171" s="4" t="s">
        <v>4649</v>
      </c>
      <c r="B2171" s="6" t="s">
        <v>4646</v>
      </c>
      <c r="C2171" s="4" t="s">
        <v>301</v>
      </c>
      <c r="D2171" s="4">
        <v>14</v>
      </c>
      <c r="E2171" s="4" t="s">
        <v>1667</v>
      </c>
      <c r="F2171" s="4" t="s">
        <v>4650</v>
      </c>
    </row>
    <row r="2172" spans="1:6">
      <c r="A2172" s="4" t="s">
        <v>4651</v>
      </c>
      <c r="B2172" s="6" t="s">
        <v>4652</v>
      </c>
      <c r="C2172" s="4" t="s">
        <v>1211</v>
      </c>
      <c r="D2172" s="4">
        <v>9</v>
      </c>
      <c r="F2172" s="4" t="s">
        <v>4653</v>
      </c>
    </row>
    <row r="2173" spans="1:6">
      <c r="A2173" s="4" t="s">
        <v>4654</v>
      </c>
      <c r="B2173" s="6" t="s">
        <v>4646</v>
      </c>
      <c r="C2173" s="4" t="s">
        <v>53</v>
      </c>
      <c r="D2173" s="4">
        <v>12</v>
      </c>
      <c r="E2173" s="4" t="s">
        <v>4655</v>
      </c>
    </row>
    <row r="2174" spans="1:6">
      <c r="A2174" s="4" t="s">
        <v>45</v>
      </c>
      <c r="B2174" s="6" t="s">
        <v>4646</v>
      </c>
      <c r="C2174" s="4" t="s">
        <v>45</v>
      </c>
      <c r="D2174" s="4">
        <v>3</v>
      </c>
      <c r="E2174" s="4" t="s">
        <v>555</v>
      </c>
    </row>
    <row r="2175" spans="1:6">
      <c r="A2175" s="4" t="s">
        <v>4656</v>
      </c>
      <c r="B2175" s="6" t="s">
        <v>4657</v>
      </c>
      <c r="C2175" s="4" t="s">
        <v>1248</v>
      </c>
      <c r="D2175" s="4">
        <v>11</v>
      </c>
      <c r="E2175" s="4" t="s">
        <v>4658</v>
      </c>
      <c r="F2175" s="4" t="s">
        <v>4659</v>
      </c>
    </row>
    <row r="2176" spans="1:6">
      <c r="A2176" s="4" t="s">
        <v>4660</v>
      </c>
      <c r="B2176" s="6" t="s">
        <v>4657</v>
      </c>
      <c r="C2176" s="4" t="s">
        <v>49</v>
      </c>
      <c r="D2176" s="4">
        <v>8</v>
      </c>
      <c r="E2176" s="4" t="s">
        <v>4658</v>
      </c>
      <c r="F2176" s="4" t="s">
        <v>4661</v>
      </c>
    </row>
    <row r="2177" spans="1:6">
      <c r="A2177" s="4" t="s">
        <v>4662</v>
      </c>
      <c r="B2177" s="6" t="s">
        <v>4657</v>
      </c>
      <c r="C2177" s="4" t="s">
        <v>34</v>
      </c>
      <c r="D2177" s="4">
        <v>11</v>
      </c>
      <c r="E2177" s="4" t="s">
        <v>505</v>
      </c>
      <c r="F2177" s="4" t="s">
        <v>3107</v>
      </c>
    </row>
    <row r="2178" spans="1:6">
      <c r="A2178" s="4" t="s">
        <v>4663</v>
      </c>
      <c r="B2178" s="6" t="s">
        <v>4657</v>
      </c>
      <c r="C2178" s="4" t="s">
        <v>315</v>
      </c>
      <c r="D2178" s="4">
        <v>16</v>
      </c>
      <c r="E2178" s="4" t="s">
        <v>505</v>
      </c>
      <c r="F2178" s="4" t="s">
        <v>4664</v>
      </c>
    </row>
    <row r="2179" spans="1:6">
      <c r="A2179" s="4" t="s">
        <v>4665</v>
      </c>
      <c r="B2179" s="6" t="s">
        <v>4666</v>
      </c>
      <c r="C2179" s="4" t="s">
        <v>4667</v>
      </c>
      <c r="D2179" s="4">
        <v>16</v>
      </c>
      <c r="E2179" s="4" t="s">
        <v>4655</v>
      </c>
    </row>
    <row r="2180" spans="1:6">
      <c r="A2180" s="4" t="s">
        <v>4668</v>
      </c>
      <c r="B2180" s="6" t="s">
        <v>4666</v>
      </c>
      <c r="C2180" s="4" t="s">
        <v>301</v>
      </c>
      <c r="D2180" s="4">
        <v>15</v>
      </c>
      <c r="E2180" s="4" t="s">
        <v>4655</v>
      </c>
    </row>
    <row r="2181" spans="1:6">
      <c r="A2181" s="4" t="s">
        <v>4669</v>
      </c>
      <c r="B2181" s="6" t="s">
        <v>4670</v>
      </c>
      <c r="C2181" s="4" t="s">
        <v>4513</v>
      </c>
      <c r="D2181" s="4">
        <v>25</v>
      </c>
      <c r="E2181" s="4" t="s">
        <v>562</v>
      </c>
      <c r="F2181" s="4" t="s">
        <v>4671</v>
      </c>
    </row>
    <row r="2182" spans="1:6">
      <c r="A2182" s="4" t="s">
        <v>4672</v>
      </c>
      <c r="B2182" s="6" t="s">
        <v>4673</v>
      </c>
      <c r="C2182" s="4" t="s">
        <v>41</v>
      </c>
      <c r="D2182" s="4">
        <v>15</v>
      </c>
      <c r="E2182" s="4" t="s">
        <v>505</v>
      </c>
    </row>
    <row r="2183" spans="1:6">
      <c r="A2183" s="4" t="s">
        <v>4674</v>
      </c>
      <c r="B2183" s="6" t="s">
        <v>4675</v>
      </c>
      <c r="C2183" s="4" t="s">
        <v>458</v>
      </c>
      <c r="D2183" s="4">
        <v>9</v>
      </c>
      <c r="E2183" s="4" t="s">
        <v>505</v>
      </c>
    </row>
    <row r="2184" spans="1:6">
      <c r="A2184" s="4" t="s">
        <v>4676</v>
      </c>
      <c r="B2184" s="6" t="s">
        <v>4675</v>
      </c>
      <c r="C2184" s="4" t="s">
        <v>53</v>
      </c>
      <c r="D2184" s="4">
        <v>8</v>
      </c>
      <c r="E2184" s="4" t="s">
        <v>4658</v>
      </c>
    </row>
    <row r="2185" spans="1:6">
      <c r="A2185" s="4" t="s">
        <v>4677</v>
      </c>
      <c r="B2185" s="6" t="s">
        <v>4678</v>
      </c>
      <c r="C2185" s="4" t="s">
        <v>705</v>
      </c>
      <c r="D2185" s="4">
        <v>10</v>
      </c>
      <c r="E2185" s="4" t="s">
        <v>4655</v>
      </c>
      <c r="F2185" s="4" t="s">
        <v>934</v>
      </c>
    </row>
    <row r="2186" spans="1:6">
      <c r="A2186" s="4" t="s">
        <v>4679</v>
      </c>
      <c r="B2186" s="6" t="s">
        <v>4678</v>
      </c>
      <c r="C2186" s="4" t="s">
        <v>976</v>
      </c>
      <c r="D2186" s="4">
        <v>8</v>
      </c>
      <c r="E2186" s="4" t="s">
        <v>4680</v>
      </c>
      <c r="F2186" s="4" t="s">
        <v>4681</v>
      </c>
    </row>
    <row r="2187" spans="1:6">
      <c r="A2187" s="4" t="s">
        <v>4682</v>
      </c>
      <c r="B2187" s="6" t="s">
        <v>4678</v>
      </c>
      <c r="C2187" s="4" t="s">
        <v>254</v>
      </c>
      <c r="D2187" s="4">
        <v>10</v>
      </c>
      <c r="E2187" s="4" t="s">
        <v>629</v>
      </c>
    </row>
    <row r="2188" spans="1:6">
      <c r="A2188" s="4" t="s">
        <v>4683</v>
      </c>
      <c r="B2188" s="6" t="s">
        <v>4678</v>
      </c>
      <c r="C2188" s="4" t="s">
        <v>14</v>
      </c>
      <c r="D2188" s="4">
        <v>11</v>
      </c>
      <c r="E2188" s="4" t="s">
        <v>4655</v>
      </c>
    </row>
    <row r="2189" spans="1:6">
      <c r="A2189" s="4" t="s">
        <v>4684</v>
      </c>
      <c r="B2189" s="6" t="s">
        <v>4685</v>
      </c>
      <c r="C2189" s="4" t="s">
        <v>917</v>
      </c>
      <c r="D2189" s="4">
        <v>11</v>
      </c>
      <c r="E2189" s="4" t="s">
        <v>4655</v>
      </c>
    </row>
    <row r="2190" spans="1:6">
      <c r="A2190" s="4" t="s">
        <v>4686</v>
      </c>
      <c r="B2190" s="6" t="s">
        <v>4687</v>
      </c>
      <c r="C2190" s="4" t="s">
        <v>342</v>
      </c>
      <c r="D2190" s="4">
        <v>13</v>
      </c>
      <c r="E2190" s="4" t="s">
        <v>4625</v>
      </c>
    </row>
    <row r="2191" spans="1:6">
      <c r="A2191" s="4" t="s">
        <v>4688</v>
      </c>
      <c r="B2191" s="6" t="s">
        <v>4687</v>
      </c>
      <c r="C2191" s="4" t="s">
        <v>315</v>
      </c>
      <c r="D2191" s="4">
        <v>14</v>
      </c>
      <c r="E2191" s="4" t="s">
        <v>1547</v>
      </c>
    </row>
    <row r="2192" spans="1:6">
      <c r="A2192" s="4" t="s">
        <v>4689</v>
      </c>
      <c r="B2192" s="6" t="s">
        <v>4687</v>
      </c>
      <c r="C2192" s="4" t="s">
        <v>132</v>
      </c>
      <c r="D2192" s="4">
        <v>14</v>
      </c>
      <c r="E2192" s="4" t="s">
        <v>4625</v>
      </c>
      <c r="F2192" s="4" t="s">
        <v>2141</v>
      </c>
    </row>
    <row r="2193" spans="1:6">
      <c r="A2193" s="4" t="s">
        <v>4690</v>
      </c>
      <c r="B2193" s="6" t="s">
        <v>4687</v>
      </c>
      <c r="C2193" s="4" t="s">
        <v>104</v>
      </c>
      <c r="D2193" s="4">
        <v>8</v>
      </c>
      <c r="E2193" s="4" t="s">
        <v>1547</v>
      </c>
      <c r="F2193" s="4" t="s">
        <v>4691</v>
      </c>
    </row>
    <row r="2194" spans="1:6">
      <c r="A2194" s="4" t="s">
        <v>4692</v>
      </c>
      <c r="B2194" s="6" t="s">
        <v>4687</v>
      </c>
      <c r="C2194" s="4" t="s">
        <v>104</v>
      </c>
      <c r="D2194" s="4">
        <v>14</v>
      </c>
      <c r="E2194" s="4" t="s">
        <v>4636</v>
      </c>
    </row>
    <row r="2195" spans="1:6">
      <c r="A2195" s="4" t="s">
        <v>4693</v>
      </c>
      <c r="B2195" s="6" t="s">
        <v>4687</v>
      </c>
      <c r="C2195" s="4" t="s">
        <v>427</v>
      </c>
      <c r="D2195" s="4">
        <v>16</v>
      </c>
      <c r="E2195" s="4" t="s">
        <v>4694</v>
      </c>
    </row>
    <row r="2196" spans="1:6">
      <c r="A2196" s="4" t="s">
        <v>4695</v>
      </c>
      <c r="B2196" s="6" t="s">
        <v>4687</v>
      </c>
      <c r="C2196" s="4" t="s">
        <v>3483</v>
      </c>
      <c r="D2196" s="4">
        <v>10</v>
      </c>
      <c r="E2196" s="4" t="s">
        <v>4694</v>
      </c>
    </row>
    <row r="2197" spans="1:6">
      <c r="A2197" s="4" t="s">
        <v>4696</v>
      </c>
      <c r="B2197" s="6" t="s">
        <v>4697</v>
      </c>
      <c r="C2197" s="4" t="s">
        <v>3168</v>
      </c>
      <c r="D2197" s="4">
        <v>15</v>
      </c>
      <c r="E2197" s="4" t="s">
        <v>4698</v>
      </c>
      <c r="F2197" s="4" t="s">
        <v>4699</v>
      </c>
    </row>
    <row r="2198" spans="1:6">
      <c r="A2198" s="4" t="s">
        <v>4700</v>
      </c>
      <c r="B2198" s="6" t="s">
        <v>4697</v>
      </c>
      <c r="C2198" s="4" t="s">
        <v>140</v>
      </c>
      <c r="D2198" s="4">
        <v>23</v>
      </c>
      <c r="E2198" s="4" t="s">
        <v>638</v>
      </c>
      <c r="F2198" s="4" t="s">
        <v>4701</v>
      </c>
    </row>
    <row r="2199" spans="1:6">
      <c r="A2199" s="4" t="s">
        <v>4702</v>
      </c>
      <c r="B2199" s="6" t="s">
        <v>4697</v>
      </c>
      <c r="C2199" s="4" t="s">
        <v>4703</v>
      </c>
      <c r="D2199" s="4">
        <v>19</v>
      </c>
      <c r="E2199" s="4" t="s">
        <v>617</v>
      </c>
      <c r="F2199" s="4" t="s">
        <v>4704</v>
      </c>
    </row>
    <row r="2200" spans="1:6">
      <c r="A2200" s="4" t="s">
        <v>4705</v>
      </c>
      <c r="B2200" s="6" t="s">
        <v>4697</v>
      </c>
      <c r="C2200" s="4" t="s">
        <v>14</v>
      </c>
      <c r="D2200" s="4">
        <v>12</v>
      </c>
      <c r="E2200" s="4" t="s">
        <v>1615</v>
      </c>
      <c r="F2200" s="4" t="s">
        <v>4706</v>
      </c>
    </row>
    <row r="2201" spans="1:6">
      <c r="A2201" s="4" t="s">
        <v>4707</v>
      </c>
      <c r="B2201" s="6" t="s">
        <v>4697</v>
      </c>
      <c r="C2201" s="4" t="s">
        <v>45</v>
      </c>
      <c r="D2201" s="4">
        <v>12</v>
      </c>
      <c r="E2201" s="4" t="s">
        <v>1615</v>
      </c>
    </row>
    <row r="2202" spans="1:6">
      <c r="A2202" s="4" t="s">
        <v>301</v>
      </c>
      <c r="B2202" s="6" t="s">
        <v>4708</v>
      </c>
      <c r="C2202" s="4" t="s">
        <v>301</v>
      </c>
      <c r="D2202" s="4">
        <v>6</v>
      </c>
      <c r="E2202" s="4" t="s">
        <v>1047</v>
      </c>
      <c r="F2202" s="4" t="s">
        <v>4709</v>
      </c>
    </row>
    <row r="2203" spans="1:6">
      <c r="A2203" s="4" t="s">
        <v>3483</v>
      </c>
      <c r="B2203" s="6" t="s">
        <v>4708</v>
      </c>
      <c r="C2203" s="4" t="s">
        <v>3483</v>
      </c>
      <c r="D2203" s="4">
        <v>2</v>
      </c>
      <c r="E2203" s="4" t="s">
        <v>4710</v>
      </c>
    </row>
    <row r="2204" spans="1:6">
      <c r="A2204" s="4" t="s">
        <v>4711</v>
      </c>
      <c r="B2204" s="6" t="s">
        <v>4708</v>
      </c>
      <c r="C2204" s="4" t="s">
        <v>3483</v>
      </c>
      <c r="D2204" s="4">
        <v>15</v>
      </c>
      <c r="E2204" s="4" t="s">
        <v>4710</v>
      </c>
    </row>
    <row r="2205" spans="1:6">
      <c r="A2205" s="4" t="s">
        <v>4712</v>
      </c>
      <c r="B2205" s="6" t="s">
        <v>4713</v>
      </c>
      <c r="C2205" s="4" t="s">
        <v>87</v>
      </c>
      <c r="D2205" s="4">
        <v>7</v>
      </c>
      <c r="E2205" s="4" t="s">
        <v>4714</v>
      </c>
    </row>
    <row r="2206" spans="1:6">
      <c r="A2206" s="4" t="s">
        <v>4715</v>
      </c>
      <c r="B2206" s="6" t="s">
        <v>4716</v>
      </c>
      <c r="C2206" s="4" t="s">
        <v>354</v>
      </c>
      <c r="D2206" s="4">
        <v>14</v>
      </c>
      <c r="E2206" s="4" t="s">
        <v>4717</v>
      </c>
    </row>
    <row r="2207" spans="1:6">
      <c r="A2207" s="4" t="s">
        <v>4718</v>
      </c>
      <c r="B2207" s="6" t="s">
        <v>4716</v>
      </c>
      <c r="C2207" s="4" t="s">
        <v>53</v>
      </c>
      <c r="D2207" s="4">
        <v>14</v>
      </c>
      <c r="E2207" s="4" t="s">
        <v>4719</v>
      </c>
    </row>
    <row r="2208" spans="1:6">
      <c r="A2208" s="4" t="s">
        <v>4720</v>
      </c>
      <c r="B2208" s="6" t="s">
        <v>4716</v>
      </c>
      <c r="C2208" s="4" t="s">
        <v>427</v>
      </c>
      <c r="D2208" s="4">
        <v>16</v>
      </c>
      <c r="E2208" s="4" t="s">
        <v>4721</v>
      </c>
    </row>
    <row r="2209" spans="1:6">
      <c r="A2209" s="4" t="s">
        <v>4722</v>
      </c>
      <c r="B2209" s="6" t="s">
        <v>4716</v>
      </c>
      <c r="C2209" s="4" t="s">
        <v>427</v>
      </c>
      <c r="D2209" s="4">
        <v>16</v>
      </c>
      <c r="E2209" s="4" t="s">
        <v>4721</v>
      </c>
    </row>
    <row r="2210" spans="1:6">
      <c r="A2210" s="4" t="s">
        <v>4723</v>
      </c>
      <c r="B2210" s="6" t="s">
        <v>4716</v>
      </c>
      <c r="C2210" s="4" t="s">
        <v>34</v>
      </c>
      <c r="D2210" s="4">
        <v>13</v>
      </c>
      <c r="E2210" s="4" t="s">
        <v>4724</v>
      </c>
    </row>
    <row r="2211" spans="1:6">
      <c r="A2211" s="4" t="s">
        <v>4725</v>
      </c>
      <c r="B2211" s="6" t="s">
        <v>4726</v>
      </c>
      <c r="C2211" s="4" t="s">
        <v>14</v>
      </c>
      <c r="D2211" s="4">
        <v>12</v>
      </c>
      <c r="E2211" s="4" t="s">
        <v>638</v>
      </c>
    </row>
    <row r="2212" spans="1:6">
      <c r="A2212" s="4" t="s">
        <v>110</v>
      </c>
      <c r="B2212" s="6" t="s">
        <v>4727</v>
      </c>
      <c r="C2212" s="4" t="s">
        <v>110</v>
      </c>
      <c r="D2212" s="4">
        <v>8</v>
      </c>
      <c r="E2212" s="4" t="s">
        <v>4728</v>
      </c>
      <c r="F2212" s="4" t="s">
        <v>4117</v>
      </c>
    </row>
    <row r="2213" spans="1:6">
      <c r="A2213" s="4" t="s">
        <v>4729</v>
      </c>
      <c r="B2213" s="6" t="s">
        <v>4727</v>
      </c>
      <c r="C2213" s="4" t="s">
        <v>34</v>
      </c>
      <c r="D2213" s="4">
        <v>11</v>
      </c>
      <c r="E2213" s="4" t="s">
        <v>4728</v>
      </c>
    </row>
    <row r="2214" spans="1:6">
      <c r="A2214" s="4" t="s">
        <v>4730</v>
      </c>
      <c r="B2214" s="6" t="s">
        <v>4727</v>
      </c>
      <c r="C2214" s="4" t="s">
        <v>254</v>
      </c>
      <c r="D2214" s="4">
        <v>10</v>
      </c>
      <c r="E2214" s="4" t="s">
        <v>4728</v>
      </c>
    </row>
    <row r="2215" spans="1:6">
      <c r="A2215" s="4" t="s">
        <v>4731</v>
      </c>
      <c r="B2215" s="6" t="s">
        <v>4732</v>
      </c>
      <c r="C2215" s="4" t="s">
        <v>104</v>
      </c>
      <c r="D2215" s="4">
        <v>17</v>
      </c>
      <c r="E2215" s="4" t="s">
        <v>4477</v>
      </c>
    </row>
    <row r="2216" spans="1:6">
      <c r="A2216" s="4" t="s">
        <v>4733</v>
      </c>
      <c r="B2216" s="6" t="s">
        <v>4732</v>
      </c>
      <c r="C2216" s="4" t="s">
        <v>49</v>
      </c>
      <c r="D2216" s="4">
        <v>13</v>
      </c>
      <c r="E2216" s="4" t="s">
        <v>4483</v>
      </c>
      <c r="F2216" s="4" t="s">
        <v>615</v>
      </c>
    </row>
    <row r="2217" spans="1:6">
      <c r="A2217" s="4" t="s">
        <v>4734</v>
      </c>
      <c r="B2217" s="6" t="s">
        <v>4732</v>
      </c>
      <c r="C2217" s="4" t="s">
        <v>53</v>
      </c>
      <c r="D2217" s="4">
        <v>17</v>
      </c>
      <c r="E2217" s="4" t="s">
        <v>4477</v>
      </c>
    </row>
    <row r="2218" spans="1:6">
      <c r="A2218" s="4" t="s">
        <v>4735</v>
      </c>
      <c r="B2218" s="6" t="s">
        <v>4736</v>
      </c>
      <c r="C2218" s="4" t="s">
        <v>53</v>
      </c>
      <c r="D2218" s="4">
        <v>9</v>
      </c>
      <c r="E2218" s="4" t="s">
        <v>428</v>
      </c>
      <c r="F2218" s="4" t="s">
        <v>4737</v>
      </c>
    </row>
    <row r="2219" spans="1:6">
      <c r="A2219" s="4" t="s">
        <v>4738</v>
      </c>
      <c r="B2219" s="6" t="s">
        <v>4739</v>
      </c>
      <c r="C2219" s="4" t="s">
        <v>1835</v>
      </c>
      <c r="D2219" s="4">
        <v>6</v>
      </c>
      <c r="E2219" s="4" t="s">
        <v>4455</v>
      </c>
      <c r="F2219" s="4" t="s">
        <v>4740</v>
      </c>
    </row>
    <row r="2220" spans="1:6">
      <c r="A2220" s="4" t="s">
        <v>4741</v>
      </c>
      <c r="B2220" s="6" t="s">
        <v>4742</v>
      </c>
      <c r="C2220" s="4" t="s">
        <v>705</v>
      </c>
      <c r="D2220" s="4">
        <v>12</v>
      </c>
      <c r="E2220" s="4" t="s">
        <v>4597</v>
      </c>
      <c r="F2220" s="4" t="s">
        <v>4743</v>
      </c>
    </row>
    <row r="2221" spans="1:6">
      <c r="A2221" s="4" t="s">
        <v>4744</v>
      </c>
      <c r="B2221" s="6" t="s">
        <v>4742</v>
      </c>
      <c r="C2221" s="4" t="s">
        <v>27</v>
      </c>
      <c r="D2221" s="4">
        <v>13</v>
      </c>
      <c r="E2221" s="4" t="s">
        <v>4597</v>
      </c>
      <c r="F2221" s="4" t="s">
        <v>4745</v>
      </c>
    </row>
    <row r="2222" spans="1:6">
      <c r="A2222" s="4" t="s">
        <v>4746</v>
      </c>
      <c r="B2222" s="6" t="s">
        <v>4742</v>
      </c>
      <c r="C2222" s="4" t="s">
        <v>81</v>
      </c>
      <c r="D2222" s="4">
        <v>14</v>
      </c>
      <c r="E2222" s="4" t="s">
        <v>4597</v>
      </c>
      <c r="F2222" s="4" t="s">
        <v>4747</v>
      </c>
    </row>
    <row r="2223" spans="1:6">
      <c r="A2223" s="4" t="s">
        <v>4748</v>
      </c>
      <c r="B2223" s="6" t="s">
        <v>4742</v>
      </c>
      <c r="C2223" s="4" t="s">
        <v>104</v>
      </c>
      <c r="D2223" s="4">
        <v>14</v>
      </c>
      <c r="E2223" s="4" t="s">
        <v>4597</v>
      </c>
      <c r="F2223" s="4" t="s">
        <v>4749</v>
      </c>
    </row>
    <row r="2224" spans="1:6">
      <c r="A2224" s="4" t="s">
        <v>53</v>
      </c>
      <c r="B2224" s="6" t="s">
        <v>4750</v>
      </c>
      <c r="C2224" s="4" t="s">
        <v>53</v>
      </c>
      <c r="D2224" s="4">
        <v>4</v>
      </c>
      <c r="E2224" s="4" t="s">
        <v>4751</v>
      </c>
      <c r="F2224" s="4" t="s">
        <v>3036</v>
      </c>
    </row>
    <row r="2225" spans="1:6">
      <c r="A2225" s="4" t="s">
        <v>4752</v>
      </c>
      <c r="B2225" s="6" t="s">
        <v>4750</v>
      </c>
      <c r="C2225" s="4" t="s">
        <v>53</v>
      </c>
      <c r="D2225" s="4">
        <v>7</v>
      </c>
      <c r="F2225" s="4" t="s">
        <v>4753</v>
      </c>
    </row>
    <row r="2226" spans="1:6">
      <c r="A2226" s="4" t="s">
        <v>4754</v>
      </c>
      <c r="B2226" s="6" t="s">
        <v>4750</v>
      </c>
      <c r="C2226" s="4" t="s">
        <v>87</v>
      </c>
      <c r="D2226" s="4">
        <v>7</v>
      </c>
      <c r="E2226" s="4" t="s">
        <v>4618</v>
      </c>
    </row>
    <row r="2227" spans="1:6">
      <c r="A2227" s="4" t="s">
        <v>4755</v>
      </c>
      <c r="B2227" s="6" t="s">
        <v>4756</v>
      </c>
      <c r="C2227" s="4" t="s">
        <v>1569</v>
      </c>
      <c r="D2227" s="4">
        <v>13</v>
      </c>
      <c r="E2227" s="4" t="s">
        <v>4757</v>
      </c>
      <c r="F2227" s="4" t="s">
        <v>4758</v>
      </c>
    </row>
    <row r="2228" spans="1:6">
      <c r="A2228" s="4" t="s">
        <v>4759</v>
      </c>
      <c r="B2228" s="6" t="s">
        <v>4756</v>
      </c>
      <c r="C2228" s="4" t="s">
        <v>1569</v>
      </c>
      <c r="D2228" s="4">
        <v>11</v>
      </c>
      <c r="E2228" s="4" t="s">
        <v>4760</v>
      </c>
    </row>
    <row r="2229" spans="1:6">
      <c r="A2229" s="4" t="s">
        <v>4761</v>
      </c>
      <c r="B2229" s="6" t="s">
        <v>4756</v>
      </c>
      <c r="C2229" s="4" t="s">
        <v>254</v>
      </c>
      <c r="D2229" s="4">
        <v>15</v>
      </c>
      <c r="E2229" s="4" t="s">
        <v>428</v>
      </c>
      <c r="F2229" s="4" t="s">
        <v>4762</v>
      </c>
    </row>
    <row r="2230" spans="1:6">
      <c r="A2230" s="4" t="s">
        <v>4763</v>
      </c>
      <c r="B2230" s="6" t="s">
        <v>4764</v>
      </c>
      <c r="C2230" s="4" t="s">
        <v>87</v>
      </c>
      <c r="D2230" s="4">
        <v>7</v>
      </c>
      <c r="E2230" s="4" t="s">
        <v>4765</v>
      </c>
    </row>
    <row r="2231" spans="1:6">
      <c r="A2231" s="4" t="s">
        <v>4766</v>
      </c>
      <c r="B2231" s="6" t="s">
        <v>4764</v>
      </c>
      <c r="C2231" s="4" t="s">
        <v>544</v>
      </c>
      <c r="D2231" s="4">
        <v>8</v>
      </c>
      <c r="E2231" s="4" t="s">
        <v>706</v>
      </c>
    </row>
    <row r="2232" spans="1:6">
      <c r="A2232" s="4" t="s">
        <v>4767</v>
      </c>
      <c r="B2232" s="6" t="s">
        <v>4764</v>
      </c>
      <c r="C2232" s="4" t="s">
        <v>87</v>
      </c>
      <c r="D2232" s="4">
        <v>7</v>
      </c>
      <c r="E2232" s="4" t="s">
        <v>4765</v>
      </c>
    </row>
    <row r="2233" spans="1:6">
      <c r="A2233" s="4" t="s">
        <v>4768</v>
      </c>
      <c r="B2233" s="6" t="s">
        <v>4769</v>
      </c>
      <c r="C2233" s="4" t="s">
        <v>14</v>
      </c>
      <c r="D2233" s="4">
        <v>8</v>
      </c>
      <c r="E2233" s="4" t="s">
        <v>4455</v>
      </c>
      <c r="F2233" s="4" t="s">
        <v>4770</v>
      </c>
    </row>
    <row r="2234" spans="1:6">
      <c r="A2234" s="4" t="s">
        <v>4771</v>
      </c>
      <c r="B2234" s="6" t="s">
        <v>4769</v>
      </c>
      <c r="C2234" s="4" t="s">
        <v>104</v>
      </c>
      <c r="D2234" s="4">
        <v>9</v>
      </c>
      <c r="E2234" s="4" t="s">
        <v>4452</v>
      </c>
    </row>
    <row r="2235" spans="1:6">
      <c r="A2235" s="4" t="s">
        <v>4772</v>
      </c>
      <c r="B2235" s="6" t="s">
        <v>4773</v>
      </c>
      <c r="C2235" s="4" t="s">
        <v>81</v>
      </c>
      <c r="D2235" s="4">
        <v>12</v>
      </c>
      <c r="E2235" s="4" t="s">
        <v>4774</v>
      </c>
      <c r="F2235" s="4" t="s">
        <v>4775</v>
      </c>
    </row>
    <row r="2236" spans="1:6">
      <c r="A2236" s="4" t="s">
        <v>4776</v>
      </c>
      <c r="B2236" s="6" t="s">
        <v>4773</v>
      </c>
      <c r="C2236" s="4" t="s">
        <v>81</v>
      </c>
      <c r="D2236" s="4">
        <v>18</v>
      </c>
      <c r="E2236" s="4" t="s">
        <v>4777</v>
      </c>
    </row>
    <row r="2237" spans="1:6">
      <c r="A2237" s="4" t="s">
        <v>4778</v>
      </c>
      <c r="B2237" s="6" t="s">
        <v>4779</v>
      </c>
      <c r="C2237" s="4" t="s">
        <v>243</v>
      </c>
      <c r="D2237" s="4">
        <v>4</v>
      </c>
      <c r="F2237" s="4" t="s">
        <v>4780</v>
      </c>
    </row>
    <row r="2238" spans="1:6">
      <c r="A2238" s="4" t="s">
        <v>4781</v>
      </c>
      <c r="B2238" s="6" t="s">
        <v>4782</v>
      </c>
      <c r="C2238" s="4" t="s">
        <v>14</v>
      </c>
      <c r="D2238" s="4">
        <v>9</v>
      </c>
      <c r="E2238" s="4" t="s">
        <v>4493</v>
      </c>
      <c r="F2238" s="4" t="s">
        <v>4783</v>
      </c>
    </row>
    <row r="2239" spans="1:6">
      <c r="A2239" s="4" t="s">
        <v>4784</v>
      </c>
      <c r="B2239" s="6" t="s">
        <v>4785</v>
      </c>
      <c r="C2239" s="4" t="s">
        <v>2111</v>
      </c>
      <c r="D2239" s="4">
        <v>8</v>
      </c>
      <c r="E2239" s="4" t="s">
        <v>428</v>
      </c>
      <c r="F2239" s="4" t="s">
        <v>4786</v>
      </c>
    </row>
    <row r="2240" spans="1:6">
      <c r="A2240" s="4" t="s">
        <v>995</v>
      </c>
      <c r="B2240" s="6" t="s">
        <v>4785</v>
      </c>
      <c r="C2240" s="4" t="s">
        <v>995</v>
      </c>
      <c r="D2240" s="4">
        <v>5</v>
      </c>
      <c r="E2240" s="4" t="s">
        <v>4618</v>
      </c>
      <c r="F2240" s="4" t="s">
        <v>4787</v>
      </c>
    </row>
    <row r="2241" spans="1:6">
      <c r="A2241" s="4" t="s">
        <v>4788</v>
      </c>
      <c r="B2241" s="6" t="s">
        <v>4785</v>
      </c>
      <c r="C2241" s="4" t="s">
        <v>995</v>
      </c>
      <c r="D2241" s="4">
        <v>13</v>
      </c>
      <c r="E2241" s="4" t="s">
        <v>4751</v>
      </c>
      <c r="F2241" s="4" t="s">
        <v>4789</v>
      </c>
    </row>
    <row r="2242" spans="1:6">
      <c r="A2242" s="4" t="s">
        <v>4790</v>
      </c>
      <c r="B2242" s="6" t="s">
        <v>4791</v>
      </c>
      <c r="C2242" s="4" t="s">
        <v>37</v>
      </c>
      <c r="D2242" s="4">
        <v>16</v>
      </c>
      <c r="E2242" s="4" t="s">
        <v>4574</v>
      </c>
      <c r="F2242" s="4" t="s">
        <v>2377</v>
      </c>
    </row>
    <row r="2243" spans="1:6">
      <c r="A2243" s="4" t="s">
        <v>4792</v>
      </c>
      <c r="B2243" s="6" t="s">
        <v>4793</v>
      </c>
      <c r="C2243" s="4" t="s">
        <v>1851</v>
      </c>
      <c r="D2243" s="4">
        <v>9</v>
      </c>
      <c r="E2243" s="4" t="s">
        <v>1615</v>
      </c>
      <c r="F2243" s="4" t="s">
        <v>4794</v>
      </c>
    </row>
    <row r="2244" spans="1:6">
      <c r="A2244" s="4" t="s">
        <v>4795</v>
      </c>
      <c r="B2244" s="6" t="s">
        <v>4796</v>
      </c>
      <c r="C2244" s="4" t="s">
        <v>179</v>
      </c>
      <c r="D2244" s="4">
        <v>7</v>
      </c>
      <c r="E2244" s="4" t="s">
        <v>4797</v>
      </c>
    </row>
    <row r="2245" spans="1:6">
      <c r="A2245" s="4" t="s">
        <v>4798</v>
      </c>
      <c r="B2245" s="6" t="s">
        <v>4796</v>
      </c>
      <c r="C2245" s="4" t="s">
        <v>53</v>
      </c>
      <c r="D2245" s="4">
        <v>11</v>
      </c>
      <c r="E2245" s="4" t="s">
        <v>4797</v>
      </c>
    </row>
    <row r="2246" spans="1:6">
      <c r="A2246" s="4" t="s">
        <v>4799</v>
      </c>
      <c r="B2246" s="6" t="s">
        <v>4796</v>
      </c>
      <c r="C2246" s="4" t="s">
        <v>254</v>
      </c>
      <c r="D2246" s="4">
        <v>21</v>
      </c>
      <c r="E2246" s="4" t="s">
        <v>1989</v>
      </c>
    </row>
    <row r="2247" spans="1:6">
      <c r="A2247" s="4" t="s">
        <v>4800</v>
      </c>
      <c r="B2247" s="6" t="s">
        <v>4796</v>
      </c>
      <c r="C2247" s="4" t="s">
        <v>14</v>
      </c>
      <c r="D2247" s="4">
        <v>10</v>
      </c>
      <c r="E2247" s="4" t="s">
        <v>4801</v>
      </c>
    </row>
    <row r="2248" spans="1:6">
      <c r="A2248" s="4" t="s">
        <v>4802</v>
      </c>
      <c r="B2248" s="6" t="s">
        <v>4803</v>
      </c>
      <c r="C2248" s="4" t="s">
        <v>420</v>
      </c>
      <c r="D2248" s="4">
        <v>7</v>
      </c>
      <c r="E2248" s="4" t="s">
        <v>4804</v>
      </c>
      <c r="F2248" s="4" t="s">
        <v>4805</v>
      </c>
    </row>
    <row r="2249" spans="1:6">
      <c r="A2249" s="4" t="s">
        <v>4806</v>
      </c>
      <c r="B2249" s="6" t="s">
        <v>4803</v>
      </c>
      <c r="C2249" s="4" t="s">
        <v>263</v>
      </c>
      <c r="D2249" s="4">
        <v>9</v>
      </c>
      <c r="E2249" s="4" t="s">
        <v>4807</v>
      </c>
      <c r="F2249" s="4" t="s">
        <v>4808</v>
      </c>
    </row>
    <row r="2250" spans="1:6">
      <c r="A2250" s="4" t="s">
        <v>4809</v>
      </c>
      <c r="B2250" s="6" t="s">
        <v>4803</v>
      </c>
      <c r="C2250" s="4" t="s">
        <v>23</v>
      </c>
      <c r="D2250" s="4">
        <v>12</v>
      </c>
      <c r="E2250" s="4" t="s">
        <v>4810</v>
      </c>
      <c r="F2250" s="4" t="s">
        <v>4811</v>
      </c>
    </row>
    <row r="2251" spans="1:6">
      <c r="A2251" s="4" t="s">
        <v>4812</v>
      </c>
      <c r="B2251" s="6" t="s">
        <v>4803</v>
      </c>
      <c r="C2251" s="4" t="s">
        <v>53</v>
      </c>
      <c r="D2251" s="4">
        <v>13</v>
      </c>
      <c r="E2251" s="4" t="s">
        <v>4813</v>
      </c>
      <c r="F2251" s="4" t="s">
        <v>4814</v>
      </c>
    </row>
    <row r="2252" spans="1:6">
      <c r="A2252" s="4" t="s">
        <v>4815</v>
      </c>
      <c r="B2252" s="6" t="s">
        <v>4803</v>
      </c>
      <c r="C2252" s="4" t="s">
        <v>14</v>
      </c>
      <c r="D2252" s="4">
        <v>10</v>
      </c>
      <c r="E2252" s="4" t="s">
        <v>4810</v>
      </c>
      <c r="F2252" s="4" t="s">
        <v>4811</v>
      </c>
    </row>
    <row r="2253" spans="1:6">
      <c r="A2253" s="4" t="s">
        <v>4816</v>
      </c>
      <c r="B2253" s="6" t="s">
        <v>4817</v>
      </c>
      <c r="C2253" s="4" t="s">
        <v>23</v>
      </c>
      <c r="D2253" s="4">
        <v>18</v>
      </c>
      <c r="E2253" s="4" t="s">
        <v>4818</v>
      </c>
      <c r="F2253" s="4" t="s">
        <v>2031</v>
      </c>
    </row>
    <row r="2254" spans="1:6">
      <c r="A2254" s="4" t="s">
        <v>4819</v>
      </c>
      <c r="B2254" s="6" t="s">
        <v>4820</v>
      </c>
      <c r="C2254" s="4" t="s">
        <v>23</v>
      </c>
      <c r="D2254" s="4">
        <v>8</v>
      </c>
      <c r="E2254" s="4" t="s">
        <v>4821</v>
      </c>
    </row>
    <row r="2255" spans="1:6">
      <c r="A2255" s="4" t="s">
        <v>4822</v>
      </c>
      <c r="B2255" s="6" t="s">
        <v>4823</v>
      </c>
      <c r="C2255" s="4" t="s">
        <v>34</v>
      </c>
      <c r="D2255" s="4">
        <v>10</v>
      </c>
      <c r="E2255" s="4" t="s">
        <v>4824</v>
      </c>
    </row>
    <row r="2256" spans="1:6">
      <c r="A2256" s="4" t="s">
        <v>4825</v>
      </c>
      <c r="B2256" s="6" t="s">
        <v>4826</v>
      </c>
      <c r="C2256" s="4" t="s">
        <v>34</v>
      </c>
      <c r="D2256" s="4">
        <v>9</v>
      </c>
      <c r="E2256" s="4" t="s">
        <v>4797</v>
      </c>
    </row>
    <row r="2257" spans="1:6">
      <c r="A2257" s="4" t="s">
        <v>4827</v>
      </c>
      <c r="B2257" s="6" t="s">
        <v>4826</v>
      </c>
      <c r="C2257" s="4" t="s">
        <v>34</v>
      </c>
      <c r="D2257" s="4">
        <v>10</v>
      </c>
      <c r="E2257" s="4" t="s">
        <v>4801</v>
      </c>
    </row>
    <row r="2258" spans="1:6">
      <c r="A2258" s="4" t="s">
        <v>4828</v>
      </c>
      <c r="B2258" s="6" t="s">
        <v>4829</v>
      </c>
      <c r="C2258" s="4" t="s">
        <v>1591</v>
      </c>
      <c r="D2258" s="4">
        <v>9</v>
      </c>
      <c r="E2258" s="4" t="s">
        <v>4830</v>
      </c>
    </row>
    <row r="2259" spans="1:6">
      <c r="A2259" s="4" t="s">
        <v>4831</v>
      </c>
      <c r="B2259" s="6" t="s">
        <v>4829</v>
      </c>
      <c r="C2259" s="4" t="s">
        <v>520</v>
      </c>
      <c r="D2259" s="4">
        <v>10</v>
      </c>
      <c r="E2259" s="4" t="s">
        <v>4830</v>
      </c>
    </row>
    <row r="2260" spans="1:6">
      <c r="A2260" s="4" t="s">
        <v>4832</v>
      </c>
      <c r="B2260" s="6" t="s">
        <v>4833</v>
      </c>
      <c r="C2260" s="4" t="s">
        <v>963</v>
      </c>
      <c r="D2260" s="4">
        <v>2</v>
      </c>
      <c r="E2260" s="4" t="s">
        <v>4830</v>
      </c>
      <c r="F2260" s="4" t="s">
        <v>1058</v>
      </c>
    </row>
    <row r="2261" spans="1:6">
      <c r="A2261" s="4" t="s">
        <v>4834</v>
      </c>
      <c r="B2261" s="6" t="s">
        <v>4835</v>
      </c>
      <c r="C2261" s="4" t="s">
        <v>860</v>
      </c>
      <c r="D2261" s="4">
        <v>11</v>
      </c>
      <c r="E2261" s="4" t="s">
        <v>4818</v>
      </c>
    </row>
    <row r="2262" spans="1:6">
      <c r="A2262" s="4" t="s">
        <v>4836</v>
      </c>
      <c r="B2262" s="6" t="s">
        <v>4835</v>
      </c>
      <c r="C2262" s="4" t="s">
        <v>81</v>
      </c>
      <c r="D2262" s="4">
        <v>10</v>
      </c>
      <c r="E2262" s="4" t="s">
        <v>4818</v>
      </c>
      <c r="F2262" s="4" t="s">
        <v>4837</v>
      </c>
    </row>
    <row r="2263" spans="1:6">
      <c r="A2263" s="4" t="s">
        <v>4838</v>
      </c>
      <c r="B2263" s="6" t="s">
        <v>4835</v>
      </c>
      <c r="C2263" s="4" t="s">
        <v>81</v>
      </c>
      <c r="D2263" s="4">
        <v>12</v>
      </c>
      <c r="E2263" s="4" t="s">
        <v>4818</v>
      </c>
      <c r="F2263" s="4" t="s">
        <v>4837</v>
      </c>
    </row>
    <row r="2264" spans="1:6">
      <c r="A2264" s="4" t="s">
        <v>4839</v>
      </c>
      <c r="B2264" s="6" t="s">
        <v>4840</v>
      </c>
      <c r="C2264" s="4" t="s">
        <v>4841</v>
      </c>
      <c r="D2264" s="4">
        <v>9</v>
      </c>
      <c r="E2264" s="4" t="s">
        <v>1922</v>
      </c>
      <c r="F2264" s="4" t="s">
        <v>4842</v>
      </c>
    </row>
    <row r="2265" spans="1:6">
      <c r="A2265" s="4" t="s">
        <v>4843</v>
      </c>
      <c r="B2265" s="6" t="s">
        <v>4840</v>
      </c>
      <c r="C2265" s="4" t="s">
        <v>121</v>
      </c>
      <c r="D2265" s="4">
        <v>8</v>
      </c>
      <c r="E2265" s="4" t="s">
        <v>4844</v>
      </c>
    </row>
    <row r="2266" spans="1:6">
      <c r="A2266" s="4" t="s">
        <v>4845</v>
      </c>
      <c r="B2266" s="6" t="s">
        <v>4840</v>
      </c>
      <c r="C2266" s="4" t="s">
        <v>34</v>
      </c>
      <c r="D2266" s="4">
        <v>11</v>
      </c>
      <c r="E2266" s="4" t="s">
        <v>4846</v>
      </c>
      <c r="F2266" s="4" t="s">
        <v>130</v>
      </c>
    </row>
    <row r="2267" spans="1:6">
      <c r="A2267" s="4" t="s">
        <v>4847</v>
      </c>
      <c r="B2267" s="6" t="s">
        <v>4848</v>
      </c>
      <c r="C2267" s="4" t="s">
        <v>1106</v>
      </c>
      <c r="D2267" s="4">
        <v>18</v>
      </c>
      <c r="E2267" s="4" t="s">
        <v>4849</v>
      </c>
      <c r="F2267" s="4" t="s">
        <v>4850</v>
      </c>
    </row>
    <row r="2268" spans="1:6">
      <c r="A2268" s="4" t="s">
        <v>4851</v>
      </c>
      <c r="B2268" s="6" t="s">
        <v>4852</v>
      </c>
      <c r="C2268" s="4" t="s">
        <v>34</v>
      </c>
      <c r="D2268" s="4">
        <v>15</v>
      </c>
      <c r="E2268" s="4" t="s">
        <v>2052</v>
      </c>
      <c r="F2268" s="4" t="s">
        <v>4853</v>
      </c>
    </row>
    <row r="2269" spans="1:6">
      <c r="A2269" s="4" t="s">
        <v>4854</v>
      </c>
      <c r="B2269" s="6" t="s">
        <v>4855</v>
      </c>
      <c r="C2269" s="4" t="s">
        <v>301</v>
      </c>
      <c r="D2269" s="4">
        <v>10</v>
      </c>
      <c r="E2269" s="4" t="s">
        <v>4856</v>
      </c>
      <c r="F2269" s="4" t="s">
        <v>4857</v>
      </c>
    </row>
    <row r="2270" spans="1:6">
      <c r="A2270" s="4" t="s">
        <v>4858</v>
      </c>
      <c r="B2270" s="6" t="s">
        <v>4859</v>
      </c>
      <c r="C2270" s="4" t="s">
        <v>354</v>
      </c>
      <c r="D2270" s="4">
        <v>10</v>
      </c>
      <c r="E2270" s="4" t="s">
        <v>4818</v>
      </c>
      <c r="F2270" s="4" t="s">
        <v>4860</v>
      </c>
    </row>
    <row r="2271" spans="1:6">
      <c r="A2271" s="4" t="s">
        <v>4861</v>
      </c>
      <c r="B2271" s="6" t="s">
        <v>4862</v>
      </c>
      <c r="C2271" s="4" t="s">
        <v>104</v>
      </c>
      <c r="D2271" s="4">
        <v>21</v>
      </c>
      <c r="E2271" s="4" t="s">
        <v>2055</v>
      </c>
    </row>
    <row r="2272" spans="1:6">
      <c r="A2272" s="4" t="s">
        <v>4863</v>
      </c>
      <c r="B2272" s="6" t="s">
        <v>4864</v>
      </c>
      <c r="C2272" s="4" t="s">
        <v>37</v>
      </c>
      <c r="D2272" s="4">
        <v>15</v>
      </c>
      <c r="E2272" s="4" t="s">
        <v>4865</v>
      </c>
      <c r="F2272" s="4" t="s">
        <v>4866</v>
      </c>
    </row>
    <row r="2273" spans="1:6">
      <c r="A2273" s="4" t="s">
        <v>4867</v>
      </c>
      <c r="B2273" s="6" t="s">
        <v>4864</v>
      </c>
      <c r="C2273" s="4" t="s">
        <v>2818</v>
      </c>
      <c r="D2273" s="4">
        <v>11</v>
      </c>
      <c r="E2273" s="4" t="s">
        <v>2099</v>
      </c>
      <c r="F2273" s="4" t="s">
        <v>4868</v>
      </c>
    </row>
    <row r="2274" spans="1:6">
      <c r="A2274" s="4" t="s">
        <v>4869</v>
      </c>
      <c r="B2274" s="6" t="s">
        <v>4864</v>
      </c>
      <c r="C2274" s="4" t="s">
        <v>81</v>
      </c>
      <c r="D2274" s="4">
        <v>15</v>
      </c>
      <c r="E2274" s="4" t="s">
        <v>2099</v>
      </c>
    </row>
    <row r="2275" spans="1:6">
      <c r="A2275" s="4" t="s">
        <v>4870</v>
      </c>
      <c r="B2275" s="6" t="s">
        <v>4864</v>
      </c>
      <c r="C2275" s="4" t="s">
        <v>104</v>
      </c>
      <c r="D2275" s="4">
        <v>9</v>
      </c>
      <c r="E2275" s="4" t="s">
        <v>4871</v>
      </c>
    </row>
    <row r="2276" spans="1:6">
      <c r="A2276" s="4" t="s">
        <v>4872</v>
      </c>
      <c r="B2276" s="6" t="s">
        <v>4873</v>
      </c>
      <c r="C2276" s="4" t="s">
        <v>87</v>
      </c>
      <c r="D2276" s="4">
        <v>8</v>
      </c>
      <c r="E2276" s="4" t="s">
        <v>4874</v>
      </c>
      <c r="F2276" s="4" t="s">
        <v>4875</v>
      </c>
    </row>
    <row r="2277" spans="1:6">
      <c r="A2277" s="4" t="s">
        <v>4876</v>
      </c>
      <c r="B2277" s="6" t="s">
        <v>4877</v>
      </c>
      <c r="C2277" s="4" t="s">
        <v>285</v>
      </c>
      <c r="D2277" s="4">
        <v>16</v>
      </c>
      <c r="E2277" s="4" t="s">
        <v>2881</v>
      </c>
    </row>
    <row r="2278" spans="1:6">
      <c r="A2278" s="4" t="s">
        <v>4878</v>
      </c>
      <c r="B2278" s="6" t="s">
        <v>4877</v>
      </c>
      <c r="C2278" s="4" t="s">
        <v>254</v>
      </c>
      <c r="D2278" s="4">
        <v>9</v>
      </c>
      <c r="E2278" s="4" t="s">
        <v>4879</v>
      </c>
      <c r="F2278" s="4" t="s">
        <v>4880</v>
      </c>
    </row>
    <row r="2279" spans="1:6">
      <c r="A2279" s="4" t="s">
        <v>4881</v>
      </c>
      <c r="B2279" s="6" t="s">
        <v>4877</v>
      </c>
      <c r="C2279" s="4" t="s">
        <v>23</v>
      </c>
      <c r="D2279" s="4">
        <v>10</v>
      </c>
      <c r="E2279" s="4" t="s">
        <v>4879</v>
      </c>
    </row>
    <row r="2280" spans="1:6">
      <c r="A2280" s="4" t="s">
        <v>4882</v>
      </c>
      <c r="B2280" s="6" t="s">
        <v>4877</v>
      </c>
      <c r="C2280" s="4" t="s">
        <v>14</v>
      </c>
      <c r="D2280" s="4">
        <v>10</v>
      </c>
      <c r="E2280" s="4" t="s">
        <v>4879</v>
      </c>
    </row>
    <row r="2281" spans="1:6">
      <c r="A2281" s="4" t="s">
        <v>4883</v>
      </c>
      <c r="B2281" s="6" t="s">
        <v>4877</v>
      </c>
      <c r="C2281" s="4" t="s">
        <v>285</v>
      </c>
      <c r="D2281" s="4">
        <v>10</v>
      </c>
      <c r="E2281" s="4" t="s">
        <v>4879</v>
      </c>
    </row>
    <row r="2282" spans="1:6">
      <c r="A2282" s="4" t="s">
        <v>4884</v>
      </c>
      <c r="B2282" s="6" t="s">
        <v>4877</v>
      </c>
      <c r="C2282" s="4" t="s">
        <v>285</v>
      </c>
      <c r="D2282" s="4">
        <v>10</v>
      </c>
      <c r="E2282" s="4" t="s">
        <v>4879</v>
      </c>
    </row>
    <row r="2283" spans="1:6">
      <c r="A2283" s="4" t="s">
        <v>4885</v>
      </c>
      <c r="B2283" s="6" t="s">
        <v>4886</v>
      </c>
      <c r="C2283" s="4" t="s">
        <v>427</v>
      </c>
      <c r="D2283" s="4">
        <v>13</v>
      </c>
      <c r="E2283" s="4" t="s">
        <v>4879</v>
      </c>
    </row>
    <row r="2284" spans="1:6">
      <c r="A2284" s="4" t="s">
        <v>4887</v>
      </c>
      <c r="B2284" s="6" t="s">
        <v>4888</v>
      </c>
    </row>
    <row r="2285" spans="1:6">
      <c r="A2285" s="4" t="s">
        <v>4889</v>
      </c>
      <c r="B2285" s="6" t="s">
        <v>4888</v>
      </c>
      <c r="C2285" s="4" t="s">
        <v>104</v>
      </c>
      <c r="D2285" s="4">
        <v>8</v>
      </c>
      <c r="E2285" s="4" t="s">
        <v>2812</v>
      </c>
    </row>
    <row r="2286" spans="1:6">
      <c r="A2286" s="4" t="s">
        <v>4890</v>
      </c>
      <c r="B2286" s="6" t="s">
        <v>4891</v>
      </c>
      <c r="C2286" s="4" t="s">
        <v>595</v>
      </c>
      <c r="D2286" s="4">
        <v>9</v>
      </c>
      <c r="F2286" s="4" t="s">
        <v>4892</v>
      </c>
    </row>
    <row r="2287" spans="1:6">
      <c r="A2287" s="4" t="s">
        <v>4893</v>
      </c>
      <c r="B2287" s="6" t="s">
        <v>4894</v>
      </c>
      <c r="C2287" s="4" t="s">
        <v>4513</v>
      </c>
      <c r="D2287" s="4">
        <v>24</v>
      </c>
      <c r="E2287" s="4" t="s">
        <v>1469</v>
      </c>
    </row>
    <row r="2288" spans="1:6">
      <c r="A2288" s="4" t="s">
        <v>4895</v>
      </c>
      <c r="B2288" s="6" t="s">
        <v>4894</v>
      </c>
      <c r="C2288" s="4" t="s">
        <v>427</v>
      </c>
      <c r="D2288" s="4">
        <v>17</v>
      </c>
      <c r="E2288" s="4" t="s">
        <v>1469</v>
      </c>
    </row>
    <row r="2289" spans="1:6">
      <c r="A2289" s="4" t="s">
        <v>4896</v>
      </c>
      <c r="B2289" s="6" t="s">
        <v>4894</v>
      </c>
      <c r="C2289" s="4" t="s">
        <v>23</v>
      </c>
      <c r="D2289" s="4">
        <v>14</v>
      </c>
      <c r="E2289" s="4" t="s">
        <v>1469</v>
      </c>
    </row>
    <row r="2290" spans="1:6">
      <c r="A2290" s="4" t="s">
        <v>4897</v>
      </c>
      <c r="B2290" s="6" t="s">
        <v>4898</v>
      </c>
      <c r="C2290" s="4" t="s">
        <v>414</v>
      </c>
      <c r="D2290" s="4">
        <v>11</v>
      </c>
      <c r="E2290" s="4" t="s">
        <v>1469</v>
      </c>
    </row>
    <row r="2291" spans="1:6">
      <c r="A2291" s="4" t="s">
        <v>4899</v>
      </c>
      <c r="B2291" s="6" t="s">
        <v>4900</v>
      </c>
      <c r="C2291" s="4" t="s">
        <v>595</v>
      </c>
      <c r="D2291" s="4">
        <v>11</v>
      </c>
    </row>
    <row r="2292" spans="1:6">
      <c r="A2292" s="4" t="s">
        <v>4901</v>
      </c>
      <c r="B2292" s="6" t="s">
        <v>4902</v>
      </c>
      <c r="C2292" s="4" t="s">
        <v>470</v>
      </c>
      <c r="D2292" s="4">
        <v>7</v>
      </c>
      <c r="E2292" s="4" t="s">
        <v>3152</v>
      </c>
      <c r="F2292" s="4" t="s">
        <v>4903</v>
      </c>
    </row>
    <row r="2293" spans="1:6">
      <c r="A2293" s="4" t="s">
        <v>4904</v>
      </c>
      <c r="B2293" s="6" t="s">
        <v>4905</v>
      </c>
      <c r="C2293" s="4" t="s">
        <v>271</v>
      </c>
      <c r="D2293" s="4">
        <v>4</v>
      </c>
      <c r="E2293" s="4" t="s">
        <v>4906</v>
      </c>
      <c r="F2293" s="4" t="s">
        <v>4907</v>
      </c>
    </row>
    <row r="2294" spans="1:6">
      <c r="A2294" s="4" t="s">
        <v>4908</v>
      </c>
      <c r="B2294" s="6" t="s">
        <v>4909</v>
      </c>
      <c r="C2294" s="4" t="s">
        <v>1078</v>
      </c>
      <c r="D2294" s="4">
        <v>7</v>
      </c>
      <c r="E2294" s="4" t="s">
        <v>4879</v>
      </c>
      <c r="F2294" s="4" t="s">
        <v>4910</v>
      </c>
    </row>
    <row r="2295" spans="1:6">
      <c r="A2295" s="4" t="s">
        <v>4911</v>
      </c>
      <c r="B2295" s="6" t="s">
        <v>4912</v>
      </c>
      <c r="C2295" s="4" t="s">
        <v>195</v>
      </c>
      <c r="D2295" s="4">
        <v>15</v>
      </c>
      <c r="E2295" s="4" t="s">
        <v>4879</v>
      </c>
      <c r="F2295" s="4" t="s">
        <v>1381</v>
      </c>
    </row>
    <row r="2296" spans="1:6">
      <c r="A2296" s="4" t="s">
        <v>4913</v>
      </c>
      <c r="B2296" s="6" t="s">
        <v>4914</v>
      </c>
      <c r="C2296" s="4" t="s">
        <v>81</v>
      </c>
      <c r="D2296" s="4">
        <v>12</v>
      </c>
      <c r="E2296" s="4" t="s">
        <v>3110</v>
      </c>
      <c r="F2296" s="4" t="s">
        <v>3810</v>
      </c>
    </row>
    <row r="2297" spans="1:6">
      <c r="A2297" s="4" t="s">
        <v>4915</v>
      </c>
      <c r="B2297" s="6" t="s">
        <v>4914</v>
      </c>
      <c r="C2297" s="4" t="s">
        <v>1129</v>
      </c>
      <c r="D2297" s="4">
        <v>20</v>
      </c>
      <c r="E2297" s="4" t="s">
        <v>3110</v>
      </c>
      <c r="F2297" s="4" t="s">
        <v>4916</v>
      </c>
    </row>
    <row r="2298" spans="1:6">
      <c r="A2298" s="4" t="s">
        <v>4917</v>
      </c>
      <c r="B2298" s="6" t="s">
        <v>4914</v>
      </c>
      <c r="C2298" s="4" t="s">
        <v>221</v>
      </c>
      <c r="D2298" s="4">
        <v>18</v>
      </c>
      <c r="E2298" s="4" t="s">
        <v>3110</v>
      </c>
      <c r="F2298" s="4" t="s">
        <v>4918</v>
      </c>
    </row>
    <row r="2299" spans="1:6">
      <c r="A2299" s="4" t="s">
        <v>4919</v>
      </c>
      <c r="B2299" s="6" t="s">
        <v>4914</v>
      </c>
      <c r="C2299" s="4" t="s">
        <v>92</v>
      </c>
      <c r="D2299" s="4">
        <v>24</v>
      </c>
      <c r="E2299" s="4" t="s">
        <v>3110</v>
      </c>
    </row>
    <row r="2300" spans="1:6">
      <c r="A2300" s="4" t="s">
        <v>4920</v>
      </c>
      <c r="B2300" s="6" t="s">
        <v>4914</v>
      </c>
      <c r="C2300" s="4" t="s">
        <v>37</v>
      </c>
      <c r="D2300" s="4">
        <v>16</v>
      </c>
      <c r="E2300" s="4" t="s">
        <v>3110</v>
      </c>
    </row>
    <row r="2301" spans="1:6">
      <c r="A2301" s="4" t="s">
        <v>4921</v>
      </c>
      <c r="B2301" s="6" t="s">
        <v>4914</v>
      </c>
      <c r="C2301" s="4" t="s">
        <v>23</v>
      </c>
      <c r="D2301" s="4">
        <v>9</v>
      </c>
      <c r="E2301" s="4" t="s">
        <v>3110</v>
      </c>
    </row>
    <row r="2302" spans="1:6">
      <c r="A2302" s="4" t="s">
        <v>4922</v>
      </c>
      <c r="B2302" s="6" t="s">
        <v>4923</v>
      </c>
      <c r="C2302" s="4" t="s">
        <v>221</v>
      </c>
      <c r="D2302" s="4">
        <v>18</v>
      </c>
      <c r="E2302" s="4" t="s">
        <v>3110</v>
      </c>
      <c r="F2302" s="4" t="s">
        <v>4924</v>
      </c>
    </row>
    <row r="2303" spans="1:6">
      <c r="A2303" s="4" t="s">
        <v>4925</v>
      </c>
      <c r="B2303" s="6" t="s">
        <v>4926</v>
      </c>
      <c r="C2303" s="4" t="s">
        <v>285</v>
      </c>
      <c r="D2303" s="4">
        <v>8</v>
      </c>
      <c r="E2303" s="4" t="s">
        <v>3013</v>
      </c>
      <c r="F2303" s="4" t="s">
        <v>4927</v>
      </c>
    </row>
    <row r="2304" spans="1:6">
      <c r="A2304" s="4" t="s">
        <v>4928</v>
      </c>
      <c r="B2304" s="6" t="s">
        <v>4926</v>
      </c>
      <c r="C2304" s="4" t="s">
        <v>37</v>
      </c>
      <c r="D2304" s="4">
        <v>16</v>
      </c>
      <c r="E2304" s="4" t="s">
        <v>150</v>
      </c>
      <c r="F2304" s="4" t="s">
        <v>4929</v>
      </c>
    </row>
    <row r="2305" spans="1:6">
      <c r="A2305" s="4" t="s">
        <v>4930</v>
      </c>
      <c r="B2305" s="6" t="s">
        <v>4926</v>
      </c>
      <c r="C2305" s="4" t="s">
        <v>143</v>
      </c>
      <c r="D2305" s="4">
        <v>9</v>
      </c>
      <c r="E2305" s="4" t="s">
        <v>150</v>
      </c>
      <c r="F2305" s="4" t="s">
        <v>4931</v>
      </c>
    </row>
    <row r="2306" spans="1:6">
      <c r="A2306" s="4" t="s">
        <v>4932</v>
      </c>
      <c r="B2306" s="6" t="s">
        <v>4926</v>
      </c>
      <c r="C2306" s="4" t="s">
        <v>254</v>
      </c>
      <c r="D2306" s="4">
        <v>11</v>
      </c>
      <c r="E2306" s="4" t="s">
        <v>4933</v>
      </c>
    </row>
    <row r="2307" spans="1:6">
      <c r="A2307" s="4" t="s">
        <v>4934</v>
      </c>
      <c r="B2307" s="6" t="s">
        <v>4935</v>
      </c>
      <c r="C2307" s="4" t="s">
        <v>485</v>
      </c>
      <c r="D2307" s="4">
        <v>12</v>
      </c>
      <c r="E2307" s="4" t="s">
        <v>2812</v>
      </c>
      <c r="F2307" s="4" t="s">
        <v>1336</v>
      </c>
    </row>
    <row r="2308" spans="1:6">
      <c r="A2308" s="4" t="s">
        <v>4936</v>
      </c>
      <c r="B2308" s="6" t="s">
        <v>4935</v>
      </c>
      <c r="C2308" s="4" t="s">
        <v>53</v>
      </c>
      <c r="D2308" s="4">
        <v>11</v>
      </c>
      <c r="E2308" s="4" t="s">
        <v>1483</v>
      </c>
    </row>
    <row r="2309" spans="1:6">
      <c r="A2309" s="4" t="s">
        <v>4937</v>
      </c>
      <c r="B2309" s="6" t="s">
        <v>4938</v>
      </c>
      <c r="C2309" s="4" t="s">
        <v>254</v>
      </c>
      <c r="D2309" s="4">
        <v>13</v>
      </c>
      <c r="E2309" s="4" t="s">
        <v>1469</v>
      </c>
    </row>
    <row r="2310" spans="1:6">
      <c r="A2310" s="4" t="s">
        <v>544</v>
      </c>
      <c r="B2310" s="6" t="s">
        <v>4939</v>
      </c>
      <c r="C2310" s="4" t="s">
        <v>544</v>
      </c>
      <c r="D2310" s="4">
        <v>4</v>
      </c>
      <c r="E2310" s="4" t="s">
        <v>4940</v>
      </c>
    </row>
    <row r="2311" spans="1:6">
      <c r="A2311" s="4" t="s">
        <v>4941</v>
      </c>
      <c r="B2311" s="6" t="s">
        <v>4942</v>
      </c>
      <c r="C2311" s="4" t="s">
        <v>23</v>
      </c>
      <c r="D2311" s="4">
        <v>7</v>
      </c>
      <c r="E2311" s="4" t="s">
        <v>4943</v>
      </c>
    </row>
    <row r="2312" spans="1:6">
      <c r="A2312" s="4" t="s">
        <v>4944</v>
      </c>
      <c r="B2312" s="6" t="s">
        <v>4945</v>
      </c>
      <c r="C2312" s="4" t="s">
        <v>315</v>
      </c>
      <c r="D2312" s="4">
        <v>14</v>
      </c>
      <c r="E2312" s="4" t="s">
        <v>4943</v>
      </c>
      <c r="F2312" s="4" t="s">
        <v>4946</v>
      </c>
    </row>
    <row r="2313" spans="1:6">
      <c r="A2313" s="4" t="s">
        <v>4947</v>
      </c>
      <c r="B2313" s="6" t="s">
        <v>4948</v>
      </c>
      <c r="C2313" s="4" t="s">
        <v>595</v>
      </c>
      <c r="D2313" s="4">
        <v>9</v>
      </c>
      <c r="F2313" s="4" t="s">
        <v>4949</v>
      </c>
    </row>
    <row r="2314" spans="1:6">
      <c r="A2314" s="4" t="s">
        <v>4950</v>
      </c>
      <c r="B2314" s="6" t="s">
        <v>4945</v>
      </c>
      <c r="C2314" s="4" t="s">
        <v>76</v>
      </c>
      <c r="D2314" s="4">
        <v>11</v>
      </c>
      <c r="E2314" s="4" t="s">
        <v>972</v>
      </c>
    </row>
    <row r="2315" spans="1:6">
      <c r="A2315" s="4" t="s">
        <v>4951</v>
      </c>
      <c r="B2315" s="6" t="s">
        <v>4952</v>
      </c>
      <c r="C2315" s="4" t="s">
        <v>92</v>
      </c>
      <c r="D2315" s="4">
        <v>21</v>
      </c>
      <c r="E2315" s="4" t="s">
        <v>4953</v>
      </c>
    </row>
    <row r="2316" spans="1:6">
      <c r="A2316" s="4" t="s">
        <v>4954</v>
      </c>
      <c r="B2316" s="6" t="s">
        <v>4955</v>
      </c>
      <c r="C2316" s="4" t="s">
        <v>27</v>
      </c>
      <c r="D2316" s="4">
        <v>9</v>
      </c>
      <c r="E2316" s="4" t="s">
        <v>4953</v>
      </c>
    </row>
    <row r="2317" spans="1:6">
      <c r="A2317" s="4" t="s">
        <v>4956</v>
      </c>
      <c r="B2317" s="6" t="s">
        <v>4957</v>
      </c>
      <c r="C2317" s="4" t="s">
        <v>254</v>
      </c>
      <c r="D2317" s="4">
        <v>11</v>
      </c>
      <c r="E2317" s="4" t="s">
        <v>4958</v>
      </c>
    </row>
    <row r="2318" spans="1:6">
      <c r="A2318" s="4" t="s">
        <v>4959</v>
      </c>
      <c r="B2318" s="6" t="s">
        <v>4960</v>
      </c>
      <c r="C2318" s="4" t="s">
        <v>81</v>
      </c>
      <c r="D2318" s="4">
        <v>16</v>
      </c>
      <c r="E2318" s="4" t="s">
        <v>4943</v>
      </c>
    </row>
    <row r="2319" spans="1:6">
      <c r="A2319" s="4" t="s">
        <v>4961</v>
      </c>
      <c r="B2319" s="6" t="s">
        <v>4962</v>
      </c>
      <c r="C2319" s="4" t="s">
        <v>595</v>
      </c>
      <c r="D2319" s="4">
        <v>7</v>
      </c>
      <c r="F2319" s="4" t="s">
        <v>4963</v>
      </c>
    </row>
    <row r="2320" spans="1:6">
      <c r="A2320" s="4" t="s">
        <v>4964</v>
      </c>
      <c r="B2320" s="6" t="s">
        <v>4965</v>
      </c>
      <c r="C2320" s="4" t="s">
        <v>285</v>
      </c>
      <c r="D2320" s="4">
        <v>7</v>
      </c>
      <c r="E2320" s="4" t="s">
        <v>900</v>
      </c>
    </row>
    <row r="2321" spans="1:6">
      <c r="A2321" s="4" t="s">
        <v>4966</v>
      </c>
      <c r="B2321" s="6" t="s">
        <v>4967</v>
      </c>
      <c r="C2321" s="4" t="s">
        <v>285</v>
      </c>
      <c r="D2321" s="4">
        <v>6</v>
      </c>
      <c r="E2321" s="4" t="s">
        <v>832</v>
      </c>
    </row>
    <row r="2322" spans="1:6">
      <c r="A2322" s="4" t="s">
        <v>4968</v>
      </c>
      <c r="B2322" s="6" t="s">
        <v>4969</v>
      </c>
      <c r="C2322" s="4" t="s">
        <v>23</v>
      </c>
      <c r="D2322" s="4">
        <v>6</v>
      </c>
      <c r="E2322" s="4" t="s">
        <v>832</v>
      </c>
      <c r="F2322" s="4" t="s">
        <v>4970</v>
      </c>
    </row>
    <row r="2323" spans="1:6">
      <c r="A2323" s="4" t="s">
        <v>4971</v>
      </c>
      <c r="B2323" s="6" t="s">
        <v>4972</v>
      </c>
      <c r="C2323" s="4" t="s">
        <v>1248</v>
      </c>
      <c r="D2323" s="4">
        <v>11</v>
      </c>
      <c r="E2323" s="4" t="s">
        <v>3826</v>
      </c>
    </row>
    <row r="2324" spans="1:6">
      <c r="A2324" s="4" t="s">
        <v>4973</v>
      </c>
      <c r="B2324" s="6" t="s">
        <v>4972</v>
      </c>
      <c r="C2324" s="4" t="s">
        <v>254</v>
      </c>
      <c r="D2324" s="4">
        <v>10</v>
      </c>
      <c r="E2324" s="4" t="s">
        <v>3826</v>
      </c>
    </row>
    <row r="2325" spans="1:6">
      <c r="A2325" s="4" t="s">
        <v>4974</v>
      </c>
      <c r="B2325" s="6" t="s">
        <v>4975</v>
      </c>
      <c r="C2325" s="4" t="s">
        <v>275</v>
      </c>
      <c r="D2325" s="4">
        <v>7</v>
      </c>
      <c r="E2325" s="4" t="s">
        <v>3826</v>
      </c>
      <c r="F2325" s="4" t="s">
        <v>4976</v>
      </c>
    </row>
    <row r="2326" spans="1:6">
      <c r="A2326" s="4" t="s">
        <v>4977</v>
      </c>
      <c r="B2326" s="6" t="s">
        <v>4978</v>
      </c>
      <c r="C2326" s="4" t="s">
        <v>49</v>
      </c>
      <c r="D2326" s="4">
        <v>7</v>
      </c>
      <c r="E2326" s="4" t="s">
        <v>3826</v>
      </c>
    </row>
    <row r="2327" spans="1:6">
      <c r="A2327" s="4" t="s">
        <v>4979</v>
      </c>
      <c r="B2327" s="6" t="s">
        <v>4978</v>
      </c>
      <c r="C2327" s="4" t="s">
        <v>963</v>
      </c>
      <c r="D2327" s="4">
        <v>2</v>
      </c>
      <c r="E2327" s="4" t="s">
        <v>727</v>
      </c>
    </row>
    <row r="2328" spans="1:6">
      <c r="A2328" s="4" t="s">
        <v>4980</v>
      </c>
      <c r="B2328" s="6" t="s">
        <v>4978</v>
      </c>
      <c r="C2328" s="4" t="s">
        <v>23</v>
      </c>
      <c r="D2328" s="4">
        <v>21</v>
      </c>
      <c r="E2328" s="4" t="s">
        <v>3826</v>
      </c>
    </row>
    <row r="2329" spans="1:6">
      <c r="A2329" s="4" t="s">
        <v>4981</v>
      </c>
      <c r="B2329" s="6" t="s">
        <v>4978</v>
      </c>
      <c r="C2329" s="4" t="s">
        <v>37</v>
      </c>
      <c r="D2329" s="4">
        <v>13</v>
      </c>
      <c r="E2329" s="4" t="s">
        <v>852</v>
      </c>
      <c r="F2329" s="4" t="s">
        <v>4982</v>
      </c>
    </row>
    <row r="2330" spans="1:6">
      <c r="A2330" s="4" t="s">
        <v>4983</v>
      </c>
      <c r="B2330" s="6" t="s">
        <v>4984</v>
      </c>
      <c r="C2330" s="4" t="s">
        <v>254</v>
      </c>
      <c r="D2330" s="4">
        <v>15</v>
      </c>
      <c r="E2330" s="4" t="s">
        <v>2881</v>
      </c>
    </row>
    <row r="2331" spans="1:6">
      <c r="A2331" s="4" t="s">
        <v>4985</v>
      </c>
      <c r="B2331" s="6" t="s">
        <v>4984</v>
      </c>
      <c r="C2331" s="4" t="s">
        <v>4986</v>
      </c>
      <c r="D2331" s="4">
        <v>14</v>
      </c>
      <c r="E2331" s="4" t="s">
        <v>2881</v>
      </c>
      <c r="F2331" s="4" t="s">
        <v>4987</v>
      </c>
    </row>
    <row r="2332" spans="1:6">
      <c r="A2332" s="4" t="s">
        <v>4988</v>
      </c>
      <c r="B2332" s="6" t="s">
        <v>4984</v>
      </c>
      <c r="C2332" s="4" t="s">
        <v>45</v>
      </c>
      <c r="D2332" s="4">
        <v>8</v>
      </c>
      <c r="E2332" s="4" t="s">
        <v>2881</v>
      </c>
      <c r="F2332" s="4" t="s">
        <v>4989</v>
      </c>
    </row>
    <row r="2333" spans="1:6">
      <c r="A2333" s="4" t="s">
        <v>4990</v>
      </c>
      <c r="B2333" s="6" t="s">
        <v>4984</v>
      </c>
      <c r="C2333" s="4" t="s">
        <v>285</v>
      </c>
      <c r="D2333" s="4">
        <v>17</v>
      </c>
      <c r="E2333" s="4" t="s">
        <v>4991</v>
      </c>
    </row>
    <row r="2334" spans="1:6">
      <c r="A2334" s="4" t="s">
        <v>4992</v>
      </c>
      <c r="B2334" s="6" t="s">
        <v>4993</v>
      </c>
      <c r="C2334" s="4" t="s">
        <v>87</v>
      </c>
      <c r="D2334" s="4">
        <v>7</v>
      </c>
      <c r="E2334" s="4" t="s">
        <v>3878</v>
      </c>
    </row>
    <row r="2335" spans="1:6">
      <c r="A2335" s="4" t="s">
        <v>4994</v>
      </c>
      <c r="B2335" s="6" t="s">
        <v>4995</v>
      </c>
      <c r="C2335" s="4" t="s">
        <v>1726</v>
      </c>
      <c r="D2335" s="4">
        <v>17</v>
      </c>
      <c r="E2335" s="4" t="s">
        <v>4996</v>
      </c>
      <c r="F2335" s="4" t="s">
        <v>4997</v>
      </c>
    </row>
    <row r="2336" spans="1:6">
      <c r="A2336" s="4" t="s">
        <v>4998</v>
      </c>
      <c r="B2336" s="6" t="s">
        <v>4995</v>
      </c>
      <c r="C2336" s="4" t="s">
        <v>23</v>
      </c>
      <c r="D2336" s="4">
        <v>20</v>
      </c>
      <c r="E2336" s="4" t="s">
        <v>4996</v>
      </c>
      <c r="F2336" s="4" t="s">
        <v>4997</v>
      </c>
    </row>
    <row r="2337" spans="1:6">
      <c r="A2337" s="4" t="s">
        <v>4999</v>
      </c>
      <c r="B2337" s="6" t="s">
        <v>5000</v>
      </c>
      <c r="C2337" s="4" t="s">
        <v>485</v>
      </c>
      <c r="D2337" s="4">
        <v>9</v>
      </c>
      <c r="E2337" s="4" t="s">
        <v>2887</v>
      </c>
      <c r="F2337" s="4" t="s">
        <v>5001</v>
      </c>
    </row>
    <row r="2338" spans="1:6">
      <c r="A2338" s="4" t="s">
        <v>5002</v>
      </c>
      <c r="B2338" s="6" t="s">
        <v>5003</v>
      </c>
      <c r="C2338" s="4" t="s">
        <v>595</v>
      </c>
      <c r="D2338" s="4">
        <v>8</v>
      </c>
      <c r="F2338" s="4" t="s">
        <v>5004</v>
      </c>
    </row>
    <row r="2339" spans="1:6">
      <c r="A2339" s="4" t="s">
        <v>5005</v>
      </c>
      <c r="B2339" s="6" t="s">
        <v>5000</v>
      </c>
      <c r="C2339" s="4" t="s">
        <v>14</v>
      </c>
      <c r="D2339" s="4">
        <v>7</v>
      </c>
      <c r="E2339" s="4" t="s">
        <v>2910</v>
      </c>
    </row>
    <row r="2340" spans="1:6">
      <c r="A2340" s="4" t="s">
        <v>5006</v>
      </c>
      <c r="B2340" s="6" t="s">
        <v>5007</v>
      </c>
      <c r="C2340" s="4" t="s">
        <v>976</v>
      </c>
      <c r="D2340" s="4">
        <v>8</v>
      </c>
      <c r="E2340" s="4" t="s">
        <v>2925</v>
      </c>
      <c r="F2340" s="4" t="s">
        <v>5008</v>
      </c>
    </row>
    <row r="2341" spans="1:6">
      <c r="A2341" s="4" t="s">
        <v>5009</v>
      </c>
      <c r="B2341" s="6" t="s">
        <v>5007</v>
      </c>
      <c r="C2341" s="4" t="s">
        <v>254</v>
      </c>
      <c r="D2341" s="4">
        <v>14</v>
      </c>
      <c r="E2341" s="4" t="s">
        <v>2925</v>
      </c>
    </row>
    <row r="2342" spans="1:6">
      <c r="A2342" s="4" t="s">
        <v>5010</v>
      </c>
      <c r="B2342" s="6" t="s">
        <v>5007</v>
      </c>
      <c r="C2342" s="4" t="s">
        <v>27</v>
      </c>
      <c r="D2342" s="4">
        <v>12</v>
      </c>
      <c r="E2342" s="4" t="s">
        <v>2925</v>
      </c>
      <c r="F2342" s="4" t="s">
        <v>5008</v>
      </c>
    </row>
    <row r="2343" spans="1:6">
      <c r="A2343" s="4" t="s">
        <v>5011</v>
      </c>
      <c r="B2343" s="6" t="s">
        <v>5007</v>
      </c>
      <c r="C2343" s="4" t="s">
        <v>285</v>
      </c>
      <c r="D2343" s="4">
        <v>15</v>
      </c>
      <c r="E2343" s="4" t="s">
        <v>2925</v>
      </c>
    </row>
    <row r="2344" spans="1:6">
      <c r="A2344" s="4" t="s">
        <v>5012</v>
      </c>
      <c r="B2344" s="6" t="s">
        <v>5013</v>
      </c>
      <c r="C2344" s="4" t="s">
        <v>254</v>
      </c>
      <c r="D2344" s="4">
        <v>22</v>
      </c>
      <c r="E2344" s="4" t="s">
        <v>150</v>
      </c>
    </row>
    <row r="2345" spans="1:6">
      <c r="A2345" s="4" t="s">
        <v>41</v>
      </c>
      <c r="B2345" s="6" t="s">
        <v>5013</v>
      </c>
      <c r="C2345" s="4" t="s">
        <v>41</v>
      </c>
      <c r="D2345" s="4">
        <v>3</v>
      </c>
      <c r="E2345" s="4" t="s">
        <v>150</v>
      </c>
    </row>
    <row r="2346" spans="1:6">
      <c r="A2346" s="4" t="s">
        <v>5014</v>
      </c>
      <c r="B2346" s="6" t="s">
        <v>5015</v>
      </c>
      <c r="C2346" s="4" t="s">
        <v>268</v>
      </c>
      <c r="D2346" s="4">
        <v>18</v>
      </c>
      <c r="E2346" s="4" t="s">
        <v>2910</v>
      </c>
      <c r="F2346" s="4" t="s">
        <v>5016</v>
      </c>
    </row>
    <row r="2347" spans="1:6">
      <c r="A2347" s="4" t="s">
        <v>5017</v>
      </c>
      <c r="B2347" s="6" t="s">
        <v>5018</v>
      </c>
      <c r="C2347" s="4" t="s">
        <v>53</v>
      </c>
      <c r="D2347" s="4">
        <v>13</v>
      </c>
      <c r="E2347" s="4" t="s">
        <v>5019</v>
      </c>
      <c r="F2347" s="4" t="s">
        <v>3894</v>
      </c>
    </row>
    <row r="2348" spans="1:6">
      <c r="A2348" s="4" t="s">
        <v>5020</v>
      </c>
      <c r="B2348" s="6" t="s">
        <v>5021</v>
      </c>
      <c r="C2348" s="4" t="s">
        <v>34</v>
      </c>
      <c r="D2348" s="4">
        <v>17</v>
      </c>
      <c r="E2348" s="4" t="s">
        <v>2881</v>
      </c>
      <c r="F2348" s="4" t="s">
        <v>1166</v>
      </c>
    </row>
    <row r="2349" spans="1:6">
      <c r="A2349" s="4" t="s">
        <v>5022</v>
      </c>
      <c r="B2349" s="6" t="s">
        <v>5023</v>
      </c>
      <c r="C2349" s="4" t="s">
        <v>1851</v>
      </c>
      <c r="D2349" s="4">
        <v>13</v>
      </c>
      <c r="E2349" s="4" t="s">
        <v>2881</v>
      </c>
    </row>
    <row r="2350" spans="1:6">
      <c r="A2350" s="4" t="s">
        <v>5024</v>
      </c>
      <c r="B2350" s="6" t="s">
        <v>5025</v>
      </c>
      <c r="C2350" s="4" t="s">
        <v>37</v>
      </c>
      <c r="D2350" s="4">
        <v>20</v>
      </c>
      <c r="E2350" s="4" t="s">
        <v>2881</v>
      </c>
    </row>
    <row r="2351" spans="1:6">
      <c r="A2351" s="4" t="s">
        <v>5026</v>
      </c>
      <c r="B2351" s="6" t="s">
        <v>5025</v>
      </c>
      <c r="C2351" s="4" t="s">
        <v>37</v>
      </c>
      <c r="D2351" s="4">
        <v>15</v>
      </c>
      <c r="E2351" s="4" t="s">
        <v>2881</v>
      </c>
      <c r="F2351" s="4" t="s">
        <v>5027</v>
      </c>
    </row>
    <row r="2352" spans="1:6">
      <c r="A2352" s="4" t="s">
        <v>5028</v>
      </c>
      <c r="B2352" s="6" t="s">
        <v>5025</v>
      </c>
      <c r="C2352" s="4" t="s">
        <v>163</v>
      </c>
      <c r="D2352" s="4">
        <v>11</v>
      </c>
      <c r="E2352" s="4" t="s">
        <v>1140</v>
      </c>
      <c r="F2352" s="4" t="s">
        <v>5029</v>
      </c>
    </row>
    <row r="2353" spans="1:6">
      <c r="A2353" s="4" t="s">
        <v>5030</v>
      </c>
      <c r="B2353" s="6" t="s">
        <v>5025</v>
      </c>
      <c r="C2353" s="4" t="s">
        <v>427</v>
      </c>
      <c r="D2353" s="4">
        <v>19</v>
      </c>
      <c r="E2353" s="4" t="s">
        <v>2881</v>
      </c>
      <c r="F2353" s="4" t="s">
        <v>5031</v>
      </c>
    </row>
    <row r="2354" spans="1:6">
      <c r="A2354" s="4" t="s">
        <v>5032</v>
      </c>
      <c r="B2354" s="6" t="s">
        <v>5033</v>
      </c>
      <c r="C2354" s="4" t="s">
        <v>275</v>
      </c>
      <c r="D2354" s="4">
        <v>9</v>
      </c>
      <c r="E2354" s="4" t="s">
        <v>5034</v>
      </c>
      <c r="F2354" s="4" t="s">
        <v>5035</v>
      </c>
    </row>
    <row r="2355" spans="1:6">
      <c r="A2355" s="4" t="s">
        <v>5036</v>
      </c>
      <c r="B2355" s="6" t="s">
        <v>5037</v>
      </c>
      <c r="C2355" s="4" t="s">
        <v>246</v>
      </c>
      <c r="D2355" s="4">
        <v>13</v>
      </c>
      <c r="E2355" s="4" t="s">
        <v>721</v>
      </c>
      <c r="F2355" s="4" t="s">
        <v>2061</v>
      </c>
    </row>
    <row r="2356" spans="1:6">
      <c r="A2356" s="4" t="s">
        <v>5038</v>
      </c>
      <c r="B2356" s="6" t="s">
        <v>5039</v>
      </c>
      <c r="C2356" s="4" t="s">
        <v>221</v>
      </c>
      <c r="D2356" s="4">
        <v>13</v>
      </c>
      <c r="E2356" s="4" t="s">
        <v>3013</v>
      </c>
      <c r="F2356" s="4" t="s">
        <v>5040</v>
      </c>
    </row>
    <row r="2357" spans="1:6">
      <c r="A2357" s="4" t="s">
        <v>5041</v>
      </c>
      <c r="B2357" s="6" t="s">
        <v>5042</v>
      </c>
      <c r="C2357" s="4" t="s">
        <v>1569</v>
      </c>
      <c r="D2357" s="4">
        <v>5</v>
      </c>
      <c r="E2357" s="4" t="s">
        <v>5043</v>
      </c>
      <c r="F2357" s="4" t="s">
        <v>5044</v>
      </c>
    </row>
    <row r="2358" spans="1:6">
      <c r="A2358" s="4" t="s">
        <v>5045</v>
      </c>
      <c r="B2358" s="6" t="s">
        <v>5046</v>
      </c>
      <c r="C2358" s="4" t="s">
        <v>57</v>
      </c>
      <c r="D2358" s="4">
        <v>8</v>
      </c>
      <c r="E2358" s="4" t="s">
        <v>3013</v>
      </c>
      <c r="F2358" s="4" t="s">
        <v>4272</v>
      </c>
    </row>
    <row r="2359" spans="1:6">
      <c r="A2359" s="4" t="s">
        <v>5047</v>
      </c>
      <c r="B2359" s="6" t="s">
        <v>5048</v>
      </c>
      <c r="C2359" s="4" t="s">
        <v>595</v>
      </c>
      <c r="D2359" s="4">
        <v>14</v>
      </c>
      <c r="F2359" s="4" t="s">
        <v>5049</v>
      </c>
    </row>
    <row r="2360" spans="1:6">
      <c r="A2360" s="4" t="s">
        <v>5050</v>
      </c>
      <c r="B2360" s="6" t="s">
        <v>5051</v>
      </c>
      <c r="C2360" s="4" t="s">
        <v>23</v>
      </c>
      <c r="D2360" s="4">
        <v>7</v>
      </c>
      <c r="E2360" s="4" t="s">
        <v>2812</v>
      </c>
    </row>
    <row r="2361" spans="1:6">
      <c r="A2361" s="4" t="s">
        <v>595</v>
      </c>
      <c r="B2361" s="6" t="s">
        <v>5052</v>
      </c>
      <c r="C2361" s="4" t="s">
        <v>595</v>
      </c>
      <c r="D2361" s="4">
        <v>5</v>
      </c>
      <c r="E2361" s="4" t="s">
        <v>4879</v>
      </c>
      <c r="F2361" s="4" t="s">
        <v>5053</v>
      </c>
    </row>
    <row r="2362" spans="1:6">
      <c r="A2362" s="4" t="s">
        <v>5054</v>
      </c>
      <c r="B2362" s="6" t="s">
        <v>5055</v>
      </c>
      <c r="C2362" s="4" t="s">
        <v>263</v>
      </c>
      <c r="D2362" s="4">
        <v>4</v>
      </c>
      <c r="E2362" s="4" t="s">
        <v>2640</v>
      </c>
      <c r="F2362" s="4" t="s">
        <v>5056</v>
      </c>
    </row>
    <row r="2363" spans="1:6">
      <c r="A2363" s="4" t="s">
        <v>5057</v>
      </c>
      <c r="B2363" s="6" t="s">
        <v>5058</v>
      </c>
      <c r="C2363" s="4" t="s">
        <v>4015</v>
      </c>
      <c r="D2363" s="4">
        <v>9</v>
      </c>
      <c r="E2363" s="4" t="s">
        <v>4879</v>
      </c>
      <c r="F2363" s="4" t="s">
        <v>5059</v>
      </c>
    </row>
    <row r="2364" spans="1:6">
      <c r="A2364" s="4" t="s">
        <v>218</v>
      </c>
      <c r="B2364" s="6" t="s">
        <v>5060</v>
      </c>
      <c r="C2364" s="4" t="s">
        <v>57</v>
      </c>
      <c r="D2364" s="4">
        <v>5</v>
      </c>
      <c r="E2364" s="4" t="s">
        <v>5061</v>
      </c>
      <c r="F2364" s="4" t="s">
        <v>940</v>
      </c>
    </row>
    <row r="2365" spans="1:6">
      <c r="A2365" s="4" t="s">
        <v>5062</v>
      </c>
      <c r="B2365" s="6" t="s">
        <v>5063</v>
      </c>
      <c r="C2365" s="4" t="s">
        <v>23</v>
      </c>
      <c r="D2365" s="4">
        <v>7</v>
      </c>
      <c r="E2365" s="4" t="s">
        <v>5064</v>
      </c>
      <c r="F2365" s="4" t="s">
        <v>5065</v>
      </c>
    </row>
    <row r="2366" spans="1:6">
      <c r="A2366" s="4" t="s">
        <v>5066</v>
      </c>
      <c r="B2366" s="6" t="s">
        <v>5063</v>
      </c>
      <c r="C2366" s="4" t="s">
        <v>23</v>
      </c>
      <c r="D2366" s="4">
        <v>7</v>
      </c>
      <c r="E2366" s="4" t="s">
        <v>2640</v>
      </c>
      <c r="F2366" s="4" t="s">
        <v>4910</v>
      </c>
    </row>
    <row r="2367" spans="1:6">
      <c r="A2367" s="4" t="s">
        <v>5067</v>
      </c>
      <c r="B2367" s="6" t="s">
        <v>5063</v>
      </c>
      <c r="C2367" s="4" t="s">
        <v>53</v>
      </c>
      <c r="D2367" s="4">
        <v>11</v>
      </c>
      <c r="E2367" s="4" t="s">
        <v>2640</v>
      </c>
    </row>
    <row r="2368" spans="1:6">
      <c r="A2368" s="4" t="s">
        <v>5068</v>
      </c>
      <c r="B2368" s="6" t="s">
        <v>5063</v>
      </c>
      <c r="C2368" s="4" t="s">
        <v>427</v>
      </c>
      <c r="D2368" s="4">
        <v>13</v>
      </c>
      <c r="E2368" s="4" t="s">
        <v>2640</v>
      </c>
    </row>
    <row r="2369" spans="1:6">
      <c r="A2369" s="4" t="s">
        <v>5069</v>
      </c>
      <c r="B2369" s="6" t="s">
        <v>5063</v>
      </c>
      <c r="C2369" s="4" t="s">
        <v>1231</v>
      </c>
      <c r="D2369" s="4">
        <v>18</v>
      </c>
      <c r="E2369" s="4" t="s">
        <v>5070</v>
      </c>
    </row>
    <row r="2370" spans="1:6">
      <c r="A2370" s="4" t="s">
        <v>5071</v>
      </c>
      <c r="B2370" s="6" t="s">
        <v>5072</v>
      </c>
      <c r="C2370" s="4" t="s">
        <v>1129</v>
      </c>
      <c r="D2370" s="4">
        <v>17</v>
      </c>
      <c r="E2370" s="4" t="s">
        <v>5043</v>
      </c>
      <c r="F2370" s="4" t="s">
        <v>5073</v>
      </c>
    </row>
    <row r="2371" spans="1:6">
      <c r="A2371" s="4" t="s">
        <v>5074</v>
      </c>
      <c r="B2371" s="6" t="s">
        <v>5072</v>
      </c>
      <c r="C2371" s="4" t="s">
        <v>285</v>
      </c>
      <c r="D2371" s="4">
        <v>13</v>
      </c>
      <c r="E2371" s="4" t="s">
        <v>805</v>
      </c>
    </row>
    <row r="2372" spans="1:6">
      <c r="A2372" s="4" t="s">
        <v>37</v>
      </c>
      <c r="B2372" s="6" t="s">
        <v>5075</v>
      </c>
      <c r="C2372" s="4" t="s">
        <v>37</v>
      </c>
      <c r="D2372" s="4">
        <v>7</v>
      </c>
      <c r="E2372" s="4" t="s">
        <v>4996</v>
      </c>
      <c r="F2372" s="4" t="s">
        <v>5076</v>
      </c>
    </row>
    <row r="2373" spans="1:6">
      <c r="A2373" s="4" t="s">
        <v>5077</v>
      </c>
      <c r="B2373" s="6" t="s">
        <v>5078</v>
      </c>
      <c r="C2373" s="4" t="s">
        <v>458</v>
      </c>
      <c r="D2373" s="4">
        <v>7</v>
      </c>
      <c r="E2373" s="4" t="s">
        <v>2099</v>
      </c>
      <c r="F2373" s="4" t="s">
        <v>5079</v>
      </c>
    </row>
    <row r="2374" spans="1:6">
      <c r="A2374" s="4" t="s">
        <v>5080</v>
      </c>
      <c r="B2374" s="6" t="s">
        <v>5081</v>
      </c>
      <c r="C2374" s="4" t="s">
        <v>23</v>
      </c>
      <c r="D2374" s="4">
        <v>7</v>
      </c>
      <c r="E2374" s="4" t="s">
        <v>346</v>
      </c>
      <c r="F2374" s="4" t="s">
        <v>5082</v>
      </c>
    </row>
    <row r="2375" spans="1:6">
      <c r="A2375" s="4" t="s">
        <v>5083</v>
      </c>
      <c r="B2375" s="6" t="s">
        <v>5084</v>
      </c>
      <c r="C2375" s="4" t="s">
        <v>81</v>
      </c>
      <c r="D2375" s="4">
        <v>7</v>
      </c>
      <c r="E2375" s="4" t="s">
        <v>2640</v>
      </c>
    </row>
    <row r="2376" spans="1:6">
      <c r="A2376" s="4" t="s">
        <v>5085</v>
      </c>
      <c r="B2376" s="6" t="s">
        <v>5086</v>
      </c>
      <c r="C2376" s="4" t="s">
        <v>37</v>
      </c>
      <c r="D2376" s="4">
        <v>14</v>
      </c>
      <c r="E2376" s="4" t="s">
        <v>5064</v>
      </c>
      <c r="F2376" s="4" t="s">
        <v>5087</v>
      </c>
    </row>
    <row r="2377" spans="1:6">
      <c r="A2377" s="4" t="s">
        <v>5088</v>
      </c>
      <c r="B2377" s="6" t="s">
        <v>5086</v>
      </c>
      <c r="C2377" s="4" t="s">
        <v>275</v>
      </c>
      <c r="D2377" s="4">
        <v>12</v>
      </c>
      <c r="E2377" s="4" t="s">
        <v>5089</v>
      </c>
      <c r="F2377" s="4" t="s">
        <v>3201</v>
      </c>
    </row>
    <row r="2378" spans="1:6">
      <c r="A2378" s="4" t="s">
        <v>5090</v>
      </c>
      <c r="B2378" s="6" t="s">
        <v>5086</v>
      </c>
      <c r="C2378" s="4" t="s">
        <v>81</v>
      </c>
      <c r="D2378" s="4">
        <v>10</v>
      </c>
      <c r="E2378" s="4" t="s">
        <v>2640</v>
      </c>
      <c r="F2378" s="4" t="s">
        <v>5091</v>
      </c>
    </row>
    <row r="2379" spans="1:6">
      <c r="A2379" s="4" t="s">
        <v>5092</v>
      </c>
      <c r="B2379" s="6" t="s">
        <v>5086</v>
      </c>
      <c r="C2379" s="4" t="s">
        <v>104</v>
      </c>
      <c r="D2379" s="4">
        <v>11</v>
      </c>
      <c r="E2379" s="4" t="s">
        <v>2640</v>
      </c>
    </row>
    <row r="2380" spans="1:6">
      <c r="A2380" s="4" t="s">
        <v>5093</v>
      </c>
      <c r="B2380" s="6" t="s">
        <v>5086</v>
      </c>
      <c r="C2380" s="4" t="s">
        <v>23</v>
      </c>
      <c r="D2380" s="4">
        <v>10</v>
      </c>
      <c r="E2380" s="4" t="s">
        <v>2640</v>
      </c>
    </row>
    <row r="2381" spans="1:6">
      <c r="A2381" s="4" t="s">
        <v>5094</v>
      </c>
      <c r="B2381" s="6" t="s">
        <v>5086</v>
      </c>
      <c r="C2381" s="4" t="s">
        <v>45</v>
      </c>
      <c r="D2381" s="4">
        <v>14</v>
      </c>
      <c r="E2381" s="4" t="s">
        <v>2640</v>
      </c>
    </row>
    <row r="2382" spans="1:6">
      <c r="A2382" s="4" t="s">
        <v>5095</v>
      </c>
      <c r="B2382" s="6" t="s">
        <v>5096</v>
      </c>
      <c r="C2382" s="4" t="s">
        <v>976</v>
      </c>
      <c r="D2382" s="4">
        <v>3</v>
      </c>
      <c r="E2382" s="4" t="s">
        <v>5097</v>
      </c>
    </row>
    <row r="2383" spans="1:6">
      <c r="A2383" s="4" t="s">
        <v>5098</v>
      </c>
      <c r="B2383" s="6" t="s">
        <v>5099</v>
      </c>
      <c r="C2383" s="4" t="s">
        <v>3181</v>
      </c>
      <c r="D2383" s="4">
        <v>13</v>
      </c>
      <c r="E2383" s="4" t="s">
        <v>1442</v>
      </c>
    </row>
    <row r="2384" spans="1:6">
      <c r="A2384" s="4" t="s">
        <v>5100</v>
      </c>
      <c r="B2384" s="6" t="s">
        <v>5099</v>
      </c>
      <c r="C2384" s="4" t="s">
        <v>14</v>
      </c>
      <c r="D2384" s="4">
        <v>10</v>
      </c>
      <c r="E2384" s="4" t="s">
        <v>5064</v>
      </c>
    </row>
    <row r="2385" spans="1:6">
      <c r="A2385" s="4" t="s">
        <v>5101</v>
      </c>
      <c r="B2385" s="6" t="s">
        <v>5099</v>
      </c>
      <c r="C2385" s="4" t="s">
        <v>81</v>
      </c>
      <c r="D2385" s="4">
        <v>13</v>
      </c>
      <c r="E2385" s="4" t="s">
        <v>1442</v>
      </c>
      <c r="F2385" s="4" t="s">
        <v>5102</v>
      </c>
    </row>
    <row r="2386" spans="1:6">
      <c r="A2386" s="4" t="s">
        <v>5103</v>
      </c>
      <c r="B2386" s="6" t="s">
        <v>5104</v>
      </c>
      <c r="C2386" s="4" t="s">
        <v>285</v>
      </c>
      <c r="D2386" s="4">
        <v>12</v>
      </c>
      <c r="E2386" s="4" t="s">
        <v>5105</v>
      </c>
    </row>
    <row r="2387" spans="1:6">
      <c r="A2387" s="4" t="s">
        <v>5106</v>
      </c>
      <c r="B2387" s="6" t="s">
        <v>5107</v>
      </c>
      <c r="C2387" s="4" t="s">
        <v>173</v>
      </c>
      <c r="D2387" s="4">
        <v>6</v>
      </c>
      <c r="E2387" s="4" t="s">
        <v>1378</v>
      </c>
      <c r="F2387" s="4" t="s">
        <v>5108</v>
      </c>
    </row>
    <row r="2388" spans="1:6">
      <c r="A2388" s="4" t="s">
        <v>5109</v>
      </c>
      <c r="B2388" s="6" t="s">
        <v>5107</v>
      </c>
      <c r="C2388" s="4" t="s">
        <v>285</v>
      </c>
      <c r="D2388" s="4">
        <v>21</v>
      </c>
      <c r="E2388" s="4" t="s">
        <v>2881</v>
      </c>
    </row>
    <row r="2389" spans="1:6">
      <c r="A2389" s="4" t="s">
        <v>5110</v>
      </c>
      <c r="B2389" s="6" t="s">
        <v>5111</v>
      </c>
      <c r="C2389" s="4" t="s">
        <v>87</v>
      </c>
      <c r="D2389" s="4">
        <v>13</v>
      </c>
      <c r="E2389" s="4" t="s">
        <v>150</v>
      </c>
      <c r="F2389" s="4" t="s">
        <v>5112</v>
      </c>
    </row>
    <row r="2390" spans="1:6">
      <c r="A2390" s="4" t="s">
        <v>5113</v>
      </c>
      <c r="B2390" s="6" t="s">
        <v>5111</v>
      </c>
      <c r="C2390" s="4" t="s">
        <v>976</v>
      </c>
      <c r="D2390" s="4">
        <v>4</v>
      </c>
      <c r="E2390" s="4" t="s">
        <v>5114</v>
      </c>
      <c r="F2390" s="4" t="s">
        <v>375</v>
      </c>
    </row>
    <row r="2391" spans="1:6">
      <c r="A2391" s="4" t="s">
        <v>5115</v>
      </c>
      <c r="B2391" s="6" t="s">
        <v>5111</v>
      </c>
      <c r="C2391" s="4" t="s">
        <v>95</v>
      </c>
      <c r="D2391" s="4">
        <v>10</v>
      </c>
      <c r="E2391" s="4" t="s">
        <v>5114</v>
      </c>
      <c r="F2391" s="4" t="s">
        <v>5116</v>
      </c>
    </row>
    <row r="2392" spans="1:6">
      <c r="A2392" s="4" t="s">
        <v>5117</v>
      </c>
      <c r="B2392" s="6" t="s">
        <v>5118</v>
      </c>
      <c r="C2392" s="4" t="s">
        <v>19</v>
      </c>
      <c r="D2392" s="4">
        <v>7</v>
      </c>
      <c r="E2392" s="4" t="s">
        <v>150</v>
      </c>
    </row>
    <row r="2393" spans="1:6">
      <c r="A2393" s="4" t="s">
        <v>5119</v>
      </c>
      <c r="B2393" s="6" t="s">
        <v>5120</v>
      </c>
      <c r="C2393" s="4" t="s">
        <v>221</v>
      </c>
      <c r="D2393" s="4">
        <v>19</v>
      </c>
      <c r="E2393" s="4" t="s">
        <v>3013</v>
      </c>
      <c r="F2393" s="4" t="s">
        <v>5121</v>
      </c>
    </row>
    <row r="2394" spans="1:6">
      <c r="A2394" s="4" t="s">
        <v>5122</v>
      </c>
      <c r="B2394" s="6" t="s">
        <v>5120</v>
      </c>
      <c r="C2394" s="4" t="s">
        <v>81</v>
      </c>
      <c r="D2394" s="4">
        <v>14</v>
      </c>
      <c r="E2394" s="4" t="s">
        <v>150</v>
      </c>
    </row>
    <row r="2395" spans="1:6">
      <c r="A2395" s="4" t="s">
        <v>354</v>
      </c>
      <c r="B2395" s="6" t="s">
        <v>5123</v>
      </c>
      <c r="C2395" s="4" t="s">
        <v>354</v>
      </c>
      <c r="D2395" s="4">
        <v>4</v>
      </c>
      <c r="E2395" s="4" t="s">
        <v>5124</v>
      </c>
      <c r="F2395" s="4" t="s">
        <v>5125</v>
      </c>
    </row>
    <row r="2396" spans="1:6">
      <c r="A2396" s="4" t="s">
        <v>5126</v>
      </c>
      <c r="B2396" s="6" t="s">
        <v>5127</v>
      </c>
      <c r="C2396" s="4" t="s">
        <v>74</v>
      </c>
      <c r="D2396" s="4">
        <v>4</v>
      </c>
      <c r="E2396" s="4" t="s">
        <v>2640</v>
      </c>
      <c r="F2396" s="4" t="s">
        <v>5128</v>
      </c>
    </row>
    <row r="2397" spans="1:6">
      <c r="A2397" s="4" t="s">
        <v>5129</v>
      </c>
      <c r="B2397" s="6" t="s">
        <v>5127</v>
      </c>
      <c r="C2397" s="4" t="s">
        <v>254</v>
      </c>
      <c r="D2397" s="4">
        <v>6</v>
      </c>
      <c r="E2397" s="4" t="s">
        <v>2640</v>
      </c>
    </row>
    <row r="2398" spans="1:6">
      <c r="A2398" s="4" t="s">
        <v>5130</v>
      </c>
      <c r="B2398" s="6" t="s">
        <v>5131</v>
      </c>
      <c r="C2398" s="4" t="s">
        <v>45</v>
      </c>
      <c r="D2398" s="4">
        <v>12</v>
      </c>
      <c r="E2398" s="4" t="s">
        <v>5105</v>
      </c>
    </row>
    <row r="2399" spans="1:6">
      <c r="A2399" s="4" t="s">
        <v>5132</v>
      </c>
      <c r="B2399" s="6" t="s">
        <v>5133</v>
      </c>
      <c r="C2399" s="4" t="s">
        <v>1248</v>
      </c>
      <c r="D2399" s="4">
        <v>14</v>
      </c>
      <c r="E2399" s="4" t="s">
        <v>5134</v>
      </c>
    </row>
    <row r="2400" spans="1:6">
      <c r="A2400" s="4" t="s">
        <v>5135</v>
      </c>
      <c r="B2400" s="6" t="s">
        <v>5136</v>
      </c>
      <c r="C2400" s="4" t="s">
        <v>254</v>
      </c>
      <c r="D2400" s="4">
        <v>11</v>
      </c>
      <c r="E2400" s="4" t="s">
        <v>2881</v>
      </c>
      <c r="F2400" s="4" t="s">
        <v>5137</v>
      </c>
    </row>
    <row r="2401" spans="1:6">
      <c r="A2401" s="4" t="s">
        <v>5138</v>
      </c>
      <c r="B2401" s="6" t="s">
        <v>5136</v>
      </c>
      <c r="C2401" s="4" t="s">
        <v>3168</v>
      </c>
      <c r="D2401" s="4">
        <v>18</v>
      </c>
      <c r="E2401" s="4" t="s">
        <v>2881</v>
      </c>
    </row>
    <row r="2402" spans="1:6">
      <c r="A2402" s="4" t="s">
        <v>5139</v>
      </c>
      <c r="B2402" s="6" t="s">
        <v>5136</v>
      </c>
      <c r="C2402" s="4" t="s">
        <v>254</v>
      </c>
      <c r="D2402" s="4">
        <v>14</v>
      </c>
      <c r="E2402" s="4" t="s">
        <v>2881</v>
      </c>
      <c r="F2402" s="4" t="s">
        <v>5137</v>
      </c>
    </row>
    <row r="2403" spans="1:6">
      <c r="A2403" s="4" t="s">
        <v>5140</v>
      </c>
      <c r="B2403" s="6" t="s">
        <v>5136</v>
      </c>
      <c r="C2403" s="4" t="s">
        <v>37</v>
      </c>
      <c r="D2403" s="4">
        <v>13</v>
      </c>
      <c r="E2403" s="4" t="s">
        <v>1378</v>
      </c>
    </row>
    <row r="2404" spans="1:6">
      <c r="A2404" s="4" t="s">
        <v>5141</v>
      </c>
      <c r="B2404" s="6" t="s">
        <v>5142</v>
      </c>
      <c r="C2404" s="4" t="s">
        <v>87</v>
      </c>
      <c r="D2404" s="4">
        <v>14</v>
      </c>
      <c r="E2404" s="4" t="s">
        <v>5143</v>
      </c>
      <c r="F2404" s="4" t="s">
        <v>5144</v>
      </c>
    </row>
    <row r="2405" spans="1:6">
      <c r="A2405" s="4" t="s">
        <v>1129</v>
      </c>
      <c r="B2405" s="6" t="s">
        <v>5142</v>
      </c>
      <c r="C2405" s="4" t="s">
        <v>1129</v>
      </c>
      <c r="D2405" s="4">
        <v>11</v>
      </c>
      <c r="E2405" s="4" t="s">
        <v>2808</v>
      </c>
      <c r="F2405" s="4" t="s">
        <v>5145</v>
      </c>
    </row>
    <row r="2406" spans="1:6">
      <c r="A2406" s="4" t="s">
        <v>5146</v>
      </c>
      <c r="B2406" s="6" t="s">
        <v>5147</v>
      </c>
      <c r="C2406" s="4" t="s">
        <v>470</v>
      </c>
      <c r="D2406" s="4">
        <v>16</v>
      </c>
      <c r="E2406" s="4" t="s">
        <v>2925</v>
      </c>
      <c r="F2406" s="4" t="s">
        <v>5148</v>
      </c>
    </row>
    <row r="2407" spans="1:6">
      <c r="A2407" s="4" t="s">
        <v>5149</v>
      </c>
      <c r="B2407" s="6" t="s">
        <v>5150</v>
      </c>
      <c r="C2407" s="4" t="s">
        <v>254</v>
      </c>
      <c r="D2407" s="4">
        <v>6</v>
      </c>
      <c r="E2407" s="4" t="s">
        <v>2719</v>
      </c>
      <c r="F2407" s="4" t="s">
        <v>5151</v>
      </c>
    </row>
    <row r="2408" spans="1:6">
      <c r="A2408" s="4" t="s">
        <v>5152</v>
      </c>
      <c r="B2408" s="6" t="s">
        <v>5153</v>
      </c>
      <c r="C2408" s="4" t="s">
        <v>3181</v>
      </c>
      <c r="D2408" s="4">
        <v>10</v>
      </c>
      <c r="E2408" s="4" t="s">
        <v>5034</v>
      </c>
      <c r="F2408" s="4" t="s">
        <v>5154</v>
      </c>
    </row>
    <row r="2409" spans="1:6">
      <c r="A2409" s="4" t="s">
        <v>5155</v>
      </c>
      <c r="B2409" s="6" t="s">
        <v>5153</v>
      </c>
      <c r="C2409" s="4" t="s">
        <v>76</v>
      </c>
      <c r="D2409" s="4">
        <v>15</v>
      </c>
      <c r="E2409" s="4" t="s">
        <v>5034</v>
      </c>
    </row>
    <row r="2410" spans="1:6">
      <c r="A2410" s="4" t="s">
        <v>2111</v>
      </c>
      <c r="B2410" s="6" t="s">
        <v>5156</v>
      </c>
      <c r="C2410" s="4" t="s">
        <v>2111</v>
      </c>
      <c r="D2410" s="4">
        <v>4</v>
      </c>
      <c r="E2410" s="4" t="s">
        <v>5157</v>
      </c>
      <c r="F2410" s="4" t="s">
        <v>5158</v>
      </c>
    </row>
    <row r="2411" spans="1:6">
      <c r="A2411" s="4" t="s">
        <v>5159</v>
      </c>
      <c r="B2411" s="6" t="s">
        <v>5160</v>
      </c>
      <c r="C2411" s="4" t="s">
        <v>37</v>
      </c>
      <c r="D2411" s="4">
        <v>14</v>
      </c>
      <c r="E2411" s="4" t="s">
        <v>5161</v>
      </c>
      <c r="F2411" s="4" t="s">
        <v>5162</v>
      </c>
    </row>
    <row r="2412" spans="1:6">
      <c r="A2412" s="4" t="s">
        <v>5163</v>
      </c>
      <c r="B2412" s="6" t="s">
        <v>5160</v>
      </c>
      <c r="C2412" s="4" t="s">
        <v>92</v>
      </c>
      <c r="D2412" s="4">
        <v>22</v>
      </c>
      <c r="E2412" s="4" t="s">
        <v>2640</v>
      </c>
    </row>
    <row r="2413" spans="1:6">
      <c r="A2413" s="4" t="s">
        <v>5164</v>
      </c>
      <c r="B2413" s="6" t="s">
        <v>5160</v>
      </c>
      <c r="C2413" s="4" t="s">
        <v>1335</v>
      </c>
      <c r="D2413" s="4">
        <v>10</v>
      </c>
      <c r="E2413" s="4" t="s">
        <v>5165</v>
      </c>
    </row>
    <row r="2414" spans="1:6">
      <c r="A2414" s="4" t="s">
        <v>5166</v>
      </c>
      <c r="B2414" s="6" t="s">
        <v>5167</v>
      </c>
      <c r="C2414" s="4" t="s">
        <v>351</v>
      </c>
      <c r="D2414" s="4">
        <v>12</v>
      </c>
      <c r="E2414" s="4" t="s">
        <v>5161</v>
      </c>
      <c r="F2414" s="4" t="s">
        <v>5168</v>
      </c>
    </row>
    <row r="2415" spans="1:6">
      <c r="A2415" s="4" t="s">
        <v>5169</v>
      </c>
      <c r="B2415" s="6" t="s">
        <v>5170</v>
      </c>
      <c r="C2415" s="4" t="s">
        <v>49</v>
      </c>
      <c r="D2415" s="4">
        <v>8</v>
      </c>
      <c r="E2415" s="4" t="s">
        <v>4879</v>
      </c>
      <c r="F2415" s="4" t="s">
        <v>4787</v>
      </c>
    </row>
    <row r="2416" spans="1:6">
      <c r="A2416" s="4" t="s">
        <v>5171</v>
      </c>
      <c r="B2416" s="6" t="s">
        <v>5170</v>
      </c>
      <c r="C2416" s="4" t="s">
        <v>1420</v>
      </c>
      <c r="D2416" s="4">
        <v>13</v>
      </c>
      <c r="E2416" s="4" t="s">
        <v>4879</v>
      </c>
    </row>
    <row r="2417" spans="1:6">
      <c r="A2417" s="4" t="s">
        <v>5172</v>
      </c>
      <c r="B2417" s="6" t="s">
        <v>5170</v>
      </c>
      <c r="C2417" s="4" t="s">
        <v>53</v>
      </c>
      <c r="D2417" s="4">
        <v>12</v>
      </c>
      <c r="E2417" s="4" t="s">
        <v>15</v>
      </c>
    </row>
    <row r="2418" spans="1:6">
      <c r="A2418" s="4" t="s">
        <v>5173</v>
      </c>
      <c r="B2418" s="6" t="s">
        <v>5170</v>
      </c>
      <c r="C2418" s="4" t="s">
        <v>5173</v>
      </c>
      <c r="D2418" s="4">
        <v>4</v>
      </c>
      <c r="E2418" s="4" t="s">
        <v>5174</v>
      </c>
      <c r="F2418" s="4" t="s">
        <v>5175</v>
      </c>
    </row>
    <row r="2419" spans="1:6">
      <c r="A2419" s="4" t="s">
        <v>5176</v>
      </c>
      <c r="B2419" s="6" t="s">
        <v>5170</v>
      </c>
      <c r="C2419" s="4" t="s">
        <v>23</v>
      </c>
      <c r="D2419" s="4">
        <v>7</v>
      </c>
      <c r="E2419" s="4" t="s">
        <v>5174</v>
      </c>
    </row>
    <row r="2420" spans="1:6">
      <c r="A2420" s="4" t="s">
        <v>5177</v>
      </c>
      <c r="B2420" s="6" t="s">
        <v>5178</v>
      </c>
      <c r="C2420" s="4" t="s">
        <v>87</v>
      </c>
      <c r="D2420" s="4">
        <v>11</v>
      </c>
      <c r="E2420" s="4" t="s">
        <v>727</v>
      </c>
    </row>
    <row r="2421" spans="1:6">
      <c r="A2421" s="4" t="s">
        <v>5179</v>
      </c>
      <c r="B2421" s="6" t="s">
        <v>5178</v>
      </c>
      <c r="C2421" s="4" t="s">
        <v>1420</v>
      </c>
      <c r="D2421" s="4">
        <v>12</v>
      </c>
      <c r="E2421" s="4" t="s">
        <v>3444</v>
      </c>
      <c r="F2421" s="4" t="s">
        <v>2238</v>
      </c>
    </row>
    <row r="2422" spans="1:6">
      <c r="A2422" s="4" t="s">
        <v>5180</v>
      </c>
      <c r="B2422" s="6" t="s">
        <v>5178</v>
      </c>
      <c r="C2422" s="4" t="s">
        <v>23</v>
      </c>
      <c r="D2422" s="4">
        <v>11</v>
      </c>
      <c r="E2422" s="4" t="s">
        <v>727</v>
      </c>
    </row>
    <row r="2423" spans="1:6">
      <c r="A2423" s="4" t="s">
        <v>5181</v>
      </c>
      <c r="B2423" s="6" t="s">
        <v>5178</v>
      </c>
      <c r="C2423" s="4" t="s">
        <v>285</v>
      </c>
      <c r="D2423" s="4">
        <v>11</v>
      </c>
      <c r="E2423" s="4" t="s">
        <v>727</v>
      </c>
      <c r="F2423" s="4" t="s">
        <v>5182</v>
      </c>
    </row>
    <row r="2424" spans="1:6">
      <c r="A2424" s="4" t="s">
        <v>5183</v>
      </c>
      <c r="B2424" s="6" t="s">
        <v>5178</v>
      </c>
      <c r="C2424" s="4" t="s">
        <v>285</v>
      </c>
      <c r="D2424" s="4">
        <v>11</v>
      </c>
      <c r="E2424" s="4" t="s">
        <v>727</v>
      </c>
      <c r="F2424" s="4" t="s">
        <v>5182</v>
      </c>
    </row>
    <row r="2425" spans="1:6">
      <c r="A2425" s="4" t="s">
        <v>5184</v>
      </c>
      <c r="B2425" s="6" t="s">
        <v>5185</v>
      </c>
      <c r="C2425" s="4" t="s">
        <v>285</v>
      </c>
      <c r="D2425" s="4">
        <v>8</v>
      </c>
      <c r="E2425" s="4" t="s">
        <v>3013</v>
      </c>
      <c r="F2425" s="4" t="s">
        <v>5186</v>
      </c>
    </row>
    <row r="2426" spans="1:6">
      <c r="A2426" s="4" t="s">
        <v>5187</v>
      </c>
      <c r="B2426" s="6" t="s">
        <v>5185</v>
      </c>
      <c r="C2426" s="4" t="s">
        <v>285</v>
      </c>
      <c r="D2426" s="4">
        <v>20</v>
      </c>
      <c r="E2426" s="4" t="s">
        <v>3013</v>
      </c>
      <c r="F2426" s="4" t="s">
        <v>5188</v>
      </c>
    </row>
    <row r="2427" spans="1:6">
      <c r="A2427" s="4" t="s">
        <v>5189</v>
      </c>
      <c r="B2427" s="6" t="s">
        <v>5185</v>
      </c>
      <c r="C2427" s="4" t="s">
        <v>76</v>
      </c>
      <c r="D2427" s="4">
        <v>17</v>
      </c>
      <c r="E2427" s="4" t="s">
        <v>3013</v>
      </c>
    </row>
    <row r="2428" spans="1:6">
      <c r="A2428" s="4" t="s">
        <v>5190</v>
      </c>
      <c r="B2428" s="6" t="s">
        <v>5185</v>
      </c>
      <c r="C2428" s="4" t="s">
        <v>285</v>
      </c>
      <c r="D2428" s="4">
        <v>12</v>
      </c>
      <c r="E2428" s="4" t="s">
        <v>3013</v>
      </c>
    </row>
    <row r="2429" spans="1:6">
      <c r="A2429" s="4" t="s">
        <v>5191</v>
      </c>
      <c r="B2429" s="6" t="s">
        <v>5185</v>
      </c>
      <c r="C2429" s="4" t="s">
        <v>285</v>
      </c>
      <c r="D2429" s="4">
        <v>23</v>
      </c>
      <c r="E2429" s="4" t="s">
        <v>3013</v>
      </c>
      <c r="F2429" s="4" t="s">
        <v>5188</v>
      </c>
    </row>
    <row r="2430" spans="1:6">
      <c r="A2430" s="4" t="s">
        <v>5192</v>
      </c>
      <c r="B2430" s="6" t="s">
        <v>5193</v>
      </c>
      <c r="C2430" s="4" t="s">
        <v>221</v>
      </c>
      <c r="D2430" s="4">
        <v>18</v>
      </c>
      <c r="E2430" s="4" t="s">
        <v>3013</v>
      </c>
      <c r="F2430" s="4" t="s">
        <v>5194</v>
      </c>
    </row>
    <row r="2431" spans="1:6">
      <c r="A2431" s="4" t="s">
        <v>5195</v>
      </c>
      <c r="B2431" s="6" t="s">
        <v>5196</v>
      </c>
      <c r="C2431" s="4" t="s">
        <v>110</v>
      </c>
      <c r="D2431" s="4">
        <v>12</v>
      </c>
      <c r="E2431" s="4" t="s">
        <v>5197</v>
      </c>
    </row>
    <row r="2432" spans="1:6">
      <c r="A2432" s="4" t="s">
        <v>5198</v>
      </c>
      <c r="B2432" s="6" t="s">
        <v>5196</v>
      </c>
      <c r="C2432" s="4" t="s">
        <v>76</v>
      </c>
      <c r="D2432" s="4">
        <v>17</v>
      </c>
      <c r="E2432" s="4" t="s">
        <v>5197</v>
      </c>
    </row>
    <row r="2433" spans="1:6">
      <c r="A2433" s="4" t="s">
        <v>5199</v>
      </c>
      <c r="B2433" s="6" t="s">
        <v>5196</v>
      </c>
      <c r="C2433" s="4" t="s">
        <v>14</v>
      </c>
      <c r="D2433" s="4">
        <v>15</v>
      </c>
      <c r="E2433" s="4" t="s">
        <v>731</v>
      </c>
    </row>
    <row r="2434" spans="1:6">
      <c r="A2434" s="4" t="s">
        <v>5200</v>
      </c>
      <c r="B2434" s="6" t="s">
        <v>5196</v>
      </c>
      <c r="C2434" s="4" t="s">
        <v>14</v>
      </c>
      <c r="D2434" s="4">
        <v>15</v>
      </c>
      <c r="E2434" s="4" t="s">
        <v>5197</v>
      </c>
    </row>
    <row r="2435" spans="1:6">
      <c r="A2435" s="4" t="s">
        <v>5201</v>
      </c>
      <c r="B2435" s="6" t="s">
        <v>5202</v>
      </c>
      <c r="C2435" s="4" t="s">
        <v>1106</v>
      </c>
      <c r="D2435" s="4">
        <v>13</v>
      </c>
      <c r="E2435" s="4" t="s">
        <v>4879</v>
      </c>
      <c r="F2435" s="4" t="s">
        <v>5203</v>
      </c>
    </row>
    <row r="2436" spans="1:6">
      <c r="A2436" s="4" t="s">
        <v>5204</v>
      </c>
      <c r="B2436" s="6" t="s">
        <v>5205</v>
      </c>
      <c r="C2436" s="4" t="s">
        <v>995</v>
      </c>
      <c r="D2436" s="4">
        <v>11</v>
      </c>
      <c r="E2436" s="4" t="s">
        <v>5206</v>
      </c>
      <c r="F2436" s="4" t="s">
        <v>5207</v>
      </c>
    </row>
    <row r="2437" spans="1:6">
      <c r="A2437" s="4" t="s">
        <v>5208</v>
      </c>
      <c r="B2437" s="6" t="s">
        <v>5209</v>
      </c>
      <c r="C2437" s="4" t="s">
        <v>285</v>
      </c>
      <c r="D2437" s="4">
        <v>8</v>
      </c>
      <c r="E2437" s="4" t="s">
        <v>3110</v>
      </c>
      <c r="F2437" s="4" t="s">
        <v>5210</v>
      </c>
    </row>
    <row r="2438" spans="1:6">
      <c r="A2438" s="4" t="s">
        <v>5211</v>
      </c>
      <c r="B2438" s="6" t="s">
        <v>5209</v>
      </c>
      <c r="C2438" s="4" t="s">
        <v>285</v>
      </c>
      <c r="D2438" s="4">
        <v>17</v>
      </c>
      <c r="E2438" s="4" t="s">
        <v>3110</v>
      </c>
      <c r="F2438" s="4" t="s">
        <v>5210</v>
      </c>
    </row>
    <row r="2439" spans="1:6">
      <c r="A2439" s="4" t="s">
        <v>5212</v>
      </c>
      <c r="B2439" s="6" t="s">
        <v>5213</v>
      </c>
      <c r="C2439" s="4" t="s">
        <v>132</v>
      </c>
      <c r="D2439" s="4">
        <v>15</v>
      </c>
      <c r="E2439" s="4" t="s">
        <v>2699</v>
      </c>
      <c r="F2439" s="4" t="s">
        <v>5214</v>
      </c>
    </row>
    <row r="2440" spans="1:6">
      <c r="A2440" s="4" t="s">
        <v>5215</v>
      </c>
      <c r="B2440" s="6" t="s">
        <v>5213</v>
      </c>
      <c r="C2440" s="4" t="s">
        <v>453</v>
      </c>
      <c r="D2440" s="4">
        <v>19</v>
      </c>
      <c r="E2440" s="4" t="s">
        <v>3013</v>
      </c>
      <c r="F2440" s="4" t="s">
        <v>5216</v>
      </c>
    </row>
    <row r="2441" spans="1:6">
      <c r="A2441" s="4" t="s">
        <v>5217</v>
      </c>
      <c r="B2441" s="6" t="s">
        <v>5213</v>
      </c>
      <c r="C2441" s="4" t="s">
        <v>95</v>
      </c>
      <c r="D2441" s="4">
        <v>12</v>
      </c>
      <c r="E2441" s="4" t="s">
        <v>2699</v>
      </c>
      <c r="F2441" s="4" t="s">
        <v>5214</v>
      </c>
    </row>
    <row r="2442" spans="1:6">
      <c r="A2442" s="4" t="s">
        <v>5218</v>
      </c>
      <c r="B2442" s="6" t="s">
        <v>5219</v>
      </c>
      <c r="C2442" s="4" t="s">
        <v>14</v>
      </c>
      <c r="D2442" s="4">
        <v>7</v>
      </c>
      <c r="E2442" s="4" t="s">
        <v>5220</v>
      </c>
    </row>
    <row r="2443" spans="1:6">
      <c r="A2443" s="4" t="s">
        <v>5221</v>
      </c>
      <c r="B2443" s="6" t="s">
        <v>5219</v>
      </c>
      <c r="C2443" s="4" t="s">
        <v>2506</v>
      </c>
      <c r="D2443" s="4">
        <v>4</v>
      </c>
      <c r="E2443" s="4" t="s">
        <v>5222</v>
      </c>
      <c r="F2443" s="4" t="s">
        <v>5223</v>
      </c>
    </row>
    <row r="2444" spans="1:6">
      <c r="A2444" s="4" t="s">
        <v>5224</v>
      </c>
      <c r="B2444" s="6" t="s">
        <v>5219</v>
      </c>
      <c r="C2444" s="4" t="s">
        <v>14</v>
      </c>
      <c r="D2444" s="4">
        <v>9</v>
      </c>
      <c r="E2444" s="4" t="s">
        <v>5220</v>
      </c>
    </row>
    <row r="2445" spans="1:6">
      <c r="A2445" s="4" t="s">
        <v>254</v>
      </c>
      <c r="B2445" s="6" t="s">
        <v>5225</v>
      </c>
      <c r="C2445" s="4" t="s">
        <v>254</v>
      </c>
      <c r="D2445" s="4">
        <v>2</v>
      </c>
      <c r="E2445" s="4" t="s">
        <v>5226</v>
      </c>
      <c r="F2445" s="4" t="s">
        <v>5227</v>
      </c>
    </row>
    <row r="2446" spans="1:6">
      <c r="A2446" s="4" t="s">
        <v>5228</v>
      </c>
      <c r="B2446" s="6" t="s">
        <v>5225</v>
      </c>
      <c r="C2446" s="4" t="s">
        <v>254</v>
      </c>
      <c r="D2446" s="4">
        <v>4</v>
      </c>
      <c r="E2446" s="4" t="s">
        <v>5226</v>
      </c>
    </row>
    <row r="2447" spans="1:6">
      <c r="A2447" s="4" t="s">
        <v>5229</v>
      </c>
      <c r="B2447" s="6" t="s">
        <v>5225</v>
      </c>
      <c r="C2447" s="4" t="s">
        <v>1335</v>
      </c>
      <c r="D2447" s="4">
        <v>6</v>
      </c>
      <c r="E2447" s="4" t="s">
        <v>164</v>
      </c>
      <c r="F2447" s="4" t="s">
        <v>5230</v>
      </c>
    </row>
    <row r="2448" spans="1:6">
      <c r="A2448" s="4" t="s">
        <v>5231</v>
      </c>
      <c r="B2448" s="6" t="s">
        <v>5225</v>
      </c>
      <c r="C2448" s="4" t="s">
        <v>14</v>
      </c>
      <c r="D2448" s="4">
        <v>9</v>
      </c>
      <c r="E2448" s="4" t="s">
        <v>164</v>
      </c>
    </row>
    <row r="2449" spans="1:6">
      <c r="A2449" s="4" t="s">
        <v>5232</v>
      </c>
      <c r="B2449" s="6" t="s">
        <v>5225</v>
      </c>
      <c r="C2449" s="4" t="s">
        <v>3562</v>
      </c>
      <c r="D2449" s="4">
        <v>10</v>
      </c>
      <c r="E2449" s="4" t="s">
        <v>164</v>
      </c>
    </row>
    <row r="2450" spans="1:6">
      <c r="A2450" s="4" t="s">
        <v>976</v>
      </c>
      <c r="B2450" s="6" t="s">
        <v>5225</v>
      </c>
      <c r="C2450" s="4" t="s">
        <v>976</v>
      </c>
      <c r="D2450" s="4">
        <v>2</v>
      </c>
      <c r="E2450" s="4" t="s">
        <v>5226</v>
      </c>
    </row>
    <row r="2451" spans="1:6">
      <c r="A2451" s="4" t="s">
        <v>448</v>
      </c>
      <c r="B2451" s="6" t="s">
        <v>5233</v>
      </c>
      <c r="C2451" s="4" t="s">
        <v>448</v>
      </c>
      <c r="D2451" s="4">
        <v>1</v>
      </c>
      <c r="E2451" s="4" t="s">
        <v>5234</v>
      </c>
      <c r="F2451" s="4" t="s">
        <v>5235</v>
      </c>
    </row>
    <row r="2452" spans="1:6">
      <c r="A2452" s="4" t="s">
        <v>5236</v>
      </c>
      <c r="B2452" s="6" t="s">
        <v>5233</v>
      </c>
      <c r="C2452" s="4" t="s">
        <v>2506</v>
      </c>
      <c r="D2452" s="4">
        <v>7</v>
      </c>
      <c r="E2452" s="4" t="s">
        <v>5234</v>
      </c>
      <c r="F2452" s="4" t="s">
        <v>5235</v>
      </c>
    </row>
    <row r="2453" spans="1:6">
      <c r="A2453" s="4" t="s">
        <v>5237</v>
      </c>
      <c r="B2453" s="6" t="s">
        <v>5233</v>
      </c>
      <c r="C2453" s="4" t="s">
        <v>2506</v>
      </c>
      <c r="D2453" s="4">
        <v>12</v>
      </c>
      <c r="E2453" s="4" t="s">
        <v>5234</v>
      </c>
    </row>
    <row r="2454" spans="1:6">
      <c r="A2454" s="4" t="s">
        <v>5238</v>
      </c>
      <c r="B2454" s="6" t="s">
        <v>5233</v>
      </c>
      <c r="C2454" s="4" t="s">
        <v>1603</v>
      </c>
      <c r="D2454" s="4">
        <v>4</v>
      </c>
      <c r="E2454" s="4" t="s">
        <v>5234</v>
      </c>
    </row>
    <row r="2455" spans="1:6">
      <c r="A2455" s="4" t="s">
        <v>5239</v>
      </c>
      <c r="B2455" s="6" t="s">
        <v>5240</v>
      </c>
      <c r="C2455" s="4" t="s">
        <v>453</v>
      </c>
      <c r="D2455" s="4">
        <v>13</v>
      </c>
      <c r="E2455" s="4" t="s">
        <v>1030</v>
      </c>
    </row>
    <row r="2456" spans="1:6">
      <c r="A2456" s="4" t="s">
        <v>5241</v>
      </c>
      <c r="B2456" s="6" t="s">
        <v>5240</v>
      </c>
      <c r="C2456" s="4" t="s">
        <v>458</v>
      </c>
      <c r="D2456" s="4">
        <v>13</v>
      </c>
      <c r="E2456" s="4" t="s">
        <v>5242</v>
      </c>
      <c r="F2456" s="4" t="s">
        <v>5243</v>
      </c>
    </row>
    <row r="2457" spans="1:6">
      <c r="A2457" s="4" t="s">
        <v>5244</v>
      </c>
      <c r="B2457" s="6" t="s">
        <v>5245</v>
      </c>
      <c r="C2457" s="4" t="s">
        <v>81</v>
      </c>
      <c r="D2457" s="4">
        <v>7</v>
      </c>
      <c r="E2457" s="4" t="s">
        <v>5220</v>
      </c>
      <c r="F2457" s="4" t="s">
        <v>5246</v>
      </c>
    </row>
    <row r="2458" spans="1:6">
      <c r="A2458" s="4" t="s">
        <v>5247</v>
      </c>
      <c r="B2458" s="6" t="s">
        <v>5248</v>
      </c>
      <c r="C2458" s="4" t="s">
        <v>81</v>
      </c>
      <c r="D2458" s="4">
        <v>10</v>
      </c>
      <c r="E2458" s="4" t="s">
        <v>5226</v>
      </c>
    </row>
    <row r="2459" spans="1:6">
      <c r="A2459" s="4" t="s">
        <v>5249</v>
      </c>
      <c r="B2459" s="6" t="s">
        <v>5250</v>
      </c>
      <c r="C2459" s="4" t="s">
        <v>37</v>
      </c>
      <c r="D2459" s="4">
        <v>14</v>
      </c>
      <c r="E2459" s="4" t="s">
        <v>5251</v>
      </c>
      <c r="F2459" s="4" t="s">
        <v>5252</v>
      </c>
    </row>
    <row r="2460" spans="1:6">
      <c r="A2460" s="4" t="s">
        <v>5253</v>
      </c>
      <c r="B2460" s="6" t="s">
        <v>5250</v>
      </c>
      <c r="C2460" s="4" t="s">
        <v>271</v>
      </c>
      <c r="D2460" s="4">
        <v>3</v>
      </c>
      <c r="E2460" s="4" t="s">
        <v>5226</v>
      </c>
      <c r="F2460" s="4" t="s">
        <v>1631</v>
      </c>
    </row>
    <row r="2461" spans="1:6">
      <c r="A2461" s="4" t="s">
        <v>5254</v>
      </c>
      <c r="B2461" s="6" t="s">
        <v>5250</v>
      </c>
      <c r="C2461" s="4" t="s">
        <v>254</v>
      </c>
      <c r="D2461" s="4">
        <v>5</v>
      </c>
      <c r="E2461" s="4" t="s">
        <v>5222</v>
      </c>
    </row>
    <row r="2462" spans="1:6">
      <c r="A2462" s="4" t="s">
        <v>5255</v>
      </c>
      <c r="B2462" s="6" t="s">
        <v>5250</v>
      </c>
      <c r="C2462" s="4" t="s">
        <v>254</v>
      </c>
      <c r="D2462" s="4">
        <v>5</v>
      </c>
      <c r="E2462" s="4" t="s">
        <v>5222</v>
      </c>
    </row>
    <row r="2463" spans="1:6">
      <c r="A2463" s="4" t="s">
        <v>5256</v>
      </c>
      <c r="B2463" s="6" t="s">
        <v>5250</v>
      </c>
      <c r="C2463" s="4" t="s">
        <v>271</v>
      </c>
      <c r="D2463" s="4">
        <v>3</v>
      </c>
      <c r="E2463" s="4" t="s">
        <v>5226</v>
      </c>
      <c r="F2463" s="4" t="s">
        <v>1631</v>
      </c>
    </row>
    <row r="2464" spans="1:6">
      <c r="A2464" s="4" t="s">
        <v>1749</v>
      </c>
      <c r="B2464" s="6" t="s">
        <v>5260</v>
      </c>
      <c r="C2464" s="4" t="s">
        <v>1749</v>
      </c>
      <c r="D2464" s="4">
        <v>2</v>
      </c>
      <c r="E2464" s="4" t="s">
        <v>5261</v>
      </c>
      <c r="F2464" s="4" t="s">
        <v>5262</v>
      </c>
    </row>
    <row r="2465" spans="1:6">
      <c r="A2465" s="4" t="s">
        <v>5263</v>
      </c>
      <c r="B2465" s="6" t="s">
        <v>5258</v>
      </c>
      <c r="C2465" s="4" t="s">
        <v>27</v>
      </c>
      <c r="D2465" s="4">
        <v>5</v>
      </c>
      <c r="F2465" s="4" t="s">
        <v>5264</v>
      </c>
    </row>
    <row r="2466" spans="1:6">
      <c r="A2466" s="4" t="s">
        <v>104</v>
      </c>
      <c r="B2466" s="6" t="s">
        <v>5265</v>
      </c>
      <c r="C2466" s="4" t="s">
        <v>104</v>
      </c>
      <c r="D2466" s="4">
        <v>4</v>
      </c>
      <c r="E2466" s="4" t="s">
        <v>5266</v>
      </c>
      <c r="F2466" s="4" t="s">
        <v>1854</v>
      </c>
    </row>
    <row r="2467" spans="1:6">
      <c r="A2467" s="4" t="s">
        <v>5267</v>
      </c>
      <c r="B2467" s="6" t="s">
        <v>5268</v>
      </c>
      <c r="C2467" s="4" t="s">
        <v>23</v>
      </c>
      <c r="D2467" s="4">
        <v>12</v>
      </c>
      <c r="E2467" s="4" t="s">
        <v>1208</v>
      </c>
      <c r="F2467" s="4" t="s">
        <v>5269</v>
      </c>
    </row>
    <row r="2468" spans="1:6">
      <c r="A2468" s="4" t="s">
        <v>5270</v>
      </c>
      <c r="B2468" s="6" t="s">
        <v>5271</v>
      </c>
      <c r="C2468" s="4" t="s">
        <v>976</v>
      </c>
      <c r="D2468" s="4">
        <v>7</v>
      </c>
      <c r="E2468" s="4" t="s">
        <v>5272</v>
      </c>
      <c r="F2468" s="4" t="s">
        <v>5273</v>
      </c>
    </row>
    <row r="2469" spans="1:6">
      <c r="A2469" s="4" t="s">
        <v>5274</v>
      </c>
      <c r="B2469" s="6" t="s">
        <v>5275</v>
      </c>
      <c r="C2469" s="4" t="s">
        <v>686</v>
      </c>
      <c r="D2469" s="4">
        <v>12</v>
      </c>
      <c r="E2469" s="4" t="s">
        <v>5276</v>
      </c>
      <c r="F2469" s="4" t="s">
        <v>5277</v>
      </c>
    </row>
    <row r="2470" spans="1:6">
      <c r="A2470" s="4" t="s">
        <v>5278</v>
      </c>
      <c r="B2470" s="6" t="s">
        <v>5275</v>
      </c>
      <c r="C2470" s="4" t="s">
        <v>686</v>
      </c>
      <c r="D2470" s="4">
        <v>16</v>
      </c>
      <c r="E2470" s="4" t="s">
        <v>5279</v>
      </c>
      <c r="F2470" s="4" t="s">
        <v>5280</v>
      </c>
    </row>
    <row r="2471" spans="1:6">
      <c r="A2471" s="4" t="s">
        <v>5281</v>
      </c>
      <c r="B2471" s="6" t="s">
        <v>5275</v>
      </c>
      <c r="C2471" s="4" t="s">
        <v>34</v>
      </c>
      <c r="D2471" s="4">
        <v>15</v>
      </c>
      <c r="E2471" s="4" t="s">
        <v>5282</v>
      </c>
      <c r="F2471" s="4" t="s">
        <v>3860</v>
      </c>
    </row>
    <row r="2472" spans="1:6">
      <c r="A2472" s="4" t="s">
        <v>5283</v>
      </c>
      <c r="B2472" s="6" t="s">
        <v>5284</v>
      </c>
      <c r="C2472" s="4" t="s">
        <v>53</v>
      </c>
      <c r="D2472" s="4">
        <v>16</v>
      </c>
      <c r="E2472" s="4" t="s">
        <v>2055</v>
      </c>
    </row>
    <row r="2473" spans="1:6">
      <c r="A2473" s="4" t="s">
        <v>5285</v>
      </c>
      <c r="B2473" s="6" t="s">
        <v>5286</v>
      </c>
      <c r="C2473" s="4" t="s">
        <v>34</v>
      </c>
      <c r="D2473" s="4">
        <v>13</v>
      </c>
      <c r="E2473" s="4" t="s">
        <v>5287</v>
      </c>
      <c r="F2473" s="4" t="s">
        <v>1023</v>
      </c>
    </row>
    <row r="2474" spans="1:6">
      <c r="A2474" s="4" t="s">
        <v>5288</v>
      </c>
      <c r="B2474" s="6" t="s">
        <v>5286</v>
      </c>
      <c r="C2474" s="4" t="s">
        <v>81</v>
      </c>
      <c r="D2474" s="4">
        <v>14</v>
      </c>
      <c r="E2474" s="4" t="s">
        <v>1069</v>
      </c>
    </row>
    <row r="2475" spans="1:6">
      <c r="A2475" s="4" t="s">
        <v>5289</v>
      </c>
      <c r="B2475" s="6" t="s">
        <v>5286</v>
      </c>
      <c r="C2475" s="4" t="s">
        <v>81</v>
      </c>
      <c r="D2475" s="4">
        <v>21</v>
      </c>
      <c r="E2475" s="4" t="s">
        <v>1069</v>
      </c>
    </row>
    <row r="2476" spans="1:6">
      <c r="A2476" s="4" t="s">
        <v>5290</v>
      </c>
      <c r="B2476" s="6" t="s">
        <v>5286</v>
      </c>
      <c r="C2476" s="4" t="s">
        <v>34</v>
      </c>
      <c r="D2476" s="4">
        <v>21</v>
      </c>
      <c r="E2476" s="4" t="s">
        <v>5287</v>
      </c>
      <c r="F2476" s="4" t="s">
        <v>1023</v>
      </c>
    </row>
    <row r="2477" spans="1:6">
      <c r="A2477" s="4" t="s">
        <v>5291</v>
      </c>
      <c r="B2477" s="6" t="s">
        <v>5286</v>
      </c>
      <c r="C2477" s="4" t="s">
        <v>23</v>
      </c>
      <c r="D2477" s="4">
        <v>21</v>
      </c>
      <c r="E2477" s="4" t="s">
        <v>1069</v>
      </c>
      <c r="F2477" s="4" t="s">
        <v>5292</v>
      </c>
    </row>
    <row r="2478" spans="1:6">
      <c r="A2478" s="4" t="s">
        <v>5293</v>
      </c>
      <c r="B2478" s="6" t="s">
        <v>5294</v>
      </c>
      <c r="C2478" s="4" t="s">
        <v>23</v>
      </c>
      <c r="D2478" s="4">
        <v>9</v>
      </c>
      <c r="E2478" s="4" t="s">
        <v>164</v>
      </c>
    </row>
    <row r="2479" spans="1:6">
      <c r="A2479" s="4" t="s">
        <v>5295</v>
      </c>
      <c r="B2479" s="6" t="s">
        <v>5296</v>
      </c>
      <c r="C2479" s="4" t="s">
        <v>53</v>
      </c>
      <c r="D2479" s="4">
        <v>9</v>
      </c>
      <c r="E2479" s="4" t="s">
        <v>5297</v>
      </c>
      <c r="F2479" s="4" t="s">
        <v>5298</v>
      </c>
    </row>
    <row r="2480" spans="1:6">
      <c r="A2480" s="4" t="s">
        <v>5299</v>
      </c>
      <c r="B2480" s="6" t="s">
        <v>5296</v>
      </c>
      <c r="C2480" s="4" t="s">
        <v>917</v>
      </c>
      <c r="D2480" s="4">
        <v>5</v>
      </c>
      <c r="E2480" s="4" t="s">
        <v>5300</v>
      </c>
    </row>
    <row r="2481" spans="1:6">
      <c r="A2481" s="4" t="s">
        <v>5301</v>
      </c>
      <c r="B2481" s="6" t="s">
        <v>5302</v>
      </c>
      <c r="C2481" s="4" t="s">
        <v>34</v>
      </c>
      <c r="D2481" s="4">
        <v>18</v>
      </c>
      <c r="E2481" s="4" t="s">
        <v>1253</v>
      </c>
    </row>
    <row r="2482" spans="1:6">
      <c r="A2482" s="4" t="s">
        <v>5303</v>
      </c>
      <c r="B2482" s="6" t="s">
        <v>5304</v>
      </c>
      <c r="C2482" s="4" t="s">
        <v>254</v>
      </c>
      <c r="D2482" s="4">
        <v>6</v>
      </c>
      <c r="E2482" s="4" t="s">
        <v>5220</v>
      </c>
      <c r="F2482" s="4" t="s">
        <v>5305</v>
      </c>
    </row>
    <row r="2483" spans="1:6">
      <c r="A2483" s="4" t="s">
        <v>5306</v>
      </c>
      <c r="B2483" s="6" t="s">
        <v>5307</v>
      </c>
      <c r="C2483" s="4" t="s">
        <v>686</v>
      </c>
      <c r="D2483" s="4">
        <v>15</v>
      </c>
      <c r="E2483" s="4" t="s">
        <v>5308</v>
      </c>
      <c r="F2483" s="4" t="s">
        <v>2359</v>
      </c>
    </row>
    <row r="2484" spans="1:6">
      <c r="A2484" s="4" t="s">
        <v>1282</v>
      </c>
      <c r="B2484" s="6" t="s">
        <v>5309</v>
      </c>
      <c r="C2484" s="4" t="s">
        <v>1282</v>
      </c>
      <c r="D2484" s="4">
        <v>6</v>
      </c>
      <c r="E2484" s="4" t="s">
        <v>5272</v>
      </c>
      <c r="F2484" s="4" t="s">
        <v>5310</v>
      </c>
    </row>
    <row r="2485" spans="1:6">
      <c r="A2485" s="4" t="s">
        <v>5311</v>
      </c>
      <c r="B2485" s="6" t="s">
        <v>5309</v>
      </c>
      <c r="C2485" s="4" t="s">
        <v>5312</v>
      </c>
      <c r="D2485" s="4">
        <v>14</v>
      </c>
      <c r="E2485" s="4" t="s">
        <v>5272</v>
      </c>
    </row>
    <row r="2486" spans="1:6">
      <c r="A2486" s="4" t="s">
        <v>5313</v>
      </c>
      <c r="B2486" s="6" t="s">
        <v>5309</v>
      </c>
      <c r="C2486" s="4" t="s">
        <v>2474</v>
      </c>
      <c r="D2486" s="4">
        <v>5</v>
      </c>
      <c r="E2486" s="4" t="s">
        <v>5272</v>
      </c>
    </row>
    <row r="2487" spans="1:6">
      <c r="A2487" s="4" t="s">
        <v>74</v>
      </c>
      <c r="B2487" s="6" t="s">
        <v>5314</v>
      </c>
      <c r="C2487" s="4" t="s">
        <v>74</v>
      </c>
      <c r="D2487" s="4">
        <v>2</v>
      </c>
      <c r="E2487" s="4" t="s">
        <v>5315</v>
      </c>
      <c r="F2487" s="4" t="s">
        <v>5316</v>
      </c>
    </row>
    <row r="2488" spans="1:6">
      <c r="A2488" s="4" t="s">
        <v>5317</v>
      </c>
      <c r="B2488" s="6" t="s">
        <v>5314</v>
      </c>
      <c r="C2488" s="4" t="s">
        <v>1603</v>
      </c>
      <c r="D2488" s="4">
        <v>6</v>
      </c>
      <c r="E2488" s="4" t="s">
        <v>5315</v>
      </c>
      <c r="F2488" s="4" t="s">
        <v>5318</v>
      </c>
    </row>
    <row r="2489" spans="1:6">
      <c r="A2489" s="4" t="s">
        <v>5319</v>
      </c>
      <c r="B2489" s="6" t="s">
        <v>5314</v>
      </c>
      <c r="C2489" s="4" t="s">
        <v>49</v>
      </c>
      <c r="D2489" s="4">
        <v>15</v>
      </c>
      <c r="E2489" s="4" t="s">
        <v>5320</v>
      </c>
      <c r="F2489" s="4" t="s">
        <v>5321</v>
      </c>
    </row>
    <row r="2490" spans="1:6">
      <c r="A2490" s="4" t="s">
        <v>5322</v>
      </c>
      <c r="B2490" s="6" t="s">
        <v>5314</v>
      </c>
      <c r="C2490" s="4" t="s">
        <v>49</v>
      </c>
      <c r="D2490" s="4">
        <v>19</v>
      </c>
      <c r="E2490" s="4" t="s">
        <v>5320</v>
      </c>
      <c r="F2490" s="4" t="s">
        <v>5321</v>
      </c>
    </row>
    <row r="2491" spans="1:6">
      <c r="A2491" s="4" t="s">
        <v>5323</v>
      </c>
      <c r="B2491" s="6" t="s">
        <v>5314</v>
      </c>
      <c r="C2491" s="4" t="s">
        <v>1603</v>
      </c>
      <c r="D2491" s="4">
        <v>5</v>
      </c>
      <c r="E2491" s="4" t="s">
        <v>5315</v>
      </c>
    </row>
    <row r="2492" spans="1:6">
      <c r="A2492" s="4" t="s">
        <v>5324</v>
      </c>
      <c r="B2492" s="6" t="s">
        <v>5314</v>
      </c>
      <c r="C2492" s="4" t="s">
        <v>1603</v>
      </c>
      <c r="D2492" s="4">
        <v>12</v>
      </c>
      <c r="E2492" s="4" t="s">
        <v>5315</v>
      </c>
      <c r="F2492" s="4" t="s">
        <v>5318</v>
      </c>
    </row>
    <row r="2493" spans="1:6">
      <c r="A2493" s="4" t="s">
        <v>5325</v>
      </c>
      <c r="B2493" s="6" t="s">
        <v>5314</v>
      </c>
      <c r="C2493" s="4" t="s">
        <v>464</v>
      </c>
      <c r="D2493" s="4">
        <v>9</v>
      </c>
      <c r="E2493" s="4" t="s">
        <v>1615</v>
      </c>
    </row>
    <row r="2494" spans="1:6">
      <c r="A2494" s="4" t="s">
        <v>5326</v>
      </c>
      <c r="B2494" s="6" t="s">
        <v>5327</v>
      </c>
      <c r="C2494" s="4" t="s">
        <v>53</v>
      </c>
      <c r="D2494" s="4">
        <v>9</v>
      </c>
      <c r="E2494" s="4" t="s">
        <v>5328</v>
      </c>
      <c r="F2494" s="4" t="s">
        <v>5329</v>
      </c>
    </row>
    <row r="2495" spans="1:6">
      <c r="A2495" s="4" t="s">
        <v>5330</v>
      </c>
      <c r="B2495" s="6" t="s">
        <v>5327</v>
      </c>
      <c r="C2495" s="4" t="s">
        <v>63</v>
      </c>
      <c r="D2495" s="4">
        <v>14</v>
      </c>
      <c r="E2495" s="4" t="s">
        <v>5331</v>
      </c>
    </row>
    <row r="2496" spans="1:6">
      <c r="A2496" s="4" t="s">
        <v>5332</v>
      </c>
      <c r="B2496" s="6" t="s">
        <v>5327</v>
      </c>
      <c r="C2496" s="4" t="s">
        <v>254</v>
      </c>
      <c r="D2496" s="4">
        <v>16</v>
      </c>
      <c r="E2496" s="4" t="s">
        <v>5331</v>
      </c>
    </row>
    <row r="2497" spans="1:6">
      <c r="A2497" s="4" t="s">
        <v>5333</v>
      </c>
      <c r="B2497" s="6" t="s">
        <v>5327</v>
      </c>
      <c r="C2497" s="4" t="s">
        <v>81</v>
      </c>
      <c r="D2497" s="4">
        <v>17</v>
      </c>
      <c r="E2497" s="4" t="s">
        <v>5334</v>
      </c>
    </row>
    <row r="2498" spans="1:6">
      <c r="A2498" s="4" t="s">
        <v>5335</v>
      </c>
      <c r="B2498" s="6" t="s">
        <v>5327</v>
      </c>
      <c r="C2498" s="4" t="s">
        <v>34</v>
      </c>
      <c r="D2498" s="4">
        <v>12</v>
      </c>
      <c r="E2498" s="4" t="s">
        <v>5336</v>
      </c>
      <c r="F2498" s="4" t="s">
        <v>5337</v>
      </c>
    </row>
    <row r="2499" spans="1:6">
      <c r="A2499" s="4" t="s">
        <v>5338</v>
      </c>
      <c r="B2499" s="6" t="s">
        <v>5327</v>
      </c>
      <c r="C2499" s="4" t="s">
        <v>87</v>
      </c>
      <c r="D2499" s="4">
        <v>17</v>
      </c>
      <c r="E2499" s="4" t="s">
        <v>5331</v>
      </c>
      <c r="F2499" s="4" t="s">
        <v>5339</v>
      </c>
    </row>
    <row r="2500" spans="1:6">
      <c r="A2500" s="4" t="s">
        <v>5340</v>
      </c>
      <c r="B2500" s="6" t="s">
        <v>5327</v>
      </c>
      <c r="C2500" s="4" t="s">
        <v>14</v>
      </c>
      <c r="D2500" s="4">
        <v>17</v>
      </c>
      <c r="E2500" s="4" t="s">
        <v>5331</v>
      </c>
    </row>
    <row r="2501" spans="1:6">
      <c r="A2501" s="4" t="s">
        <v>5341</v>
      </c>
      <c r="B2501" s="6" t="s">
        <v>5342</v>
      </c>
      <c r="C2501" s="4" t="s">
        <v>87</v>
      </c>
      <c r="D2501" s="4">
        <v>15</v>
      </c>
      <c r="E2501" s="4" t="s">
        <v>1164</v>
      </c>
      <c r="F2501" s="4" t="s">
        <v>5343</v>
      </c>
    </row>
    <row r="2502" spans="1:6">
      <c r="A2502" s="4" t="s">
        <v>5344</v>
      </c>
      <c r="B2502" s="6" t="s">
        <v>5342</v>
      </c>
      <c r="C2502" s="4" t="s">
        <v>110</v>
      </c>
      <c r="D2502" s="4">
        <v>12</v>
      </c>
      <c r="E2502" s="4" t="s">
        <v>1164</v>
      </c>
      <c r="F2502" s="4" t="s">
        <v>5345</v>
      </c>
    </row>
    <row r="2503" spans="1:6">
      <c r="A2503" s="4" t="s">
        <v>5346</v>
      </c>
      <c r="B2503" s="6" t="s">
        <v>5347</v>
      </c>
      <c r="C2503" s="4" t="s">
        <v>427</v>
      </c>
      <c r="D2503" s="4">
        <v>10</v>
      </c>
      <c r="E2503" s="4" t="s">
        <v>5348</v>
      </c>
      <c r="F2503" s="4" t="s">
        <v>5349</v>
      </c>
    </row>
    <row r="2504" spans="1:6">
      <c r="A2504" s="4" t="s">
        <v>5350</v>
      </c>
      <c r="B2504" s="6" t="s">
        <v>5351</v>
      </c>
      <c r="C2504" s="4" t="s">
        <v>315</v>
      </c>
      <c r="D2504" s="4">
        <v>15</v>
      </c>
      <c r="E2504" s="4" t="s">
        <v>50</v>
      </c>
      <c r="F2504" s="4" t="s">
        <v>5352</v>
      </c>
    </row>
    <row r="2505" spans="1:6">
      <c r="A2505" s="4" t="s">
        <v>5353</v>
      </c>
      <c r="B2505" s="6" t="s">
        <v>5354</v>
      </c>
      <c r="C2505" s="4" t="s">
        <v>1078</v>
      </c>
      <c r="D2505" s="4">
        <v>6</v>
      </c>
      <c r="E2505" s="4" t="s">
        <v>1004</v>
      </c>
      <c r="F2505" s="4" t="s">
        <v>1620</v>
      </c>
    </row>
    <row r="2506" spans="1:6">
      <c r="A2506" s="4" t="s">
        <v>5355</v>
      </c>
      <c r="B2506" s="6" t="s">
        <v>5356</v>
      </c>
      <c r="C2506" s="4" t="s">
        <v>574</v>
      </c>
      <c r="D2506" s="4">
        <v>11</v>
      </c>
      <c r="E2506" s="4" t="s">
        <v>4810</v>
      </c>
      <c r="F2506" s="4" t="s">
        <v>5329</v>
      </c>
    </row>
    <row r="2507" spans="1:6">
      <c r="A2507" s="4" t="s">
        <v>5357</v>
      </c>
      <c r="B2507" s="6" t="s">
        <v>5358</v>
      </c>
      <c r="C2507" s="4" t="s">
        <v>182</v>
      </c>
      <c r="D2507" s="4">
        <v>8</v>
      </c>
      <c r="E2507" s="4" t="s">
        <v>5359</v>
      </c>
      <c r="F2507" s="4" t="s">
        <v>5360</v>
      </c>
    </row>
    <row r="2508" spans="1:6">
      <c r="A2508" s="4" t="s">
        <v>5361</v>
      </c>
      <c r="B2508" s="6" t="s">
        <v>5362</v>
      </c>
      <c r="C2508" s="4" t="s">
        <v>3483</v>
      </c>
      <c r="D2508" s="4">
        <v>4</v>
      </c>
      <c r="E2508" s="4" t="s">
        <v>1253</v>
      </c>
    </row>
    <row r="2509" spans="1:6">
      <c r="A2509" s="4" t="s">
        <v>5363</v>
      </c>
      <c r="B2509" s="6" t="s">
        <v>5364</v>
      </c>
      <c r="C2509" s="4" t="s">
        <v>708</v>
      </c>
      <c r="D2509" s="4">
        <v>17</v>
      </c>
      <c r="E2509" s="4" t="s">
        <v>5331</v>
      </c>
    </row>
    <row r="2510" spans="1:6">
      <c r="A2510" s="4" t="s">
        <v>860</v>
      </c>
      <c r="B2510" s="6" t="s">
        <v>5365</v>
      </c>
      <c r="C2510" s="4" t="s">
        <v>860</v>
      </c>
      <c r="D2510" s="4">
        <v>6</v>
      </c>
      <c r="E2510" s="4" t="s">
        <v>5366</v>
      </c>
      <c r="F2510" s="4" t="s">
        <v>5367</v>
      </c>
    </row>
    <row r="2511" spans="1:6">
      <c r="A2511" s="4" t="s">
        <v>5368</v>
      </c>
      <c r="B2511" s="6" t="s">
        <v>5365</v>
      </c>
      <c r="C2511" s="4" t="s">
        <v>5369</v>
      </c>
      <c r="D2511" s="4">
        <v>10</v>
      </c>
      <c r="E2511" s="4" t="s">
        <v>5370</v>
      </c>
      <c r="F2511" s="4" t="s">
        <v>5371</v>
      </c>
    </row>
    <row r="2512" spans="1:6">
      <c r="A2512" s="4" t="s">
        <v>5372</v>
      </c>
      <c r="B2512" s="6" t="s">
        <v>5365</v>
      </c>
      <c r="C2512" s="4" t="s">
        <v>223</v>
      </c>
      <c r="D2512" s="4">
        <v>15</v>
      </c>
      <c r="F2512" s="4" t="s">
        <v>5373</v>
      </c>
    </row>
    <row r="2513" spans="1:6">
      <c r="A2513" s="4" t="s">
        <v>5374</v>
      </c>
      <c r="B2513" s="6" t="s">
        <v>5365</v>
      </c>
      <c r="C2513" s="4" t="s">
        <v>45</v>
      </c>
      <c r="D2513" s="4">
        <v>7</v>
      </c>
      <c r="E2513" s="4" t="s">
        <v>5375</v>
      </c>
      <c r="F2513" s="4" t="s">
        <v>5367</v>
      </c>
    </row>
    <row r="2514" spans="1:6">
      <c r="A2514" s="4" t="s">
        <v>5376</v>
      </c>
      <c r="B2514" s="6" t="s">
        <v>5377</v>
      </c>
      <c r="C2514" s="4" t="s">
        <v>14</v>
      </c>
      <c r="D2514" s="4">
        <v>6</v>
      </c>
      <c r="E2514" s="4" t="s">
        <v>5378</v>
      </c>
      <c r="F2514" s="4" t="s">
        <v>5379</v>
      </c>
    </row>
    <row r="2515" spans="1:6">
      <c r="A2515" s="4" t="s">
        <v>5380</v>
      </c>
      <c r="B2515" s="6" t="s">
        <v>5377</v>
      </c>
      <c r="C2515" s="4" t="s">
        <v>87</v>
      </c>
      <c r="D2515" s="4">
        <v>9</v>
      </c>
      <c r="E2515" s="4" t="s">
        <v>5381</v>
      </c>
    </row>
    <row r="2516" spans="1:6">
      <c r="A2516" s="4" t="s">
        <v>5382</v>
      </c>
      <c r="B2516" s="6" t="s">
        <v>5383</v>
      </c>
      <c r="C2516" s="4" t="s">
        <v>254</v>
      </c>
      <c r="D2516" s="4">
        <v>4</v>
      </c>
      <c r="E2516" s="4" t="s">
        <v>5384</v>
      </c>
    </row>
    <row r="2517" spans="1:6">
      <c r="A2517" s="4" t="s">
        <v>5385</v>
      </c>
      <c r="B2517" s="6" t="s">
        <v>5386</v>
      </c>
      <c r="C2517" s="4" t="s">
        <v>458</v>
      </c>
      <c r="D2517" s="4">
        <v>18</v>
      </c>
      <c r="E2517" s="4" t="s">
        <v>1253</v>
      </c>
      <c r="F2517" s="4" t="s">
        <v>5387</v>
      </c>
    </row>
    <row r="2518" spans="1:6">
      <c r="A2518" s="4" t="s">
        <v>5388</v>
      </c>
      <c r="B2518" s="6" t="s">
        <v>5389</v>
      </c>
      <c r="C2518" s="4" t="s">
        <v>1262</v>
      </c>
      <c r="D2518" s="4">
        <v>20</v>
      </c>
      <c r="E2518" s="4" t="s">
        <v>1253</v>
      </c>
      <c r="F2518" s="4" t="s">
        <v>5390</v>
      </c>
    </row>
    <row r="2519" spans="1:6">
      <c r="A2519" s="4" t="s">
        <v>5391</v>
      </c>
      <c r="B2519" s="6" t="s">
        <v>5389</v>
      </c>
      <c r="C2519" s="4" t="s">
        <v>27</v>
      </c>
      <c r="D2519" s="4">
        <v>16</v>
      </c>
      <c r="E2519" s="4" t="s">
        <v>1253</v>
      </c>
    </row>
    <row r="2520" spans="1:6">
      <c r="A2520" s="4" t="s">
        <v>5392</v>
      </c>
      <c r="B2520" s="6" t="s">
        <v>5389</v>
      </c>
      <c r="C2520" s="4" t="s">
        <v>34</v>
      </c>
      <c r="D2520" s="4">
        <v>20</v>
      </c>
      <c r="E2520" s="4" t="s">
        <v>1253</v>
      </c>
    </row>
    <row r="2521" spans="1:6">
      <c r="A2521" s="4" t="s">
        <v>5393</v>
      </c>
      <c r="B2521" s="6" t="s">
        <v>5389</v>
      </c>
      <c r="C2521" s="4" t="s">
        <v>27</v>
      </c>
      <c r="D2521" s="4">
        <v>20</v>
      </c>
      <c r="E2521" s="4" t="s">
        <v>1253</v>
      </c>
    </row>
    <row r="2522" spans="1:6">
      <c r="A2522" s="4" t="s">
        <v>5394</v>
      </c>
      <c r="B2522" s="6" t="s">
        <v>5395</v>
      </c>
      <c r="C2522" s="4" t="s">
        <v>49</v>
      </c>
      <c r="D2522" s="4">
        <v>8</v>
      </c>
      <c r="E2522" s="4" t="s">
        <v>5396</v>
      </c>
      <c r="F2522" s="4" t="s">
        <v>5397</v>
      </c>
    </row>
    <row r="2523" spans="1:6">
      <c r="A2523" s="4" t="s">
        <v>5398</v>
      </c>
      <c r="B2523" s="6" t="s">
        <v>5395</v>
      </c>
      <c r="C2523" s="4" t="s">
        <v>464</v>
      </c>
      <c r="D2523" s="4">
        <v>10</v>
      </c>
      <c r="E2523" s="4" t="s">
        <v>5399</v>
      </c>
      <c r="F2523" s="4" t="s">
        <v>5400</v>
      </c>
    </row>
    <row r="2524" spans="1:6">
      <c r="A2524" s="4" t="s">
        <v>5401</v>
      </c>
      <c r="B2524" s="6" t="s">
        <v>5395</v>
      </c>
      <c r="C2524" s="4" t="s">
        <v>14</v>
      </c>
      <c r="D2524" s="4">
        <v>13</v>
      </c>
      <c r="E2524" s="4" t="s">
        <v>5384</v>
      </c>
    </row>
    <row r="2525" spans="1:6">
      <c r="A2525" s="4" t="s">
        <v>5402</v>
      </c>
      <c r="B2525" s="6" t="s">
        <v>5395</v>
      </c>
      <c r="C2525" s="4" t="s">
        <v>34</v>
      </c>
      <c r="D2525" s="4">
        <v>13</v>
      </c>
      <c r="E2525" s="4" t="s">
        <v>5403</v>
      </c>
    </row>
    <row r="2526" spans="1:6">
      <c r="A2526" s="4" t="s">
        <v>5404</v>
      </c>
      <c r="B2526" s="6" t="s">
        <v>5405</v>
      </c>
      <c r="C2526" s="4" t="s">
        <v>37</v>
      </c>
      <c r="D2526" s="4">
        <v>20</v>
      </c>
      <c r="E2526" s="4" t="s">
        <v>1253</v>
      </c>
      <c r="F2526" s="4" t="s">
        <v>5406</v>
      </c>
    </row>
    <row r="2527" spans="1:6">
      <c r="A2527" s="4" t="s">
        <v>5407</v>
      </c>
      <c r="B2527" s="6" t="s">
        <v>5408</v>
      </c>
      <c r="C2527" s="4" t="s">
        <v>87</v>
      </c>
      <c r="D2527" s="4">
        <v>6</v>
      </c>
      <c r="E2527" s="4" t="s">
        <v>5381</v>
      </c>
      <c r="F2527" s="4" t="s">
        <v>5409</v>
      </c>
    </row>
    <row r="2528" spans="1:6">
      <c r="A2528" s="4" t="s">
        <v>5410</v>
      </c>
      <c r="B2528" s="6" t="s">
        <v>5411</v>
      </c>
      <c r="C2528" s="4" t="s">
        <v>605</v>
      </c>
      <c r="D2528" s="4">
        <v>5</v>
      </c>
      <c r="E2528" s="4" t="s">
        <v>5315</v>
      </c>
      <c r="F2528" s="4" t="s">
        <v>2003</v>
      </c>
    </row>
    <row r="2529" spans="1:6">
      <c r="A2529" s="4" t="s">
        <v>5412</v>
      </c>
      <c r="B2529" s="6" t="s">
        <v>5413</v>
      </c>
      <c r="C2529" s="4" t="s">
        <v>1211</v>
      </c>
      <c r="D2529" s="4">
        <v>11</v>
      </c>
      <c r="E2529" s="4" t="s">
        <v>5414</v>
      </c>
      <c r="F2529" s="4" t="s">
        <v>5415</v>
      </c>
    </row>
    <row r="2530" spans="1:6">
      <c r="A2530" s="4" t="s">
        <v>5416</v>
      </c>
      <c r="B2530" s="6" t="s">
        <v>5413</v>
      </c>
      <c r="C2530" s="4" t="s">
        <v>1129</v>
      </c>
      <c r="D2530" s="4">
        <v>16</v>
      </c>
      <c r="E2530" s="4" t="s">
        <v>5414</v>
      </c>
      <c r="F2530" s="4" t="s">
        <v>5417</v>
      </c>
    </row>
    <row r="2531" spans="1:6">
      <c r="A2531" s="4" t="s">
        <v>5418</v>
      </c>
      <c r="B2531" s="6" t="s">
        <v>5419</v>
      </c>
      <c r="C2531" s="4" t="s">
        <v>34</v>
      </c>
      <c r="D2531" s="4">
        <v>8</v>
      </c>
      <c r="E2531" s="4" t="s">
        <v>5420</v>
      </c>
    </row>
    <row r="2532" spans="1:6">
      <c r="A2532" s="4" t="s">
        <v>5421</v>
      </c>
      <c r="B2532" s="6" t="s">
        <v>5422</v>
      </c>
      <c r="C2532" s="4" t="s">
        <v>598</v>
      </c>
      <c r="D2532" s="4">
        <v>6</v>
      </c>
      <c r="E2532" s="4" t="s">
        <v>5423</v>
      </c>
      <c r="F2532" s="4" t="s">
        <v>5424</v>
      </c>
    </row>
    <row r="2533" spans="1:6">
      <c r="A2533" s="4" t="s">
        <v>5425</v>
      </c>
      <c r="B2533" s="6" t="s">
        <v>5426</v>
      </c>
      <c r="C2533" s="4" t="s">
        <v>87</v>
      </c>
      <c r="D2533" s="4">
        <v>10</v>
      </c>
      <c r="E2533" s="4" t="s">
        <v>5427</v>
      </c>
    </row>
    <row r="2534" spans="1:6">
      <c r="A2534" s="4" t="s">
        <v>5428</v>
      </c>
      <c r="B2534" s="6" t="s">
        <v>5429</v>
      </c>
      <c r="C2534" s="4" t="s">
        <v>81</v>
      </c>
      <c r="D2534" s="4">
        <v>8</v>
      </c>
      <c r="E2534" s="4" t="s">
        <v>5423</v>
      </c>
    </row>
    <row r="2535" spans="1:6">
      <c r="A2535" s="4" t="s">
        <v>5430</v>
      </c>
      <c r="B2535" s="6" t="s">
        <v>5429</v>
      </c>
      <c r="C2535" s="4" t="s">
        <v>53</v>
      </c>
      <c r="D2535" s="4">
        <v>12</v>
      </c>
      <c r="E2535" s="4" t="s">
        <v>5431</v>
      </c>
    </row>
    <row r="2536" spans="1:6">
      <c r="A2536" s="4" t="s">
        <v>5432</v>
      </c>
      <c r="B2536" s="6" t="s">
        <v>5433</v>
      </c>
      <c r="C2536" s="4" t="s">
        <v>461</v>
      </c>
      <c r="D2536" s="4">
        <v>11</v>
      </c>
      <c r="E2536" s="4" t="s">
        <v>979</v>
      </c>
      <c r="F2536" s="4" t="s">
        <v>3855</v>
      </c>
    </row>
    <row r="2537" spans="1:6">
      <c r="A2537" s="4" t="s">
        <v>5434</v>
      </c>
      <c r="B2537" s="6" t="s">
        <v>5429</v>
      </c>
      <c r="C2537" s="4" t="s">
        <v>23</v>
      </c>
      <c r="D2537" s="4">
        <v>11</v>
      </c>
      <c r="E2537" s="4" t="s">
        <v>1183</v>
      </c>
      <c r="F2537" s="4" t="s">
        <v>5435</v>
      </c>
    </row>
    <row r="2538" spans="1:6">
      <c r="A2538" s="4" t="s">
        <v>5436</v>
      </c>
      <c r="B2538" s="6" t="s">
        <v>5437</v>
      </c>
      <c r="C2538" s="4" t="s">
        <v>34</v>
      </c>
      <c r="D2538" s="4">
        <v>11</v>
      </c>
      <c r="E2538" s="4" t="s">
        <v>5438</v>
      </c>
      <c r="F2538" s="4" t="s">
        <v>5439</v>
      </c>
    </row>
    <row r="2539" spans="1:6">
      <c r="A2539" s="4" t="s">
        <v>5440</v>
      </c>
      <c r="B2539" s="6" t="s">
        <v>5441</v>
      </c>
      <c r="C2539" s="4" t="s">
        <v>605</v>
      </c>
      <c r="D2539" s="4">
        <v>7</v>
      </c>
      <c r="E2539" s="4" t="s">
        <v>5442</v>
      </c>
    </row>
    <row r="2540" spans="1:6">
      <c r="A2540" s="4" t="s">
        <v>5443</v>
      </c>
      <c r="B2540" s="6" t="s">
        <v>5444</v>
      </c>
      <c r="C2540" s="4" t="s">
        <v>45</v>
      </c>
      <c r="D2540" s="4">
        <v>14</v>
      </c>
      <c r="E2540" s="4" t="s">
        <v>5445</v>
      </c>
      <c r="F2540" s="4" t="s">
        <v>5446</v>
      </c>
    </row>
    <row r="2541" spans="1:6">
      <c r="A2541" s="4" t="s">
        <v>5447</v>
      </c>
      <c r="B2541" s="6" t="s">
        <v>5444</v>
      </c>
      <c r="C2541" s="4" t="s">
        <v>53</v>
      </c>
      <c r="D2541" s="4">
        <v>18</v>
      </c>
      <c r="E2541" s="4" t="s">
        <v>2055</v>
      </c>
    </row>
    <row r="2542" spans="1:6">
      <c r="A2542" s="4" t="s">
        <v>5448</v>
      </c>
      <c r="B2542" s="6" t="s">
        <v>5444</v>
      </c>
      <c r="C2542" s="4" t="s">
        <v>23</v>
      </c>
      <c r="D2542" s="4">
        <v>17</v>
      </c>
      <c r="E2542" s="4" t="s">
        <v>5445</v>
      </c>
    </row>
    <row r="2543" spans="1:6">
      <c r="A2543" s="4" t="s">
        <v>5449</v>
      </c>
      <c r="B2543" s="6" t="s">
        <v>5450</v>
      </c>
      <c r="C2543" s="4" t="s">
        <v>87</v>
      </c>
      <c r="D2543" s="4">
        <v>13</v>
      </c>
      <c r="E2543" s="4" t="s">
        <v>5451</v>
      </c>
      <c r="F2543" s="4" t="s">
        <v>5452</v>
      </c>
    </row>
    <row r="2544" spans="1:6">
      <c r="A2544" s="4" t="s">
        <v>5453</v>
      </c>
      <c r="B2544" s="6" t="s">
        <v>5454</v>
      </c>
      <c r="C2544" s="4" t="s">
        <v>254</v>
      </c>
      <c r="D2544" s="4">
        <v>8</v>
      </c>
      <c r="E2544" s="4" t="s">
        <v>5455</v>
      </c>
    </row>
    <row r="2545" spans="1:6">
      <c r="A2545" s="4" t="s">
        <v>5456</v>
      </c>
      <c r="B2545" s="6" t="s">
        <v>5454</v>
      </c>
      <c r="C2545" s="4" t="s">
        <v>254</v>
      </c>
      <c r="D2545" s="4">
        <v>7</v>
      </c>
      <c r="E2545" s="4" t="s">
        <v>5455</v>
      </c>
    </row>
    <row r="2546" spans="1:6">
      <c r="A2546" s="4" t="s">
        <v>5457</v>
      </c>
      <c r="B2546" s="6" t="s">
        <v>5458</v>
      </c>
      <c r="C2546" s="4" t="s">
        <v>708</v>
      </c>
      <c r="D2546" s="4">
        <v>8</v>
      </c>
      <c r="E2546" s="4" t="s">
        <v>5459</v>
      </c>
    </row>
    <row r="2547" spans="1:6">
      <c r="A2547" s="4" t="s">
        <v>5460</v>
      </c>
      <c r="B2547" s="6" t="s">
        <v>5461</v>
      </c>
      <c r="C2547" s="4" t="s">
        <v>173</v>
      </c>
      <c r="D2547" s="4">
        <v>7</v>
      </c>
      <c r="E2547" s="4" t="s">
        <v>3912</v>
      </c>
      <c r="F2547" s="4" t="s">
        <v>5462</v>
      </c>
    </row>
    <row r="2548" spans="1:6">
      <c r="A2548" s="4" t="s">
        <v>5463</v>
      </c>
      <c r="B2548" s="6" t="s">
        <v>5461</v>
      </c>
      <c r="C2548" s="4" t="s">
        <v>104</v>
      </c>
      <c r="D2548" s="4">
        <v>13</v>
      </c>
      <c r="E2548" s="4" t="s">
        <v>1956</v>
      </c>
      <c r="F2548" s="4" t="s">
        <v>5464</v>
      </c>
    </row>
    <row r="2549" spans="1:6">
      <c r="A2549" s="4" t="s">
        <v>5465</v>
      </c>
      <c r="B2549" s="6" t="s">
        <v>5466</v>
      </c>
      <c r="C2549" s="4" t="s">
        <v>14</v>
      </c>
      <c r="D2549" s="4">
        <v>5</v>
      </c>
      <c r="E2549" s="4" t="s">
        <v>5459</v>
      </c>
      <c r="F2549" s="4" t="s">
        <v>5467</v>
      </c>
    </row>
    <row r="2550" spans="1:6">
      <c r="A2550" s="4" t="s">
        <v>5468</v>
      </c>
      <c r="B2550" s="6" t="s">
        <v>5466</v>
      </c>
      <c r="C2550" s="4" t="s">
        <v>238</v>
      </c>
      <c r="D2550" s="4">
        <v>8</v>
      </c>
      <c r="E2550" s="4" t="s">
        <v>5459</v>
      </c>
    </row>
    <row r="2551" spans="1:6">
      <c r="A2551" s="4" t="s">
        <v>5469</v>
      </c>
      <c r="B2551" s="6" t="s">
        <v>5470</v>
      </c>
      <c r="C2551" s="4" t="s">
        <v>5369</v>
      </c>
      <c r="D2551" s="4">
        <v>13</v>
      </c>
      <c r="E2551" s="4" t="s">
        <v>4818</v>
      </c>
    </row>
    <row r="2552" spans="1:6">
      <c r="A2552" s="4" t="s">
        <v>5471</v>
      </c>
      <c r="B2552" s="6" t="s">
        <v>5472</v>
      </c>
      <c r="C2552" s="4" t="s">
        <v>354</v>
      </c>
      <c r="D2552" s="4">
        <v>17</v>
      </c>
      <c r="E2552" s="4" t="s">
        <v>4818</v>
      </c>
      <c r="F2552" s="4" t="s">
        <v>5473</v>
      </c>
    </row>
    <row r="2553" spans="1:6">
      <c r="A2553" s="4" t="s">
        <v>5474</v>
      </c>
      <c r="B2553" s="6" t="s">
        <v>5475</v>
      </c>
      <c r="C2553" s="4" t="s">
        <v>87</v>
      </c>
      <c r="D2553" s="4">
        <v>16</v>
      </c>
      <c r="E2553" s="4" t="s">
        <v>4818</v>
      </c>
      <c r="F2553" s="4" t="s">
        <v>5476</v>
      </c>
    </row>
    <row r="2554" spans="1:6">
      <c r="A2554" s="4" t="s">
        <v>5477</v>
      </c>
      <c r="B2554" s="6" t="s">
        <v>5478</v>
      </c>
      <c r="C2554" s="4" t="s">
        <v>705</v>
      </c>
      <c r="D2554" s="4">
        <v>7</v>
      </c>
      <c r="E2554" s="4" t="s">
        <v>5459</v>
      </c>
      <c r="F2554" s="4" t="s">
        <v>934</v>
      </c>
    </row>
    <row r="2555" spans="1:6">
      <c r="A2555" s="4" t="s">
        <v>5479</v>
      </c>
      <c r="B2555" s="6" t="s">
        <v>5478</v>
      </c>
      <c r="C2555" s="4" t="s">
        <v>464</v>
      </c>
      <c r="D2555" s="4">
        <v>8</v>
      </c>
      <c r="E2555" s="4" t="s">
        <v>5459</v>
      </c>
    </row>
    <row r="2556" spans="1:6">
      <c r="A2556" s="4" t="s">
        <v>5480</v>
      </c>
      <c r="B2556" s="6" t="s">
        <v>5481</v>
      </c>
      <c r="C2556" s="4" t="s">
        <v>81</v>
      </c>
      <c r="D2556" s="4">
        <v>9</v>
      </c>
      <c r="E2556" s="4" t="s">
        <v>5482</v>
      </c>
      <c r="F2556" s="4" t="s">
        <v>5483</v>
      </c>
    </row>
    <row r="2557" spans="1:6">
      <c r="A2557" s="4" t="s">
        <v>5484</v>
      </c>
      <c r="B2557" s="6" t="s">
        <v>5485</v>
      </c>
      <c r="C2557" s="4" t="s">
        <v>917</v>
      </c>
      <c r="D2557" s="4">
        <v>4</v>
      </c>
      <c r="E2557" s="4" t="s">
        <v>5486</v>
      </c>
      <c r="F2557" s="4" t="s">
        <v>5487</v>
      </c>
    </row>
    <row r="2558" spans="1:6">
      <c r="A2558" s="4" t="s">
        <v>5488</v>
      </c>
      <c r="B2558" s="6" t="s">
        <v>5489</v>
      </c>
      <c r="C2558" s="4" t="s">
        <v>14</v>
      </c>
      <c r="D2558" s="4">
        <v>14</v>
      </c>
      <c r="E2558" s="4" t="s">
        <v>5490</v>
      </c>
    </row>
    <row r="2559" spans="1:6">
      <c r="A2559" s="4" t="s">
        <v>5491</v>
      </c>
      <c r="B2559" s="6" t="s">
        <v>5492</v>
      </c>
      <c r="C2559" s="4" t="s">
        <v>23</v>
      </c>
      <c r="D2559" s="4">
        <v>7</v>
      </c>
      <c r="E2559" s="4" t="s">
        <v>2371</v>
      </c>
    </row>
    <row r="2560" spans="1:6">
      <c r="A2560" s="4" t="s">
        <v>5493</v>
      </c>
      <c r="B2560" s="6" t="s">
        <v>5494</v>
      </c>
      <c r="C2560" s="4" t="s">
        <v>76</v>
      </c>
      <c r="D2560" s="4">
        <v>13</v>
      </c>
      <c r="E2560" s="4" t="s">
        <v>5495</v>
      </c>
    </row>
    <row r="2561" spans="1:6">
      <c r="A2561" s="4" t="s">
        <v>5496</v>
      </c>
      <c r="B2561" s="6" t="s">
        <v>5497</v>
      </c>
      <c r="C2561" s="4" t="s">
        <v>254</v>
      </c>
      <c r="D2561" s="4">
        <v>15</v>
      </c>
      <c r="E2561" s="4" t="s">
        <v>4818</v>
      </c>
    </row>
    <row r="2562" spans="1:6">
      <c r="A2562" s="4" t="s">
        <v>5498</v>
      </c>
      <c r="B2562" s="6" t="s">
        <v>5499</v>
      </c>
      <c r="C2562" s="4" t="s">
        <v>14</v>
      </c>
      <c r="D2562" s="4">
        <v>10</v>
      </c>
      <c r="E2562" s="4" t="s">
        <v>1253</v>
      </c>
      <c r="F2562" s="4" t="s">
        <v>5500</v>
      </c>
    </row>
    <row r="2563" spans="1:6">
      <c r="A2563" s="4" t="s">
        <v>5501</v>
      </c>
      <c r="B2563" s="6" t="s">
        <v>5499</v>
      </c>
      <c r="C2563" s="4" t="s">
        <v>14</v>
      </c>
      <c r="D2563" s="4">
        <v>16</v>
      </c>
      <c r="E2563" s="4" t="s">
        <v>1253</v>
      </c>
    </row>
    <row r="2564" spans="1:6">
      <c r="A2564" s="4" t="s">
        <v>5502</v>
      </c>
      <c r="B2564" s="6" t="s">
        <v>5499</v>
      </c>
      <c r="C2564" s="4" t="s">
        <v>14</v>
      </c>
      <c r="D2564" s="4">
        <v>20</v>
      </c>
      <c r="E2564" s="4" t="s">
        <v>1253</v>
      </c>
    </row>
    <row r="2565" spans="1:6">
      <c r="A2565" s="4" t="s">
        <v>14</v>
      </c>
      <c r="B2565" s="6" t="s">
        <v>5503</v>
      </c>
      <c r="C2565" s="4" t="s">
        <v>14</v>
      </c>
      <c r="D2565" s="4">
        <v>3</v>
      </c>
      <c r="E2565" s="4" t="s">
        <v>5381</v>
      </c>
      <c r="F2565" s="4" t="s">
        <v>5504</v>
      </c>
    </row>
    <row r="2566" spans="1:6">
      <c r="A2566" s="4" t="s">
        <v>5505</v>
      </c>
      <c r="B2566" s="6" t="s">
        <v>5506</v>
      </c>
      <c r="C2566" s="4" t="s">
        <v>301</v>
      </c>
      <c r="D2566" s="4">
        <v>10</v>
      </c>
      <c r="E2566" s="4" t="s">
        <v>1161</v>
      </c>
      <c r="F2566" s="4" t="s">
        <v>5507</v>
      </c>
    </row>
    <row r="2567" spans="1:6">
      <c r="A2567" s="4" t="s">
        <v>5508</v>
      </c>
      <c r="B2567" s="6" t="s">
        <v>5506</v>
      </c>
      <c r="C2567" s="4" t="s">
        <v>81</v>
      </c>
      <c r="D2567" s="4">
        <v>7</v>
      </c>
      <c r="E2567" s="4" t="s">
        <v>5509</v>
      </c>
    </row>
    <row r="2568" spans="1:6">
      <c r="A2568" s="4" t="s">
        <v>5510</v>
      </c>
      <c r="B2568" s="6" t="s">
        <v>5511</v>
      </c>
      <c r="C2568" s="4" t="s">
        <v>81</v>
      </c>
      <c r="D2568" s="4">
        <v>8</v>
      </c>
      <c r="E2568" s="4" t="s">
        <v>5512</v>
      </c>
    </row>
    <row r="2569" spans="1:6">
      <c r="A2569" s="4" t="s">
        <v>5513</v>
      </c>
      <c r="B2569" s="6" t="s">
        <v>5514</v>
      </c>
      <c r="C2569" s="4" t="s">
        <v>87</v>
      </c>
      <c r="D2569" s="4">
        <v>12</v>
      </c>
      <c r="E2569" s="4" t="s">
        <v>721</v>
      </c>
      <c r="F2569" s="4" t="s">
        <v>5515</v>
      </c>
    </row>
    <row r="2570" spans="1:6">
      <c r="A2570" s="4" t="s">
        <v>5516</v>
      </c>
      <c r="B2570" s="6" t="s">
        <v>5514</v>
      </c>
      <c r="C2570" s="4" t="s">
        <v>315</v>
      </c>
      <c r="D2570" s="4">
        <v>17</v>
      </c>
      <c r="E2570" s="4" t="s">
        <v>721</v>
      </c>
      <c r="F2570" s="4" t="s">
        <v>5517</v>
      </c>
    </row>
    <row r="2571" spans="1:6">
      <c r="A2571" s="4" t="s">
        <v>5518</v>
      </c>
      <c r="B2571" s="6" t="s">
        <v>5514</v>
      </c>
      <c r="C2571" s="4" t="s">
        <v>1425</v>
      </c>
      <c r="D2571" s="4">
        <v>14</v>
      </c>
      <c r="E2571" s="4" t="s">
        <v>3126</v>
      </c>
      <c r="F2571" s="4" t="s">
        <v>5519</v>
      </c>
    </row>
    <row r="2572" spans="1:6">
      <c r="A2572" s="4" t="s">
        <v>5520</v>
      </c>
      <c r="B2572" s="6" t="s">
        <v>5514</v>
      </c>
      <c r="C2572" s="4" t="s">
        <v>427</v>
      </c>
      <c r="D2572" s="4">
        <v>12</v>
      </c>
      <c r="E2572" s="4" t="s">
        <v>5521</v>
      </c>
      <c r="F2572" s="4" t="s">
        <v>5522</v>
      </c>
    </row>
    <row r="2573" spans="1:6">
      <c r="A2573" s="4" t="s">
        <v>5523</v>
      </c>
      <c r="B2573" s="6" t="s">
        <v>5514</v>
      </c>
      <c r="C2573" s="4" t="s">
        <v>427</v>
      </c>
      <c r="D2573" s="4">
        <v>15</v>
      </c>
      <c r="E2573" s="4" t="s">
        <v>2604</v>
      </c>
      <c r="F2573" s="4" t="s">
        <v>5524</v>
      </c>
    </row>
    <row r="2574" spans="1:6">
      <c r="A2574" s="4" t="s">
        <v>5525</v>
      </c>
      <c r="B2574" s="6" t="s">
        <v>5514</v>
      </c>
      <c r="C2574" s="4" t="s">
        <v>23</v>
      </c>
      <c r="D2574" s="4">
        <v>9</v>
      </c>
      <c r="E2574" s="4" t="s">
        <v>24</v>
      </c>
    </row>
    <row r="2575" spans="1:6">
      <c r="A2575" s="4" t="s">
        <v>5526</v>
      </c>
      <c r="B2575" s="6" t="s">
        <v>5514</v>
      </c>
      <c r="C2575" s="4" t="s">
        <v>14</v>
      </c>
      <c r="D2575" s="4">
        <v>9</v>
      </c>
      <c r="E2575" s="4" t="s">
        <v>5527</v>
      </c>
    </row>
    <row r="2576" spans="1:6">
      <c r="A2576" s="4" t="s">
        <v>5528</v>
      </c>
      <c r="B2576" s="6" t="s">
        <v>5529</v>
      </c>
      <c r="C2576" s="4" t="s">
        <v>675</v>
      </c>
      <c r="D2576" s="4">
        <v>9</v>
      </c>
      <c r="E2576" s="4" t="s">
        <v>3126</v>
      </c>
      <c r="F2576" s="4" t="s">
        <v>5530</v>
      </c>
    </row>
    <row r="2577" spans="1:6">
      <c r="A2577" s="4" t="s">
        <v>5531</v>
      </c>
      <c r="B2577" s="6" t="s">
        <v>5532</v>
      </c>
      <c r="C2577" s="4" t="s">
        <v>45</v>
      </c>
      <c r="D2577" s="4">
        <v>12</v>
      </c>
      <c r="E2577" s="4" t="s">
        <v>1634</v>
      </c>
    </row>
    <row r="2578" spans="1:6">
      <c r="A2578" s="4" t="s">
        <v>5533</v>
      </c>
      <c r="B2578" s="6" t="s">
        <v>5532</v>
      </c>
      <c r="C2578" s="4" t="s">
        <v>3483</v>
      </c>
      <c r="D2578" s="4">
        <v>11</v>
      </c>
      <c r="E2578" s="4" t="s">
        <v>1634</v>
      </c>
      <c r="F2578" s="4" t="s">
        <v>5534</v>
      </c>
    </row>
    <row r="2579" spans="1:6">
      <c r="A2579" s="4" t="s">
        <v>5534</v>
      </c>
      <c r="B2579" s="6" t="s">
        <v>5535</v>
      </c>
      <c r="C2579" s="7" t="s">
        <v>132</v>
      </c>
      <c r="D2579" s="4">
        <v>21</v>
      </c>
      <c r="E2579" s="4" t="s">
        <v>54</v>
      </c>
      <c r="F2579" s="4" t="s">
        <v>5536</v>
      </c>
    </row>
    <row r="2580" spans="1:6">
      <c r="A2580" s="4" t="s">
        <v>5537</v>
      </c>
      <c r="B2580" s="6" t="s">
        <v>5535</v>
      </c>
      <c r="C2580" s="4" t="s">
        <v>574</v>
      </c>
      <c r="D2580" s="4">
        <v>21</v>
      </c>
      <c r="E2580" s="4" t="s">
        <v>2735</v>
      </c>
      <c r="F2580" s="4" t="s">
        <v>5538</v>
      </c>
    </row>
    <row r="2581" spans="1:6">
      <c r="A2581" s="4" t="s">
        <v>5539</v>
      </c>
      <c r="B2581" s="6" t="s">
        <v>5540</v>
      </c>
      <c r="C2581" s="4" t="s">
        <v>81</v>
      </c>
      <c r="D2581" s="4">
        <v>9</v>
      </c>
      <c r="E2581" s="4" t="s">
        <v>5541</v>
      </c>
      <c r="F2581" s="4" t="s">
        <v>2850</v>
      </c>
    </row>
    <row r="2582" spans="1:6">
      <c r="A2582" s="4" t="s">
        <v>5542</v>
      </c>
      <c r="B2582" s="6" t="s">
        <v>5543</v>
      </c>
      <c r="C2582" s="4" t="s">
        <v>992</v>
      </c>
      <c r="D2582" s="4">
        <v>14</v>
      </c>
      <c r="E2582" s="4" t="s">
        <v>5544</v>
      </c>
      <c r="F2582" s="4" t="s">
        <v>3164</v>
      </c>
    </row>
    <row r="2583" spans="1:6">
      <c r="A2583" s="4" t="s">
        <v>5545</v>
      </c>
      <c r="B2583" s="6" t="s">
        <v>5546</v>
      </c>
      <c r="C2583" s="4" t="s">
        <v>254</v>
      </c>
      <c r="D2583" s="4">
        <v>10</v>
      </c>
      <c r="E2583" s="4" t="s">
        <v>5547</v>
      </c>
    </row>
    <row r="2584" spans="1:6">
      <c r="A2584" s="4" t="s">
        <v>5548</v>
      </c>
      <c r="B2584" s="6" t="s">
        <v>5549</v>
      </c>
      <c r="C2584" s="4" t="s">
        <v>354</v>
      </c>
      <c r="D2584" s="4">
        <v>12</v>
      </c>
      <c r="E2584" s="4" t="s">
        <v>4202</v>
      </c>
      <c r="F2584" s="4" t="s">
        <v>5550</v>
      </c>
    </row>
    <row r="2585" spans="1:6">
      <c r="A2585" s="4" t="s">
        <v>5551</v>
      </c>
      <c r="B2585" s="6" t="s">
        <v>5549</v>
      </c>
      <c r="C2585" s="4" t="s">
        <v>53</v>
      </c>
      <c r="D2585" s="4">
        <v>12</v>
      </c>
      <c r="E2585" s="4" t="s">
        <v>4202</v>
      </c>
    </row>
    <row r="2586" spans="1:6">
      <c r="A2586" s="4" t="s">
        <v>5552</v>
      </c>
      <c r="B2586" s="6" t="s">
        <v>5553</v>
      </c>
      <c r="C2586" s="4" t="s">
        <v>87</v>
      </c>
      <c r="D2586" s="4">
        <v>6</v>
      </c>
      <c r="E2586" s="4" t="s">
        <v>5554</v>
      </c>
      <c r="F2586" s="4" t="s">
        <v>5555</v>
      </c>
    </row>
    <row r="2587" spans="1:6">
      <c r="A2587" s="4" t="s">
        <v>5556</v>
      </c>
      <c r="B2587" s="6" t="s">
        <v>5553</v>
      </c>
      <c r="C2587" s="4" t="s">
        <v>686</v>
      </c>
      <c r="D2587" s="4">
        <v>10</v>
      </c>
      <c r="E2587" s="4" t="s">
        <v>5557</v>
      </c>
      <c r="F2587" s="4" t="s">
        <v>5558</v>
      </c>
    </row>
    <row r="2588" spans="1:6">
      <c r="A2588" s="4" t="s">
        <v>5559</v>
      </c>
      <c r="B2588" s="6" t="s">
        <v>5553</v>
      </c>
      <c r="C2588" s="4" t="s">
        <v>23</v>
      </c>
      <c r="D2588" s="4">
        <v>13</v>
      </c>
      <c r="E2588" s="4" t="s">
        <v>5554</v>
      </c>
    </row>
    <row r="2589" spans="1:6">
      <c r="A2589" s="4" t="s">
        <v>5560</v>
      </c>
      <c r="B2589" s="6" t="s">
        <v>5561</v>
      </c>
      <c r="C2589" s="4" t="s">
        <v>19</v>
      </c>
      <c r="D2589" s="4">
        <v>12</v>
      </c>
      <c r="E2589" s="4" t="s">
        <v>5089</v>
      </c>
      <c r="F2589" s="4" t="s">
        <v>4621</v>
      </c>
    </row>
    <row r="2590" spans="1:6">
      <c r="A2590" s="4" t="s">
        <v>5562</v>
      </c>
      <c r="B2590" s="6" t="s">
        <v>5563</v>
      </c>
      <c r="C2590" s="4" t="s">
        <v>87</v>
      </c>
      <c r="D2590" s="4">
        <v>12</v>
      </c>
      <c r="E2590" s="4" t="s">
        <v>160</v>
      </c>
      <c r="F2590" s="4" t="s">
        <v>5564</v>
      </c>
    </row>
    <row r="2591" spans="1:6">
      <c r="A2591" s="4" t="s">
        <v>5565</v>
      </c>
      <c r="B2591" s="6" t="s">
        <v>5563</v>
      </c>
      <c r="C2591" s="4" t="s">
        <v>195</v>
      </c>
      <c r="D2591" s="4">
        <v>19</v>
      </c>
      <c r="E2591" s="4" t="s">
        <v>5566</v>
      </c>
    </row>
    <row r="2592" spans="1:6">
      <c r="A2592" s="4" t="s">
        <v>5567</v>
      </c>
      <c r="B2592" s="6" t="s">
        <v>5563</v>
      </c>
      <c r="C2592" s="4" t="s">
        <v>81</v>
      </c>
      <c r="D2592" s="4">
        <v>13</v>
      </c>
      <c r="E2592" s="4" t="s">
        <v>5568</v>
      </c>
    </row>
    <row r="2593" spans="1:6">
      <c r="A2593" s="4" t="s">
        <v>5569</v>
      </c>
      <c r="B2593" s="6" t="s">
        <v>5563</v>
      </c>
      <c r="C2593" s="4" t="s">
        <v>76</v>
      </c>
      <c r="D2593" s="4">
        <v>15</v>
      </c>
      <c r="E2593" s="4" t="s">
        <v>160</v>
      </c>
    </row>
    <row r="2594" spans="1:6">
      <c r="A2594" s="4" t="s">
        <v>5570</v>
      </c>
      <c r="B2594" s="6" t="s">
        <v>5571</v>
      </c>
      <c r="C2594" s="4" t="s">
        <v>1679</v>
      </c>
      <c r="D2594" s="4">
        <v>10</v>
      </c>
      <c r="E2594" s="4" t="s">
        <v>54</v>
      </c>
      <c r="F2594" s="4" t="s">
        <v>5572</v>
      </c>
    </row>
    <row r="2595" spans="1:6">
      <c r="A2595" s="4" t="s">
        <v>5573</v>
      </c>
      <c r="B2595" s="6" t="s">
        <v>5574</v>
      </c>
      <c r="C2595" s="4" t="s">
        <v>605</v>
      </c>
      <c r="D2595" s="4">
        <v>9</v>
      </c>
      <c r="E2595" s="4" t="s">
        <v>5575</v>
      </c>
    </row>
    <row r="2596" spans="1:6">
      <c r="A2596" s="4" t="s">
        <v>5576</v>
      </c>
      <c r="B2596" s="6" t="s">
        <v>5574</v>
      </c>
      <c r="C2596" s="4" t="s">
        <v>87</v>
      </c>
      <c r="D2596" s="4">
        <v>7</v>
      </c>
      <c r="E2596" s="4" t="s">
        <v>1601</v>
      </c>
    </row>
    <row r="2597" spans="1:6">
      <c r="A2597" s="4" t="s">
        <v>5577</v>
      </c>
      <c r="B2597" s="6" t="s">
        <v>5574</v>
      </c>
      <c r="C2597" s="4" t="s">
        <v>238</v>
      </c>
      <c r="D2597" s="4">
        <v>12</v>
      </c>
      <c r="E2597" s="4" t="s">
        <v>82</v>
      </c>
    </row>
    <row r="2598" spans="1:6">
      <c r="A2598" s="4" t="s">
        <v>5578</v>
      </c>
      <c r="B2598" s="6" t="s">
        <v>5579</v>
      </c>
      <c r="C2598" s="4" t="s">
        <v>53</v>
      </c>
      <c r="D2598" s="4">
        <v>14</v>
      </c>
      <c r="E2598" s="4" t="s">
        <v>160</v>
      </c>
    </row>
    <row r="2599" spans="1:6">
      <c r="A2599" s="4" t="s">
        <v>5580</v>
      </c>
      <c r="B2599" s="6" t="s">
        <v>5581</v>
      </c>
      <c r="C2599" s="4" t="s">
        <v>27</v>
      </c>
      <c r="D2599" s="4">
        <v>13</v>
      </c>
      <c r="E2599" s="4" t="s">
        <v>5582</v>
      </c>
    </row>
    <row r="2600" spans="1:6">
      <c r="A2600" s="4" t="s">
        <v>5583</v>
      </c>
      <c r="B2600" s="6" t="s">
        <v>5584</v>
      </c>
      <c r="C2600" s="4" t="s">
        <v>1248</v>
      </c>
      <c r="D2600" s="4">
        <v>12</v>
      </c>
      <c r="E2600" s="4" t="s">
        <v>3126</v>
      </c>
      <c r="F2600" s="4" t="s">
        <v>1577</v>
      </c>
    </row>
    <row r="2601" spans="1:6">
      <c r="A2601" s="4" t="s">
        <v>5585</v>
      </c>
      <c r="B2601" s="6" t="s">
        <v>5586</v>
      </c>
      <c r="C2601" s="4" t="s">
        <v>458</v>
      </c>
      <c r="D2601" s="4">
        <v>16</v>
      </c>
      <c r="E2601" s="4" t="s">
        <v>160</v>
      </c>
      <c r="F2601" s="4" t="s">
        <v>5587</v>
      </c>
    </row>
    <row r="2602" spans="1:6">
      <c r="A2602" s="4" t="s">
        <v>5588</v>
      </c>
      <c r="B2602" s="6" t="s">
        <v>5589</v>
      </c>
      <c r="C2602" s="4" t="s">
        <v>57</v>
      </c>
      <c r="D2602" s="4">
        <v>9</v>
      </c>
      <c r="E2602" s="4" t="s">
        <v>211</v>
      </c>
    </row>
    <row r="2603" spans="1:6">
      <c r="A2603" s="4" t="s">
        <v>5590</v>
      </c>
      <c r="B2603" s="6" t="s">
        <v>5589</v>
      </c>
      <c r="C2603" s="4" t="s">
        <v>27</v>
      </c>
      <c r="D2603" s="4">
        <v>8</v>
      </c>
      <c r="E2603" s="4" t="s">
        <v>211</v>
      </c>
    </row>
    <row r="2604" spans="1:6">
      <c r="A2604" s="4" t="s">
        <v>5591</v>
      </c>
      <c r="B2604" s="6" t="s">
        <v>5592</v>
      </c>
      <c r="C2604" s="4" t="s">
        <v>87</v>
      </c>
      <c r="D2604" s="4">
        <v>15</v>
      </c>
      <c r="E2604" s="4" t="s">
        <v>219</v>
      </c>
    </row>
    <row r="2605" spans="1:6">
      <c r="A2605" s="4" t="s">
        <v>5593</v>
      </c>
      <c r="B2605" s="6" t="s">
        <v>5592</v>
      </c>
      <c r="C2605" s="4" t="s">
        <v>34</v>
      </c>
      <c r="D2605" s="4">
        <v>19</v>
      </c>
      <c r="E2605" s="4" t="s">
        <v>219</v>
      </c>
      <c r="F2605" s="4" t="s">
        <v>5594</v>
      </c>
    </row>
    <row r="2606" spans="1:6">
      <c r="A2606" s="4" t="s">
        <v>5595</v>
      </c>
      <c r="B2606" s="6" t="s">
        <v>5596</v>
      </c>
      <c r="C2606" s="4" t="s">
        <v>81</v>
      </c>
      <c r="D2606" s="4">
        <v>8</v>
      </c>
      <c r="E2606" s="4" t="s">
        <v>5597</v>
      </c>
    </row>
    <row r="2607" spans="1:6">
      <c r="A2607" s="4" t="s">
        <v>5598</v>
      </c>
      <c r="B2607" s="6" t="s">
        <v>5596</v>
      </c>
      <c r="C2607" s="4" t="s">
        <v>686</v>
      </c>
      <c r="D2607" s="4">
        <v>11</v>
      </c>
      <c r="E2607" s="4" t="s">
        <v>235</v>
      </c>
    </row>
    <row r="2608" spans="1:6">
      <c r="A2608" s="4" t="s">
        <v>5599</v>
      </c>
      <c r="B2608" s="6" t="s">
        <v>5600</v>
      </c>
      <c r="C2608" s="4" t="s">
        <v>53</v>
      </c>
      <c r="D2608" s="4">
        <v>8</v>
      </c>
      <c r="E2608" s="4" t="s">
        <v>852</v>
      </c>
    </row>
    <row r="2609" spans="1:6">
      <c r="A2609" s="4" t="s">
        <v>5601</v>
      </c>
      <c r="B2609" s="6" t="s">
        <v>5602</v>
      </c>
      <c r="C2609" s="4" t="s">
        <v>87</v>
      </c>
      <c r="D2609" s="4">
        <v>8</v>
      </c>
      <c r="E2609" s="4" t="s">
        <v>235</v>
      </c>
      <c r="F2609" s="4" t="s">
        <v>4564</v>
      </c>
    </row>
    <row r="2610" spans="1:6">
      <c r="A2610" s="4" t="s">
        <v>5603</v>
      </c>
      <c r="B2610" s="6" t="s">
        <v>5604</v>
      </c>
      <c r="C2610" s="4" t="s">
        <v>485</v>
      </c>
      <c r="D2610" s="4">
        <v>10</v>
      </c>
      <c r="E2610" s="4" t="s">
        <v>211</v>
      </c>
      <c r="F2610" s="4" t="s">
        <v>5605</v>
      </c>
    </row>
    <row r="2611" spans="1:6">
      <c r="A2611" s="4" t="s">
        <v>5606</v>
      </c>
      <c r="B2611" s="6" t="s">
        <v>5607</v>
      </c>
      <c r="C2611" s="4" t="s">
        <v>53</v>
      </c>
      <c r="D2611" s="4">
        <v>6</v>
      </c>
      <c r="E2611" s="4" t="s">
        <v>5608</v>
      </c>
    </row>
    <row r="2612" spans="1:6">
      <c r="A2612" s="4" t="s">
        <v>5609</v>
      </c>
      <c r="B2612" s="6" t="s">
        <v>5607</v>
      </c>
      <c r="C2612" s="4" t="s">
        <v>53</v>
      </c>
      <c r="D2612" s="4">
        <v>16</v>
      </c>
      <c r="E2612" s="4" t="s">
        <v>5610</v>
      </c>
    </row>
    <row r="2613" spans="1:6">
      <c r="A2613" s="4" t="s">
        <v>5611</v>
      </c>
      <c r="B2613" s="6" t="s">
        <v>5612</v>
      </c>
      <c r="C2613" s="4" t="s">
        <v>34</v>
      </c>
      <c r="D2613" s="4">
        <v>15</v>
      </c>
      <c r="E2613" s="4" t="s">
        <v>689</v>
      </c>
    </row>
    <row r="2614" spans="1:6">
      <c r="A2614" s="4" t="s">
        <v>5613</v>
      </c>
      <c r="B2614" s="6" t="s">
        <v>5614</v>
      </c>
      <c r="C2614" s="4" t="s">
        <v>34</v>
      </c>
      <c r="D2614" s="4">
        <v>8</v>
      </c>
      <c r="E2614" s="4" t="s">
        <v>266</v>
      </c>
      <c r="F2614" s="4" t="s">
        <v>312</v>
      </c>
    </row>
    <row r="2615" spans="1:6">
      <c r="A2615" s="4" t="s">
        <v>5615</v>
      </c>
      <c r="B2615" s="6" t="s">
        <v>5614</v>
      </c>
      <c r="C2615" s="4" t="s">
        <v>34</v>
      </c>
      <c r="D2615" s="4">
        <v>17</v>
      </c>
      <c r="E2615" s="4" t="s">
        <v>5616</v>
      </c>
    </row>
    <row r="2616" spans="1:6">
      <c r="A2616" s="4" t="s">
        <v>5617</v>
      </c>
      <c r="B2616" s="6" t="s">
        <v>5614</v>
      </c>
      <c r="C2616" s="4" t="s">
        <v>223</v>
      </c>
      <c r="D2616" s="4">
        <v>19</v>
      </c>
      <c r="E2616" s="4" t="s">
        <v>578</v>
      </c>
      <c r="F2616" s="4" t="s">
        <v>5618</v>
      </c>
    </row>
    <row r="2617" spans="1:6">
      <c r="A2617" s="4" t="s">
        <v>5619</v>
      </c>
      <c r="B2617" s="6" t="s">
        <v>5614</v>
      </c>
      <c r="C2617" s="4" t="s">
        <v>271</v>
      </c>
      <c r="D2617" s="4">
        <v>15</v>
      </c>
      <c r="E2617" s="4" t="s">
        <v>578</v>
      </c>
      <c r="F2617" s="4" t="s">
        <v>5620</v>
      </c>
    </row>
    <row r="2618" spans="1:6">
      <c r="A2618" s="4" t="s">
        <v>5621</v>
      </c>
      <c r="B2618" s="6" t="s">
        <v>5622</v>
      </c>
      <c r="C2618" s="4" t="s">
        <v>87</v>
      </c>
      <c r="D2618" s="4">
        <v>9</v>
      </c>
      <c r="E2618" s="4" t="s">
        <v>211</v>
      </c>
    </row>
    <row r="2619" spans="1:6">
      <c r="A2619" s="4" t="s">
        <v>5623</v>
      </c>
      <c r="B2619" s="6" t="s">
        <v>5624</v>
      </c>
      <c r="C2619" s="4" t="s">
        <v>87</v>
      </c>
      <c r="D2619" s="4">
        <v>7</v>
      </c>
      <c r="E2619" s="4" t="s">
        <v>291</v>
      </c>
    </row>
    <row r="2620" spans="1:6">
      <c r="A2620" s="4" t="s">
        <v>5625</v>
      </c>
      <c r="B2620" s="6" t="s">
        <v>5626</v>
      </c>
      <c r="C2620" s="4" t="s">
        <v>271</v>
      </c>
      <c r="D2620" s="4">
        <v>7</v>
      </c>
      <c r="E2620" s="4" t="s">
        <v>224</v>
      </c>
      <c r="F2620" s="4" t="s">
        <v>5627</v>
      </c>
    </row>
    <row r="2621" spans="1:6">
      <c r="A2621" s="4" t="s">
        <v>5628</v>
      </c>
      <c r="B2621" s="6" t="s">
        <v>5629</v>
      </c>
      <c r="C2621" s="4" t="s">
        <v>485</v>
      </c>
      <c r="D2621" s="4">
        <v>10</v>
      </c>
      <c r="E2621" s="4" t="s">
        <v>235</v>
      </c>
    </row>
    <row r="2622" spans="1:6">
      <c r="A2622" s="4" t="s">
        <v>5630</v>
      </c>
      <c r="B2622" s="6" t="s">
        <v>5631</v>
      </c>
      <c r="C2622" s="4" t="s">
        <v>87</v>
      </c>
      <c r="D2622" s="4">
        <v>8</v>
      </c>
      <c r="E2622" s="4" t="s">
        <v>235</v>
      </c>
      <c r="F2622" s="4" t="s">
        <v>5632</v>
      </c>
    </row>
    <row r="2623" spans="1:6">
      <c r="A2623" s="4" t="s">
        <v>5633</v>
      </c>
      <c r="B2623" s="6" t="s">
        <v>5634</v>
      </c>
      <c r="C2623" s="4" t="s">
        <v>324</v>
      </c>
      <c r="D2623" s="4">
        <v>9</v>
      </c>
      <c r="E2623" s="4" t="s">
        <v>5635</v>
      </c>
      <c r="F2623" s="4" t="s">
        <v>5636</v>
      </c>
    </row>
    <row r="2624" spans="1:6">
      <c r="A2624" s="4" t="s">
        <v>5637</v>
      </c>
      <c r="B2624" s="6" t="s">
        <v>5634</v>
      </c>
      <c r="C2624" s="4" t="s">
        <v>3020</v>
      </c>
      <c r="D2624" s="4">
        <v>14</v>
      </c>
      <c r="E2624" s="4" t="s">
        <v>320</v>
      </c>
      <c r="F2624" s="4" t="s">
        <v>1119</v>
      </c>
    </row>
    <row r="2625" spans="1:6">
      <c r="A2625" s="4" t="s">
        <v>5638</v>
      </c>
      <c r="B2625" s="6" t="s">
        <v>5639</v>
      </c>
      <c r="C2625" s="4" t="s">
        <v>487</v>
      </c>
      <c r="D2625" s="4">
        <v>3</v>
      </c>
      <c r="E2625" s="4" t="s">
        <v>5640</v>
      </c>
      <c r="F2625" s="4" t="s">
        <v>5641</v>
      </c>
    </row>
    <row r="2626" spans="1:6">
      <c r="A2626" s="4" t="s">
        <v>5642</v>
      </c>
      <c r="B2626" s="6" t="s">
        <v>5639</v>
      </c>
      <c r="C2626" s="4" t="s">
        <v>238</v>
      </c>
      <c r="D2626" s="4">
        <v>6</v>
      </c>
      <c r="E2626" s="4" t="s">
        <v>5643</v>
      </c>
      <c r="F2626" s="4" t="s">
        <v>5644</v>
      </c>
    </row>
    <row r="2627" spans="1:6">
      <c r="A2627" s="4" t="s">
        <v>5645</v>
      </c>
      <c r="B2627" s="6" t="s">
        <v>5646</v>
      </c>
      <c r="C2627" s="4" t="s">
        <v>53</v>
      </c>
      <c r="D2627" s="4">
        <v>15</v>
      </c>
      <c r="E2627" s="4" t="s">
        <v>219</v>
      </c>
    </row>
    <row r="2628" spans="1:6">
      <c r="A2628" s="4" t="s">
        <v>5647</v>
      </c>
      <c r="B2628" s="6" t="s">
        <v>5648</v>
      </c>
      <c r="C2628" s="4" t="s">
        <v>337</v>
      </c>
      <c r="D2628" s="4">
        <v>8</v>
      </c>
      <c r="E2628" s="4" t="s">
        <v>219</v>
      </c>
    </row>
    <row r="2629" spans="1:6">
      <c r="A2629" s="4" t="s">
        <v>5649</v>
      </c>
      <c r="B2629" s="6" t="s">
        <v>5648</v>
      </c>
      <c r="C2629" s="4" t="s">
        <v>275</v>
      </c>
      <c r="D2629" s="4">
        <v>7</v>
      </c>
      <c r="E2629" s="4" t="s">
        <v>5650</v>
      </c>
      <c r="F2629" s="4" t="s">
        <v>5651</v>
      </c>
    </row>
    <row r="2630" spans="1:6">
      <c r="A2630" s="4" t="s">
        <v>5652</v>
      </c>
      <c r="B2630" s="6" t="s">
        <v>5648</v>
      </c>
      <c r="C2630" s="4" t="s">
        <v>1756</v>
      </c>
      <c r="D2630" s="4">
        <v>4</v>
      </c>
      <c r="E2630" s="4" t="s">
        <v>5653</v>
      </c>
      <c r="F2630" s="4" t="s">
        <v>5654</v>
      </c>
    </row>
    <row r="2631" spans="1:6">
      <c r="A2631" s="4" t="s">
        <v>5655</v>
      </c>
      <c r="B2631" s="6" t="s">
        <v>5648</v>
      </c>
      <c r="C2631" s="4" t="s">
        <v>27</v>
      </c>
      <c r="D2631" s="4">
        <v>7</v>
      </c>
      <c r="E2631" s="4" t="s">
        <v>219</v>
      </c>
      <c r="F2631" s="4" t="s">
        <v>5656</v>
      </c>
    </row>
    <row r="2632" spans="1:6">
      <c r="A2632" s="4" t="s">
        <v>5657</v>
      </c>
      <c r="B2632" s="6" t="s">
        <v>5648</v>
      </c>
      <c r="C2632" s="4" t="s">
        <v>19</v>
      </c>
      <c r="D2632" s="4">
        <v>7</v>
      </c>
      <c r="E2632" s="4" t="s">
        <v>219</v>
      </c>
      <c r="F2632" s="4" t="s">
        <v>5656</v>
      </c>
    </row>
    <row r="2633" spans="1:6">
      <c r="A2633" s="4" t="s">
        <v>5658</v>
      </c>
      <c r="B2633" s="6" t="s">
        <v>5648</v>
      </c>
      <c r="C2633" s="4" t="s">
        <v>1756</v>
      </c>
      <c r="D2633" s="4">
        <v>9</v>
      </c>
      <c r="E2633" s="4" t="s">
        <v>5659</v>
      </c>
      <c r="F2633" s="4" t="s">
        <v>5660</v>
      </c>
    </row>
    <row r="2634" spans="1:6">
      <c r="A2634" s="4" t="s">
        <v>5661</v>
      </c>
      <c r="B2634" s="6" t="s">
        <v>5662</v>
      </c>
      <c r="C2634" s="4" t="s">
        <v>81</v>
      </c>
      <c r="D2634" s="4">
        <v>8</v>
      </c>
      <c r="E2634" s="4" t="s">
        <v>211</v>
      </c>
    </row>
    <row r="2635" spans="1:6">
      <c r="A2635" s="4" t="s">
        <v>5663</v>
      </c>
      <c r="B2635" s="6" t="s">
        <v>5664</v>
      </c>
      <c r="C2635" s="4" t="s">
        <v>1248</v>
      </c>
      <c r="D2635" s="4">
        <v>5</v>
      </c>
      <c r="E2635" s="4" t="s">
        <v>5643</v>
      </c>
      <c r="F2635" s="4" t="s">
        <v>4557</v>
      </c>
    </row>
    <row r="2636" spans="1:6">
      <c r="A2636" s="4" t="s">
        <v>5665</v>
      </c>
      <c r="B2636" s="6" t="s">
        <v>5664</v>
      </c>
      <c r="C2636" s="4" t="s">
        <v>403</v>
      </c>
      <c r="D2636" s="4">
        <v>15</v>
      </c>
      <c r="E2636" s="4" t="s">
        <v>219</v>
      </c>
    </row>
    <row r="2637" spans="1:6">
      <c r="A2637" s="4" t="s">
        <v>5666</v>
      </c>
      <c r="B2637" s="6" t="s">
        <v>5664</v>
      </c>
      <c r="C2637" s="4" t="s">
        <v>49</v>
      </c>
      <c r="D2637" s="4">
        <v>8</v>
      </c>
      <c r="E2637" s="4" t="s">
        <v>219</v>
      </c>
    </row>
    <row r="2638" spans="1:6">
      <c r="A2638" s="4" t="s">
        <v>5667</v>
      </c>
      <c r="B2638" s="6" t="s">
        <v>5668</v>
      </c>
      <c r="C2638" s="4" t="s">
        <v>195</v>
      </c>
      <c r="D2638" s="4">
        <v>12</v>
      </c>
      <c r="E2638" s="4" t="s">
        <v>219</v>
      </c>
      <c r="F2638" s="4" t="s">
        <v>5669</v>
      </c>
    </row>
    <row r="2639" spans="1:6">
      <c r="A2639" s="4" t="s">
        <v>5670</v>
      </c>
      <c r="B2639" s="6" t="s">
        <v>5668</v>
      </c>
      <c r="C2639" s="4" t="s">
        <v>53</v>
      </c>
      <c r="D2639" s="4">
        <v>11</v>
      </c>
      <c r="E2639" s="4" t="s">
        <v>655</v>
      </c>
    </row>
    <row r="2640" spans="1:6">
      <c r="A2640" s="4" t="s">
        <v>5671</v>
      </c>
      <c r="B2640" s="6" t="s">
        <v>5672</v>
      </c>
      <c r="C2640" s="4" t="s">
        <v>963</v>
      </c>
      <c r="D2640" s="4">
        <v>4</v>
      </c>
      <c r="E2640" s="4" t="s">
        <v>428</v>
      </c>
      <c r="F2640" s="4" t="s">
        <v>5673</v>
      </c>
    </row>
    <row r="2641" spans="1:6">
      <c r="A2641" s="4" t="s">
        <v>5674</v>
      </c>
      <c r="B2641" s="6" t="s">
        <v>5675</v>
      </c>
      <c r="C2641" s="4" t="s">
        <v>5676</v>
      </c>
      <c r="D2641" s="4">
        <v>14</v>
      </c>
      <c r="E2641" s="4" t="s">
        <v>5677</v>
      </c>
    </row>
    <row r="2642" spans="1:6">
      <c r="A2642" s="4" t="s">
        <v>5678</v>
      </c>
      <c r="B2642" s="6" t="s">
        <v>5675</v>
      </c>
      <c r="C2642" s="4" t="s">
        <v>254</v>
      </c>
      <c r="D2642" s="4">
        <v>6</v>
      </c>
      <c r="E2642" s="4" t="s">
        <v>435</v>
      </c>
    </row>
    <row r="2643" spans="1:6">
      <c r="A2643" s="4" t="s">
        <v>5679</v>
      </c>
      <c r="B2643" s="6" t="s">
        <v>5680</v>
      </c>
      <c r="C2643" s="4" t="s">
        <v>301</v>
      </c>
      <c r="D2643" s="4">
        <v>10</v>
      </c>
      <c r="E2643" s="4" t="s">
        <v>3918</v>
      </c>
      <c r="F2643" s="4" t="s">
        <v>5681</v>
      </c>
    </row>
    <row r="2644" spans="1:6">
      <c r="A2644" s="4" t="s">
        <v>5682</v>
      </c>
      <c r="B2644" s="6" t="s">
        <v>5680</v>
      </c>
      <c r="C2644" s="4" t="s">
        <v>63</v>
      </c>
      <c r="D2644" s="4">
        <v>12</v>
      </c>
      <c r="E2644" s="4" t="s">
        <v>3918</v>
      </c>
    </row>
    <row r="2645" spans="1:6">
      <c r="A2645" s="4" t="s">
        <v>5683</v>
      </c>
      <c r="B2645" s="6" t="s">
        <v>5680</v>
      </c>
      <c r="C2645" s="4" t="s">
        <v>271</v>
      </c>
      <c r="D2645" s="4">
        <v>4</v>
      </c>
      <c r="E2645" s="4" t="s">
        <v>5684</v>
      </c>
      <c r="F2645" s="4" t="s">
        <v>5685</v>
      </c>
    </row>
    <row r="2646" spans="1:6">
      <c r="A2646" s="4" t="s">
        <v>5686</v>
      </c>
      <c r="B2646" s="6" t="s">
        <v>5680</v>
      </c>
      <c r="C2646" s="4" t="s">
        <v>3562</v>
      </c>
      <c r="D2646" s="4">
        <v>8</v>
      </c>
      <c r="E2646" s="4" t="s">
        <v>3918</v>
      </c>
    </row>
    <row r="2647" spans="1:6">
      <c r="A2647" s="4" t="s">
        <v>5687</v>
      </c>
      <c r="B2647" s="6" t="s">
        <v>5680</v>
      </c>
      <c r="C2647" s="4" t="s">
        <v>23</v>
      </c>
      <c r="D2647" s="4">
        <v>7</v>
      </c>
      <c r="E2647" s="4" t="s">
        <v>5688</v>
      </c>
    </row>
    <row r="2648" spans="1:6">
      <c r="A2648" s="4" t="s">
        <v>5689</v>
      </c>
      <c r="B2648" s="6" t="s">
        <v>5690</v>
      </c>
      <c r="C2648" s="4" t="s">
        <v>1211</v>
      </c>
      <c r="D2648" s="4">
        <v>10</v>
      </c>
      <c r="E2648" s="4" t="s">
        <v>3918</v>
      </c>
      <c r="F2648" s="4" t="s">
        <v>5691</v>
      </c>
    </row>
    <row r="2649" spans="1:6">
      <c r="A2649" s="4" t="s">
        <v>5692</v>
      </c>
      <c r="B2649" s="6" t="s">
        <v>5690</v>
      </c>
      <c r="C2649" s="4" t="s">
        <v>121</v>
      </c>
      <c r="D2649" s="4">
        <v>16</v>
      </c>
      <c r="E2649" s="4" t="s">
        <v>3918</v>
      </c>
      <c r="F2649" s="4" t="s">
        <v>5693</v>
      </c>
    </row>
    <row r="2650" spans="1:6">
      <c r="A2650" s="4" t="s">
        <v>5694</v>
      </c>
      <c r="B2650" s="6" t="s">
        <v>5695</v>
      </c>
      <c r="C2650" s="4" t="s">
        <v>34</v>
      </c>
      <c r="D2650" s="4">
        <v>5</v>
      </c>
      <c r="E2650" s="4" t="s">
        <v>5696</v>
      </c>
      <c r="F2650" s="4" t="s">
        <v>5697</v>
      </c>
    </row>
    <row r="2651" spans="1:6">
      <c r="A2651" s="4" t="s">
        <v>5698</v>
      </c>
      <c r="B2651" s="6" t="s">
        <v>5695</v>
      </c>
      <c r="C2651" s="4" t="s">
        <v>464</v>
      </c>
      <c r="D2651" s="4">
        <v>5</v>
      </c>
      <c r="E2651" s="4" t="s">
        <v>5699</v>
      </c>
    </row>
    <row r="2652" spans="1:6">
      <c r="A2652" s="4" t="s">
        <v>5700</v>
      </c>
      <c r="B2652" s="6" t="s">
        <v>5695</v>
      </c>
      <c r="C2652" s="4" t="s">
        <v>81</v>
      </c>
      <c r="D2652" s="4">
        <v>8</v>
      </c>
      <c r="E2652" s="4" t="s">
        <v>5699</v>
      </c>
    </row>
    <row r="2653" spans="1:6">
      <c r="A2653" s="4" t="s">
        <v>5701</v>
      </c>
      <c r="B2653" s="6" t="s">
        <v>5695</v>
      </c>
      <c r="C2653" s="4" t="s">
        <v>34</v>
      </c>
      <c r="D2653" s="4">
        <v>8</v>
      </c>
      <c r="E2653" s="4" t="s">
        <v>5696</v>
      </c>
      <c r="F2653" s="4" t="s">
        <v>5697</v>
      </c>
    </row>
    <row r="2654" spans="1:6">
      <c r="A2654" s="4" t="s">
        <v>5702</v>
      </c>
      <c r="B2654" s="6" t="s">
        <v>5695</v>
      </c>
      <c r="C2654" s="4" t="s">
        <v>1136</v>
      </c>
      <c r="D2654" s="4">
        <v>17</v>
      </c>
      <c r="E2654" s="4" t="s">
        <v>5699</v>
      </c>
      <c r="F2654" s="4" t="s">
        <v>5703</v>
      </c>
    </row>
    <row r="2655" spans="1:6">
      <c r="A2655" s="4" t="s">
        <v>5704</v>
      </c>
      <c r="B2655" s="6" t="s">
        <v>5695</v>
      </c>
      <c r="C2655" s="4" t="s">
        <v>351</v>
      </c>
      <c r="D2655" s="4">
        <v>8</v>
      </c>
      <c r="E2655" s="4" t="s">
        <v>5699</v>
      </c>
    </row>
    <row r="2656" spans="1:6">
      <c r="A2656" s="4" t="s">
        <v>5705</v>
      </c>
      <c r="B2656" s="6" t="s">
        <v>5706</v>
      </c>
      <c r="C2656" s="4" t="s">
        <v>27</v>
      </c>
      <c r="D2656" s="4">
        <v>15</v>
      </c>
      <c r="E2656" s="4" t="s">
        <v>3918</v>
      </c>
      <c r="F2656" s="4" t="s">
        <v>5707</v>
      </c>
    </row>
    <row r="2657" spans="1:6">
      <c r="A2657" s="4" t="s">
        <v>5708</v>
      </c>
      <c r="B2657" s="6" t="s">
        <v>5706</v>
      </c>
      <c r="C2657" s="4" t="s">
        <v>53</v>
      </c>
      <c r="D2657" s="4">
        <v>8</v>
      </c>
      <c r="E2657" s="4" t="s">
        <v>5684</v>
      </c>
    </row>
    <row r="2658" spans="1:6">
      <c r="A2658" s="4" t="s">
        <v>5709</v>
      </c>
      <c r="B2658" s="6" t="s">
        <v>5706</v>
      </c>
      <c r="C2658" s="4" t="s">
        <v>87</v>
      </c>
      <c r="D2658" s="4">
        <v>7</v>
      </c>
      <c r="E2658" s="4" t="s">
        <v>3918</v>
      </c>
    </row>
    <row r="2659" spans="1:6">
      <c r="A2659" s="4" t="s">
        <v>5710</v>
      </c>
      <c r="B2659" s="6" t="s">
        <v>5711</v>
      </c>
      <c r="C2659" s="4" t="s">
        <v>34</v>
      </c>
      <c r="D2659" s="4">
        <v>7</v>
      </c>
      <c r="E2659" s="4" t="s">
        <v>291</v>
      </c>
    </row>
    <row r="2660" spans="1:6">
      <c r="A2660" s="4" t="s">
        <v>5712</v>
      </c>
      <c r="B2660" s="6" t="s">
        <v>5713</v>
      </c>
      <c r="C2660" s="4" t="s">
        <v>23</v>
      </c>
      <c r="D2660" s="4">
        <v>9</v>
      </c>
      <c r="E2660" s="4" t="s">
        <v>5714</v>
      </c>
      <c r="F2660" s="4" t="s">
        <v>3578</v>
      </c>
    </row>
    <row r="2661" spans="1:6">
      <c r="A2661" s="4" t="s">
        <v>5715</v>
      </c>
      <c r="B2661" s="6" t="s">
        <v>5716</v>
      </c>
      <c r="C2661" s="4" t="s">
        <v>1211</v>
      </c>
      <c r="D2661" s="4">
        <v>17</v>
      </c>
      <c r="E2661" s="4" t="s">
        <v>3918</v>
      </c>
      <c r="F2661" s="4" t="s">
        <v>5717</v>
      </c>
    </row>
    <row r="2662" spans="1:6">
      <c r="A2662" s="4" t="s">
        <v>5718</v>
      </c>
      <c r="B2662" s="6" t="s">
        <v>5719</v>
      </c>
      <c r="C2662" s="4" t="s">
        <v>81</v>
      </c>
      <c r="D2662" s="4">
        <v>15</v>
      </c>
      <c r="E2662" s="4" t="s">
        <v>3918</v>
      </c>
      <c r="F2662" s="4" t="s">
        <v>5720</v>
      </c>
    </row>
    <row r="2663" spans="1:6">
      <c r="A2663" s="4" t="s">
        <v>5721</v>
      </c>
      <c r="B2663" s="6" t="s">
        <v>5719</v>
      </c>
      <c r="C2663" s="4" t="s">
        <v>81</v>
      </c>
      <c r="D2663" s="4">
        <v>8</v>
      </c>
      <c r="E2663" s="4" t="s">
        <v>3918</v>
      </c>
    </row>
    <row r="2664" spans="1:6">
      <c r="A2664" s="4" t="s">
        <v>5722</v>
      </c>
      <c r="B2664" s="6" t="s">
        <v>5723</v>
      </c>
      <c r="C2664" s="4" t="s">
        <v>34</v>
      </c>
      <c r="D2664" s="4">
        <v>7</v>
      </c>
      <c r="E2664" s="4" t="s">
        <v>5724</v>
      </c>
    </row>
    <row r="2665" spans="1:6">
      <c r="A2665" s="4" t="s">
        <v>5725</v>
      </c>
      <c r="B2665" s="6" t="s">
        <v>5726</v>
      </c>
      <c r="C2665" s="4" t="s">
        <v>271</v>
      </c>
      <c r="D2665" s="4">
        <v>10</v>
      </c>
      <c r="E2665" s="4" t="s">
        <v>346</v>
      </c>
    </row>
    <row r="2666" spans="1:6">
      <c r="A2666" s="4" t="s">
        <v>5727</v>
      </c>
      <c r="B2666" s="6" t="s">
        <v>5728</v>
      </c>
      <c r="C2666" s="4" t="s">
        <v>254</v>
      </c>
      <c r="D2666" s="4">
        <v>4</v>
      </c>
      <c r="E2666" s="4" t="s">
        <v>5729</v>
      </c>
      <c r="F2666" s="4" t="s">
        <v>5730</v>
      </c>
    </row>
    <row r="2667" spans="1:6">
      <c r="A2667" s="4" t="s">
        <v>5731</v>
      </c>
      <c r="B2667" s="6" t="s">
        <v>5728</v>
      </c>
      <c r="C2667" s="4" t="s">
        <v>254</v>
      </c>
      <c r="D2667" s="4">
        <v>7</v>
      </c>
      <c r="E2667" s="4" t="s">
        <v>5729</v>
      </c>
      <c r="F2667" s="4" t="s">
        <v>5730</v>
      </c>
    </row>
    <row r="2668" spans="1:6">
      <c r="A2668" s="4" t="s">
        <v>5732</v>
      </c>
      <c r="B2668" s="6" t="s">
        <v>5733</v>
      </c>
      <c r="C2668" s="4" t="s">
        <v>34</v>
      </c>
      <c r="D2668" s="4">
        <v>7</v>
      </c>
      <c r="E2668" s="4" t="s">
        <v>5734</v>
      </c>
    </row>
    <row r="2669" spans="1:6">
      <c r="A2669" s="4" t="s">
        <v>5735</v>
      </c>
      <c r="B2669" s="6" t="s">
        <v>5736</v>
      </c>
      <c r="C2669" s="4" t="s">
        <v>485</v>
      </c>
      <c r="D2669" s="4">
        <v>9</v>
      </c>
      <c r="E2669" s="4" t="s">
        <v>5734</v>
      </c>
    </row>
    <row r="2670" spans="1:6">
      <c r="A2670" s="4" t="s">
        <v>5737</v>
      </c>
      <c r="B2670" s="6" t="s">
        <v>5738</v>
      </c>
      <c r="C2670" s="4" t="s">
        <v>354</v>
      </c>
      <c r="D2670" s="4">
        <v>9</v>
      </c>
      <c r="E2670" s="4" t="s">
        <v>291</v>
      </c>
    </row>
    <row r="2671" spans="1:6">
      <c r="A2671" s="4" t="s">
        <v>5739</v>
      </c>
      <c r="B2671" s="6" t="s">
        <v>5738</v>
      </c>
      <c r="C2671" s="4" t="s">
        <v>41</v>
      </c>
      <c r="D2671" s="4">
        <v>12</v>
      </c>
      <c r="E2671" s="4" t="s">
        <v>291</v>
      </c>
      <c r="F2671" s="4" t="s">
        <v>5740</v>
      </c>
    </row>
    <row r="2672" spans="1:6">
      <c r="A2672" s="4" t="s">
        <v>5741</v>
      </c>
      <c r="B2672" s="6" t="s">
        <v>5738</v>
      </c>
      <c r="C2672" s="4" t="s">
        <v>76</v>
      </c>
      <c r="D2672" s="4">
        <v>17</v>
      </c>
      <c r="E2672" s="4" t="s">
        <v>291</v>
      </c>
    </row>
    <row r="2673" spans="1:6">
      <c r="A2673" s="4" t="s">
        <v>5742</v>
      </c>
      <c r="B2673" s="6" t="s">
        <v>5738</v>
      </c>
      <c r="C2673" s="4" t="s">
        <v>41</v>
      </c>
      <c r="D2673" s="4">
        <v>15</v>
      </c>
      <c r="E2673" s="4" t="s">
        <v>291</v>
      </c>
      <c r="F2673" s="4" t="s">
        <v>5740</v>
      </c>
    </row>
    <row r="2674" spans="1:6">
      <c r="A2674" s="4" t="s">
        <v>5743</v>
      </c>
      <c r="B2674" s="6" t="s">
        <v>5744</v>
      </c>
      <c r="C2674" s="4" t="s">
        <v>23</v>
      </c>
      <c r="D2674" s="4">
        <v>7</v>
      </c>
      <c r="E2674" s="4" t="s">
        <v>5745</v>
      </c>
      <c r="F2674" s="4" t="s">
        <v>362</v>
      </c>
    </row>
    <row r="2675" spans="1:6">
      <c r="A2675" s="4" t="s">
        <v>5746</v>
      </c>
      <c r="B2675" s="6" t="s">
        <v>5744</v>
      </c>
      <c r="C2675" s="4" t="s">
        <v>23</v>
      </c>
      <c r="D2675" s="4">
        <v>16</v>
      </c>
      <c r="E2675" s="4" t="s">
        <v>5747</v>
      </c>
    </row>
    <row r="2676" spans="1:6">
      <c r="A2676" s="4" t="s">
        <v>4703</v>
      </c>
      <c r="B2676" s="6" t="s">
        <v>5748</v>
      </c>
      <c r="C2676" s="4" t="s">
        <v>4703</v>
      </c>
      <c r="D2676" s="4">
        <v>8</v>
      </c>
      <c r="E2676" s="4" t="s">
        <v>391</v>
      </c>
    </row>
    <row r="2677" spans="1:6">
      <c r="A2677" s="4" t="s">
        <v>5749</v>
      </c>
      <c r="B2677" s="6" t="s">
        <v>5748</v>
      </c>
      <c r="C2677" s="4" t="s">
        <v>5749</v>
      </c>
      <c r="D2677" s="4">
        <v>9</v>
      </c>
      <c r="E2677" s="4" t="s">
        <v>391</v>
      </c>
      <c r="F2677" s="4" t="s">
        <v>5750</v>
      </c>
    </row>
    <row r="2678" spans="1:6">
      <c r="A2678" s="4" t="s">
        <v>5751</v>
      </c>
      <c r="B2678" s="6" t="s">
        <v>5748</v>
      </c>
      <c r="C2678" s="4" t="s">
        <v>14</v>
      </c>
      <c r="D2678" s="4">
        <v>6</v>
      </c>
      <c r="E2678" s="4" t="s">
        <v>391</v>
      </c>
      <c r="F2678" s="4" t="s">
        <v>5752</v>
      </c>
    </row>
    <row r="2679" spans="1:6">
      <c r="A2679" s="4" t="s">
        <v>5753</v>
      </c>
      <c r="B2679" s="6" t="s">
        <v>5748</v>
      </c>
      <c r="C2679" s="4" t="s">
        <v>538</v>
      </c>
      <c r="D2679" s="4">
        <v>12</v>
      </c>
      <c r="E2679" s="4" t="s">
        <v>391</v>
      </c>
      <c r="F2679" s="4" t="s">
        <v>5754</v>
      </c>
    </row>
    <row r="2680" spans="1:6">
      <c r="A2680" s="4" t="s">
        <v>5755</v>
      </c>
      <c r="B2680" s="6" t="s">
        <v>5748</v>
      </c>
      <c r="C2680" s="4" t="s">
        <v>34</v>
      </c>
      <c r="D2680" s="4">
        <v>8</v>
      </c>
      <c r="E2680" s="4" t="s">
        <v>391</v>
      </c>
      <c r="F2680" s="4" t="s">
        <v>5756</v>
      </c>
    </row>
    <row r="2681" spans="1:6">
      <c r="A2681" s="4" t="s">
        <v>5757</v>
      </c>
      <c r="B2681" s="6" t="s">
        <v>5748</v>
      </c>
      <c r="C2681" s="4" t="s">
        <v>301</v>
      </c>
      <c r="D2681" s="4">
        <v>14</v>
      </c>
      <c r="E2681" s="4" t="s">
        <v>391</v>
      </c>
    </row>
    <row r="2682" spans="1:6">
      <c r="A2682" s="4" t="s">
        <v>5758</v>
      </c>
      <c r="B2682" s="6" t="s">
        <v>5748</v>
      </c>
      <c r="C2682" s="4" t="s">
        <v>448</v>
      </c>
      <c r="D2682" s="4">
        <v>5</v>
      </c>
      <c r="E2682" s="4" t="s">
        <v>391</v>
      </c>
    </row>
    <row r="2683" spans="1:6">
      <c r="A2683" s="4" t="s">
        <v>5759</v>
      </c>
      <c r="B2683" s="6" t="s">
        <v>5760</v>
      </c>
      <c r="C2683" s="4" t="s">
        <v>1679</v>
      </c>
      <c r="D2683" s="4">
        <v>18</v>
      </c>
      <c r="E2683" s="4" t="s">
        <v>5761</v>
      </c>
      <c r="F2683" s="4" t="s">
        <v>5762</v>
      </c>
    </row>
    <row r="2684" spans="1:6">
      <c r="A2684" s="4" t="s">
        <v>5763</v>
      </c>
      <c r="B2684" s="6" t="s">
        <v>5760</v>
      </c>
      <c r="C2684" s="4" t="s">
        <v>49</v>
      </c>
      <c r="D2684" s="4">
        <v>18</v>
      </c>
      <c r="E2684" s="4" t="s">
        <v>219</v>
      </c>
    </row>
    <row r="2685" spans="1:6">
      <c r="A2685" s="4" t="s">
        <v>5764</v>
      </c>
      <c r="B2685" s="6" t="s">
        <v>5760</v>
      </c>
      <c r="C2685" s="4" t="s">
        <v>420</v>
      </c>
      <c r="D2685" s="4">
        <v>12</v>
      </c>
      <c r="E2685" s="4" t="s">
        <v>4460</v>
      </c>
    </row>
    <row r="2686" spans="1:6">
      <c r="A2686" s="4" t="s">
        <v>5765</v>
      </c>
      <c r="B2686" s="6" t="s">
        <v>5760</v>
      </c>
      <c r="C2686" s="4" t="s">
        <v>238</v>
      </c>
      <c r="D2686" s="4">
        <v>15</v>
      </c>
      <c r="E2686" s="4" t="s">
        <v>5659</v>
      </c>
      <c r="F2686" s="4" t="s">
        <v>1391</v>
      </c>
    </row>
    <row r="2687" spans="1:6">
      <c r="A2687" s="4" t="s">
        <v>5766</v>
      </c>
      <c r="B2687" s="6" t="s">
        <v>5760</v>
      </c>
      <c r="C2687" s="4" t="s">
        <v>1679</v>
      </c>
      <c r="D2687" s="4">
        <v>15</v>
      </c>
      <c r="E2687" s="4" t="s">
        <v>514</v>
      </c>
    </row>
    <row r="2688" spans="1:6">
      <c r="A2688" s="4" t="s">
        <v>5767</v>
      </c>
      <c r="B2688" s="6" t="s">
        <v>5768</v>
      </c>
      <c r="C2688" s="4" t="s">
        <v>87</v>
      </c>
      <c r="D2688" s="4">
        <v>14</v>
      </c>
      <c r="E2688" s="4" t="s">
        <v>312</v>
      </c>
      <c r="F2688" s="4" t="s">
        <v>5769</v>
      </c>
    </row>
    <row r="2689" spans="1:6">
      <c r="A2689" s="4" t="s">
        <v>5770</v>
      </c>
      <c r="B2689" s="6" t="s">
        <v>5768</v>
      </c>
      <c r="C2689" s="4" t="s">
        <v>81</v>
      </c>
      <c r="D2689" s="4">
        <v>14</v>
      </c>
      <c r="E2689" s="4" t="s">
        <v>312</v>
      </c>
    </row>
    <row r="2690" spans="1:6">
      <c r="A2690" s="4" t="s">
        <v>5771</v>
      </c>
      <c r="B2690" s="6" t="s">
        <v>5768</v>
      </c>
      <c r="C2690" s="4" t="s">
        <v>271</v>
      </c>
      <c r="D2690" s="4">
        <v>13</v>
      </c>
      <c r="E2690" s="4" t="s">
        <v>312</v>
      </c>
    </row>
    <row r="2691" spans="1:6">
      <c r="A2691" s="4" t="s">
        <v>5772</v>
      </c>
      <c r="B2691" s="6" t="s">
        <v>5768</v>
      </c>
      <c r="C2691" s="4" t="s">
        <v>14</v>
      </c>
      <c r="D2691" s="4">
        <v>14</v>
      </c>
      <c r="E2691" s="4" t="s">
        <v>312</v>
      </c>
    </row>
    <row r="2692" spans="1:6">
      <c r="A2692" s="4" t="s">
        <v>5773</v>
      </c>
      <c r="B2692" s="6" t="s">
        <v>5774</v>
      </c>
      <c r="C2692" s="4" t="s">
        <v>87</v>
      </c>
      <c r="D2692" s="4">
        <v>6</v>
      </c>
      <c r="E2692" s="4" t="s">
        <v>219</v>
      </c>
    </row>
    <row r="2693" spans="1:6">
      <c r="A2693" s="4" t="s">
        <v>5775</v>
      </c>
      <c r="B2693" s="6" t="s">
        <v>5774</v>
      </c>
      <c r="C2693" s="4" t="s">
        <v>87</v>
      </c>
      <c r="D2693" s="4">
        <v>7</v>
      </c>
      <c r="E2693" s="4" t="s">
        <v>219</v>
      </c>
    </row>
    <row r="2694" spans="1:6">
      <c r="A2694" s="4" t="s">
        <v>5776</v>
      </c>
      <c r="B2694" s="6" t="s">
        <v>5774</v>
      </c>
      <c r="C2694" s="4" t="s">
        <v>87</v>
      </c>
      <c r="D2694" s="4">
        <v>5</v>
      </c>
      <c r="E2694" s="4" t="s">
        <v>219</v>
      </c>
    </row>
    <row r="2695" spans="1:6">
      <c r="A2695" s="4" t="s">
        <v>337</v>
      </c>
      <c r="B2695" s="6" t="s">
        <v>5777</v>
      </c>
      <c r="C2695" s="4" t="s">
        <v>337</v>
      </c>
      <c r="D2695" s="4">
        <v>4</v>
      </c>
      <c r="E2695" s="4" t="s">
        <v>514</v>
      </c>
      <c r="F2695" s="4" t="s">
        <v>2972</v>
      </c>
    </row>
    <row r="2696" spans="1:6">
      <c r="A2696" s="4" t="s">
        <v>5778</v>
      </c>
      <c r="B2696" s="6" t="s">
        <v>5777</v>
      </c>
      <c r="C2696" s="4" t="s">
        <v>453</v>
      </c>
      <c r="D2696" s="4">
        <v>11</v>
      </c>
      <c r="E2696" s="4" t="s">
        <v>219</v>
      </c>
    </row>
    <row r="2697" spans="1:6">
      <c r="A2697" s="4" t="s">
        <v>5779</v>
      </c>
      <c r="B2697" s="6" t="s">
        <v>5777</v>
      </c>
      <c r="C2697" s="4" t="s">
        <v>538</v>
      </c>
      <c r="D2697" s="4">
        <v>10</v>
      </c>
      <c r="E2697" s="4" t="s">
        <v>1064</v>
      </c>
      <c r="F2697" s="4" t="s">
        <v>5780</v>
      </c>
    </row>
    <row r="2698" spans="1:6">
      <c r="A2698" s="4" t="s">
        <v>5781</v>
      </c>
      <c r="B2698" s="6" t="s">
        <v>5777</v>
      </c>
      <c r="C2698" s="4" t="s">
        <v>296</v>
      </c>
      <c r="D2698" s="4">
        <v>16</v>
      </c>
      <c r="E2698" s="4" t="s">
        <v>5782</v>
      </c>
    </row>
    <row r="2699" spans="1:6">
      <c r="A2699" s="4" t="s">
        <v>5783</v>
      </c>
      <c r="B2699" s="6" t="s">
        <v>5777</v>
      </c>
      <c r="C2699" s="4" t="s">
        <v>296</v>
      </c>
      <c r="D2699" s="4">
        <v>16</v>
      </c>
      <c r="E2699" s="4" t="s">
        <v>5782</v>
      </c>
    </row>
    <row r="2700" spans="1:6">
      <c r="A2700" s="4" t="s">
        <v>5784</v>
      </c>
      <c r="B2700" s="6" t="s">
        <v>5785</v>
      </c>
      <c r="C2700" s="4" t="s">
        <v>53</v>
      </c>
      <c r="D2700" s="4">
        <v>15</v>
      </c>
      <c r="E2700" s="4" t="s">
        <v>312</v>
      </c>
    </row>
    <row r="2701" spans="1:6">
      <c r="A2701" s="4" t="s">
        <v>5786</v>
      </c>
      <c r="B2701" s="6" t="s">
        <v>5787</v>
      </c>
      <c r="C2701" s="4" t="s">
        <v>461</v>
      </c>
      <c r="D2701" s="4">
        <v>11</v>
      </c>
      <c r="E2701" s="4" t="s">
        <v>312</v>
      </c>
    </row>
    <row r="2702" spans="1:6">
      <c r="A2702" s="4" t="s">
        <v>5788</v>
      </c>
      <c r="B2702" s="6" t="s">
        <v>5789</v>
      </c>
      <c r="C2702" s="4" t="s">
        <v>686</v>
      </c>
      <c r="D2702" s="4">
        <v>13</v>
      </c>
      <c r="E2702" s="4" t="s">
        <v>5643</v>
      </c>
      <c r="F2702" s="4" t="s">
        <v>3068</v>
      </c>
    </row>
    <row r="2703" spans="1:6">
      <c r="A2703" s="4" t="s">
        <v>5790</v>
      </c>
      <c r="B2703" s="6" t="s">
        <v>5789</v>
      </c>
      <c r="C2703" s="4" t="s">
        <v>49</v>
      </c>
      <c r="D2703" s="4">
        <v>15</v>
      </c>
      <c r="E2703" s="4" t="s">
        <v>224</v>
      </c>
      <c r="F2703" s="4" t="s">
        <v>4609</v>
      </c>
    </row>
    <row r="2704" spans="1:6">
      <c r="A2704" s="4" t="s">
        <v>5791</v>
      </c>
      <c r="B2704" s="6" t="s">
        <v>5792</v>
      </c>
      <c r="C2704" s="4" t="s">
        <v>110</v>
      </c>
      <c r="D2704" s="4">
        <v>14</v>
      </c>
      <c r="E2704" s="4" t="s">
        <v>435</v>
      </c>
    </row>
    <row r="2705" spans="1:6">
      <c r="A2705" s="4" t="s">
        <v>963</v>
      </c>
      <c r="B2705" s="6" t="s">
        <v>5792</v>
      </c>
      <c r="C2705" s="4" t="s">
        <v>963</v>
      </c>
      <c r="D2705" s="4">
        <v>1</v>
      </c>
      <c r="E2705" s="4" t="s">
        <v>5793</v>
      </c>
    </row>
    <row r="2706" spans="1:6">
      <c r="A2706" s="4" t="s">
        <v>5794</v>
      </c>
      <c r="B2706" s="6" t="s">
        <v>5795</v>
      </c>
      <c r="C2706" s="4" t="s">
        <v>14</v>
      </c>
      <c r="D2706" s="4">
        <v>10</v>
      </c>
      <c r="E2706" s="4" t="s">
        <v>498</v>
      </c>
    </row>
    <row r="2707" spans="1:6">
      <c r="A2707" s="4" t="s">
        <v>5796</v>
      </c>
      <c r="B2707" s="6" t="s">
        <v>5797</v>
      </c>
      <c r="C2707" s="4" t="s">
        <v>453</v>
      </c>
      <c r="D2707" s="4">
        <v>12</v>
      </c>
      <c r="E2707" s="4" t="s">
        <v>391</v>
      </c>
      <c r="F2707" s="4" t="s">
        <v>5798</v>
      </c>
    </row>
    <row r="2708" spans="1:6">
      <c r="A2708" s="4" t="s">
        <v>5799</v>
      </c>
      <c r="B2708" s="6" t="s">
        <v>5800</v>
      </c>
      <c r="C2708" s="4" t="s">
        <v>87</v>
      </c>
      <c r="D2708" s="4">
        <v>8</v>
      </c>
      <c r="E2708" s="4" t="s">
        <v>5699</v>
      </c>
      <c r="F2708" s="4" t="s">
        <v>1812</v>
      </c>
    </row>
    <row r="2709" spans="1:6">
      <c r="A2709" s="4" t="s">
        <v>5801</v>
      </c>
      <c r="B2709" s="6" t="s">
        <v>5802</v>
      </c>
      <c r="C2709" s="4" t="s">
        <v>76</v>
      </c>
      <c r="D2709" s="4">
        <v>18</v>
      </c>
      <c r="E2709" s="4" t="s">
        <v>578</v>
      </c>
      <c r="F2709" s="4" t="s">
        <v>5803</v>
      </c>
    </row>
    <row r="2710" spans="1:6">
      <c r="A2710" s="4" t="s">
        <v>5804</v>
      </c>
      <c r="B2710" s="6" t="s">
        <v>5805</v>
      </c>
      <c r="C2710" s="4" t="s">
        <v>354</v>
      </c>
      <c r="D2710" s="4">
        <v>8</v>
      </c>
      <c r="E2710" s="4" t="s">
        <v>391</v>
      </c>
      <c r="F2710" s="4" t="s">
        <v>5806</v>
      </c>
    </row>
    <row r="2711" spans="1:6">
      <c r="A2711" s="4" t="s">
        <v>5807</v>
      </c>
      <c r="B2711" s="6" t="s">
        <v>5808</v>
      </c>
      <c r="C2711" s="4" t="s">
        <v>226</v>
      </c>
      <c r="D2711" s="4">
        <v>12</v>
      </c>
      <c r="E2711" s="4" t="s">
        <v>391</v>
      </c>
    </row>
    <row r="2712" spans="1:6">
      <c r="A2712" s="4" t="s">
        <v>5809</v>
      </c>
      <c r="B2712" s="6" t="s">
        <v>5808</v>
      </c>
      <c r="C2712" s="4" t="s">
        <v>53</v>
      </c>
      <c r="D2712" s="4">
        <v>15</v>
      </c>
      <c r="E2712" s="4" t="s">
        <v>391</v>
      </c>
    </row>
    <row r="2713" spans="1:6">
      <c r="A2713" s="4" t="s">
        <v>5810</v>
      </c>
      <c r="B2713" s="6" t="s">
        <v>5808</v>
      </c>
      <c r="C2713" s="4" t="s">
        <v>1679</v>
      </c>
      <c r="D2713" s="4">
        <v>14</v>
      </c>
      <c r="E2713" s="4" t="s">
        <v>391</v>
      </c>
    </row>
    <row r="2714" spans="1:6">
      <c r="A2714" s="4" t="s">
        <v>5811</v>
      </c>
      <c r="B2714" s="6" t="s">
        <v>5808</v>
      </c>
      <c r="C2714" s="4" t="s">
        <v>2818</v>
      </c>
      <c r="D2714" s="4">
        <v>10</v>
      </c>
      <c r="E2714" s="4" t="s">
        <v>391</v>
      </c>
    </row>
    <row r="2715" spans="1:6">
      <c r="A2715" s="4" t="s">
        <v>5812</v>
      </c>
      <c r="B2715" s="6" t="s">
        <v>5808</v>
      </c>
      <c r="C2715" s="4" t="s">
        <v>37</v>
      </c>
      <c r="D2715" s="4">
        <v>15</v>
      </c>
      <c r="E2715" s="4" t="s">
        <v>391</v>
      </c>
      <c r="F2715" s="4" t="s">
        <v>306</v>
      </c>
    </row>
    <row r="2716" spans="1:6">
      <c r="A2716" s="4" t="s">
        <v>5813</v>
      </c>
      <c r="B2716" s="6" t="s">
        <v>5814</v>
      </c>
      <c r="C2716" s="4" t="s">
        <v>2085</v>
      </c>
      <c r="D2716" s="4">
        <v>13</v>
      </c>
      <c r="E2716" s="4" t="s">
        <v>5815</v>
      </c>
      <c r="F2716" s="4" t="s">
        <v>5816</v>
      </c>
    </row>
    <row r="2717" spans="1:6">
      <c r="A2717" s="4" t="s">
        <v>5817</v>
      </c>
      <c r="B2717" s="6" t="s">
        <v>5814</v>
      </c>
      <c r="C2717" s="4" t="s">
        <v>5817</v>
      </c>
      <c r="D2717" s="4">
        <v>9</v>
      </c>
      <c r="E2717" s="4" t="s">
        <v>5818</v>
      </c>
      <c r="F2717" s="4" t="s">
        <v>5819</v>
      </c>
    </row>
    <row r="2718" spans="1:6">
      <c r="A2718" s="4" t="s">
        <v>5820</v>
      </c>
      <c r="B2718" s="6" t="s">
        <v>5814</v>
      </c>
      <c r="C2718" s="4" t="s">
        <v>1180</v>
      </c>
      <c r="D2718" s="4">
        <v>9</v>
      </c>
      <c r="E2718" s="4" t="s">
        <v>5821</v>
      </c>
    </row>
    <row r="2719" spans="1:6">
      <c r="A2719" s="4" t="s">
        <v>5822</v>
      </c>
      <c r="B2719" s="6" t="s">
        <v>5814</v>
      </c>
      <c r="C2719" s="4" t="s">
        <v>285</v>
      </c>
      <c r="D2719" s="4">
        <v>10</v>
      </c>
      <c r="E2719" s="4" t="s">
        <v>235</v>
      </c>
      <c r="F2719" s="4" t="s">
        <v>4188</v>
      </c>
    </row>
    <row r="2720" spans="1:6">
      <c r="A2720" s="4" t="s">
        <v>5823</v>
      </c>
      <c r="B2720" s="6" t="s">
        <v>5814</v>
      </c>
      <c r="C2720" s="4" t="s">
        <v>53</v>
      </c>
      <c r="D2720" s="4">
        <v>13</v>
      </c>
      <c r="E2720" s="4" t="s">
        <v>5818</v>
      </c>
      <c r="F2720" s="4" t="s">
        <v>5824</v>
      </c>
    </row>
    <row r="2721" spans="1:6">
      <c r="A2721" s="4" t="s">
        <v>5825</v>
      </c>
      <c r="B2721" s="6" t="s">
        <v>5814</v>
      </c>
      <c r="C2721" s="4" t="s">
        <v>427</v>
      </c>
      <c r="D2721" s="4">
        <v>13</v>
      </c>
      <c r="E2721" s="4" t="s">
        <v>235</v>
      </c>
      <c r="F2721" s="4" t="s">
        <v>5826</v>
      </c>
    </row>
    <row r="2722" spans="1:6">
      <c r="A2722" s="4" t="s">
        <v>5827</v>
      </c>
      <c r="B2722" s="6" t="s">
        <v>5814</v>
      </c>
      <c r="C2722" s="4" t="s">
        <v>76</v>
      </c>
      <c r="D2722" s="4">
        <v>14</v>
      </c>
      <c r="E2722" s="4" t="s">
        <v>5818</v>
      </c>
    </row>
    <row r="2723" spans="1:6">
      <c r="A2723" s="4" t="s">
        <v>5828</v>
      </c>
      <c r="B2723" s="6" t="s">
        <v>5814</v>
      </c>
      <c r="C2723" s="4" t="s">
        <v>285</v>
      </c>
      <c r="D2723" s="4">
        <v>10</v>
      </c>
      <c r="E2723" s="4" t="s">
        <v>235</v>
      </c>
      <c r="F2723" s="4" t="s">
        <v>4188</v>
      </c>
    </row>
    <row r="2724" spans="1:6">
      <c r="A2724" s="4" t="s">
        <v>5829</v>
      </c>
      <c r="B2724" s="6" t="s">
        <v>5830</v>
      </c>
      <c r="C2724" s="4" t="s">
        <v>1431</v>
      </c>
      <c r="D2724" s="4">
        <v>9</v>
      </c>
      <c r="E2724" s="4" t="s">
        <v>629</v>
      </c>
      <c r="F2724" s="4" t="s">
        <v>5831</v>
      </c>
    </row>
    <row r="2725" spans="1:6">
      <c r="A2725" s="4" t="s">
        <v>5832</v>
      </c>
      <c r="B2725" s="6" t="s">
        <v>5830</v>
      </c>
      <c r="C2725" s="4" t="s">
        <v>254</v>
      </c>
      <c r="D2725" s="4">
        <v>5</v>
      </c>
      <c r="E2725" s="4" t="s">
        <v>629</v>
      </c>
      <c r="F2725" s="4" t="s">
        <v>483</v>
      </c>
    </row>
    <row r="2726" spans="1:6">
      <c r="A2726" s="4" t="s">
        <v>5833</v>
      </c>
      <c r="B2726" s="6" t="s">
        <v>5830</v>
      </c>
      <c r="C2726" s="4" t="s">
        <v>271</v>
      </c>
      <c r="D2726" s="4">
        <v>11</v>
      </c>
      <c r="E2726" s="4" t="s">
        <v>495</v>
      </c>
      <c r="F2726" s="4" t="s">
        <v>1783</v>
      </c>
    </row>
    <row r="2727" spans="1:6">
      <c r="A2727" s="4" t="s">
        <v>5834</v>
      </c>
      <c r="B2727" s="6" t="s">
        <v>5830</v>
      </c>
      <c r="C2727" s="4" t="s">
        <v>254</v>
      </c>
      <c r="D2727" s="4">
        <v>12</v>
      </c>
      <c r="E2727" s="4" t="s">
        <v>629</v>
      </c>
    </row>
    <row r="2728" spans="1:6">
      <c r="A2728" s="4" t="s">
        <v>5835</v>
      </c>
      <c r="B2728" s="6" t="s">
        <v>5830</v>
      </c>
      <c r="C2728" s="4" t="s">
        <v>23</v>
      </c>
      <c r="D2728" s="4">
        <v>8</v>
      </c>
      <c r="E2728" s="4" t="s">
        <v>629</v>
      </c>
    </row>
    <row r="2729" spans="1:6">
      <c r="A2729" s="4" t="s">
        <v>5836</v>
      </c>
      <c r="B2729" s="6" t="s">
        <v>5837</v>
      </c>
      <c r="C2729" s="4" t="s">
        <v>254</v>
      </c>
      <c r="D2729" s="4">
        <v>4</v>
      </c>
      <c r="E2729" s="4" t="s">
        <v>629</v>
      </c>
    </row>
    <row r="2730" spans="1:6">
      <c r="A2730" s="4" t="s">
        <v>5838</v>
      </c>
      <c r="B2730" s="6" t="s">
        <v>5839</v>
      </c>
      <c r="C2730" s="4" t="s">
        <v>1328</v>
      </c>
      <c r="D2730" s="4">
        <v>8</v>
      </c>
      <c r="E2730" s="4" t="s">
        <v>235</v>
      </c>
      <c r="F2730" s="4" t="s">
        <v>5840</v>
      </c>
    </row>
    <row r="2731" spans="1:6">
      <c r="A2731" s="4" t="s">
        <v>5841</v>
      </c>
      <c r="B2731" s="6" t="s">
        <v>5839</v>
      </c>
      <c r="C2731" s="4" t="s">
        <v>34</v>
      </c>
      <c r="D2731" s="4">
        <v>7</v>
      </c>
      <c r="E2731" s="4" t="s">
        <v>235</v>
      </c>
      <c r="F2731" s="4" t="s">
        <v>5842</v>
      </c>
    </row>
    <row r="2732" spans="1:6">
      <c r="A2732" s="4" t="s">
        <v>5843</v>
      </c>
      <c r="B2732" s="6" t="s">
        <v>5844</v>
      </c>
      <c r="C2732" s="4" t="s">
        <v>19</v>
      </c>
      <c r="D2732" s="4">
        <v>7</v>
      </c>
      <c r="E2732" s="4" t="s">
        <v>346</v>
      </c>
      <c r="F2732" s="4" t="s">
        <v>5845</v>
      </c>
    </row>
    <row r="2733" spans="1:6">
      <c r="A2733" s="4" t="s">
        <v>5846</v>
      </c>
      <c r="B2733" s="6" t="s">
        <v>5847</v>
      </c>
      <c r="C2733" s="4" t="s">
        <v>538</v>
      </c>
      <c r="D2733" s="4">
        <v>8</v>
      </c>
      <c r="E2733" s="4" t="s">
        <v>346</v>
      </c>
      <c r="F2733" s="4" t="s">
        <v>5848</v>
      </c>
    </row>
    <row r="2734" spans="1:6">
      <c r="A2734" s="4" t="s">
        <v>5849</v>
      </c>
      <c r="B2734" s="6" t="s">
        <v>5850</v>
      </c>
      <c r="C2734" s="4" t="s">
        <v>37</v>
      </c>
      <c r="D2734" s="4">
        <v>11</v>
      </c>
      <c r="E2734" s="4" t="s">
        <v>235</v>
      </c>
      <c r="F2734" s="4" t="s">
        <v>5851</v>
      </c>
    </row>
    <row r="2735" spans="1:6">
      <c r="A2735" s="4" t="s">
        <v>5852</v>
      </c>
      <c r="B2735" s="6" t="s">
        <v>5850</v>
      </c>
      <c r="C2735" s="4" t="s">
        <v>254</v>
      </c>
      <c r="D2735" s="4">
        <v>10</v>
      </c>
      <c r="E2735" s="4" t="s">
        <v>235</v>
      </c>
      <c r="F2735" s="4" t="s">
        <v>5853</v>
      </c>
    </row>
    <row r="2736" spans="1:6">
      <c r="A2736" s="4" t="s">
        <v>5854</v>
      </c>
      <c r="B2736" s="6" t="s">
        <v>5855</v>
      </c>
      <c r="C2736" s="4" t="s">
        <v>254</v>
      </c>
      <c r="D2736" s="4">
        <v>15</v>
      </c>
      <c r="E2736" s="4" t="s">
        <v>380</v>
      </c>
    </row>
    <row r="2737" spans="1:6">
      <c r="A2737" s="4" t="s">
        <v>5856</v>
      </c>
      <c r="B2737" s="6" t="s">
        <v>5855</v>
      </c>
      <c r="C2737" s="4" t="s">
        <v>1335</v>
      </c>
      <c r="D2737" s="4">
        <v>10</v>
      </c>
      <c r="E2737" s="4" t="s">
        <v>5857</v>
      </c>
    </row>
    <row r="2738" spans="1:6">
      <c r="A2738" s="4" t="s">
        <v>5858</v>
      </c>
      <c r="B2738" s="6" t="s">
        <v>5855</v>
      </c>
      <c r="C2738" s="4" t="s">
        <v>27</v>
      </c>
      <c r="D2738" s="4">
        <v>10</v>
      </c>
      <c r="E2738" s="4" t="s">
        <v>380</v>
      </c>
    </row>
    <row r="2739" spans="1:6">
      <c r="A2739" s="4" t="s">
        <v>5859</v>
      </c>
      <c r="B2739" s="6" t="s">
        <v>5860</v>
      </c>
      <c r="C2739" s="4" t="s">
        <v>1262</v>
      </c>
      <c r="D2739" s="4">
        <v>10</v>
      </c>
      <c r="E2739" s="4" t="s">
        <v>291</v>
      </c>
      <c r="F2739" s="4" t="s">
        <v>5861</v>
      </c>
    </row>
    <row r="2740" spans="1:6">
      <c r="A2740" s="4" t="s">
        <v>5862</v>
      </c>
      <c r="B2740" s="6" t="s">
        <v>5863</v>
      </c>
      <c r="C2740" s="4" t="s">
        <v>301</v>
      </c>
      <c r="D2740" s="4">
        <v>16</v>
      </c>
      <c r="E2740" s="4" t="s">
        <v>219</v>
      </c>
      <c r="F2740" s="4" t="s">
        <v>4609</v>
      </c>
    </row>
    <row r="2741" spans="1:6">
      <c r="A2741" s="4" t="s">
        <v>5864</v>
      </c>
      <c r="B2741" s="6" t="s">
        <v>5865</v>
      </c>
      <c r="C2741" s="4" t="s">
        <v>87</v>
      </c>
      <c r="D2741" s="4">
        <v>10</v>
      </c>
      <c r="E2741" s="4" t="s">
        <v>380</v>
      </c>
      <c r="F2741" s="4" t="s">
        <v>4415</v>
      </c>
    </row>
    <row r="2742" spans="1:6">
      <c r="A2742" s="4" t="s">
        <v>5866</v>
      </c>
      <c r="B2742" s="6" t="s">
        <v>5865</v>
      </c>
      <c r="C2742" s="4" t="s">
        <v>37</v>
      </c>
      <c r="D2742" s="4">
        <v>19</v>
      </c>
      <c r="E2742" s="4" t="s">
        <v>629</v>
      </c>
    </row>
    <row r="2743" spans="1:6">
      <c r="A2743" s="4" t="s">
        <v>5867</v>
      </c>
      <c r="B2743" s="6" t="s">
        <v>5865</v>
      </c>
      <c r="C2743" s="4" t="s">
        <v>104</v>
      </c>
      <c r="D2743" s="4">
        <v>12</v>
      </c>
      <c r="E2743" s="4" t="s">
        <v>629</v>
      </c>
      <c r="F2743" s="4" t="s">
        <v>5868</v>
      </c>
    </row>
    <row r="2744" spans="1:6">
      <c r="A2744" s="4" t="s">
        <v>414</v>
      </c>
      <c r="B2744" s="6" t="s">
        <v>5869</v>
      </c>
      <c r="C2744" s="4" t="s">
        <v>414</v>
      </c>
      <c r="D2744" s="4">
        <v>4</v>
      </c>
    </row>
    <row r="2745" spans="1:6">
      <c r="A2745" s="4" t="s">
        <v>1328</v>
      </c>
      <c r="B2745" s="6" t="s">
        <v>5869</v>
      </c>
      <c r="C2745" s="4" t="s">
        <v>1328</v>
      </c>
      <c r="D2745" s="4">
        <v>4</v>
      </c>
    </row>
    <row r="2746" spans="1:6">
      <c r="A2746" s="4" t="s">
        <v>5870</v>
      </c>
      <c r="B2746" s="6" t="s">
        <v>5871</v>
      </c>
      <c r="C2746" s="4" t="s">
        <v>860</v>
      </c>
      <c r="D2746" s="4">
        <v>15</v>
      </c>
      <c r="E2746" s="4" t="s">
        <v>629</v>
      </c>
    </row>
    <row r="2747" spans="1:6">
      <c r="A2747" s="4" t="s">
        <v>5872</v>
      </c>
      <c r="B2747" s="6" t="s">
        <v>5871</v>
      </c>
      <c r="C2747" s="4" t="s">
        <v>121</v>
      </c>
      <c r="D2747" s="4">
        <v>4</v>
      </c>
      <c r="E2747" s="4" t="s">
        <v>5873</v>
      </c>
      <c r="F2747" s="4" t="s">
        <v>5874</v>
      </c>
    </row>
    <row r="2748" spans="1:6">
      <c r="A2748" s="4" t="s">
        <v>5875</v>
      </c>
      <c r="B2748" s="6" t="s">
        <v>5871</v>
      </c>
      <c r="C2748" s="4" t="s">
        <v>414</v>
      </c>
      <c r="D2748" s="4">
        <v>15</v>
      </c>
      <c r="E2748" s="4" t="s">
        <v>629</v>
      </c>
      <c r="F2748" s="4" t="s">
        <v>5876</v>
      </c>
    </row>
    <row r="2749" spans="1:6">
      <c r="A2749" s="4" t="s">
        <v>5877</v>
      </c>
      <c r="B2749" s="6" t="s">
        <v>5871</v>
      </c>
      <c r="C2749" s="4" t="s">
        <v>4667</v>
      </c>
      <c r="D2749" s="4">
        <v>15</v>
      </c>
      <c r="E2749" s="4" t="s">
        <v>629</v>
      </c>
      <c r="F2749" s="4" t="s">
        <v>3803</v>
      </c>
    </row>
    <row r="2750" spans="1:6">
      <c r="A2750" s="4" t="s">
        <v>5878</v>
      </c>
      <c r="B2750" s="6" t="s">
        <v>5871</v>
      </c>
      <c r="C2750" s="4" t="s">
        <v>708</v>
      </c>
      <c r="D2750" s="4">
        <v>14</v>
      </c>
      <c r="E2750" s="4" t="s">
        <v>629</v>
      </c>
      <c r="F2750" s="4" t="s">
        <v>5879</v>
      </c>
    </row>
    <row r="2751" spans="1:6">
      <c r="A2751" s="4" t="s">
        <v>5880</v>
      </c>
      <c r="B2751" s="6" t="s">
        <v>5871</v>
      </c>
      <c r="C2751" s="4" t="s">
        <v>708</v>
      </c>
      <c r="D2751" s="4">
        <v>7</v>
      </c>
      <c r="E2751" s="4" t="s">
        <v>629</v>
      </c>
    </row>
    <row r="2752" spans="1:6">
      <c r="A2752" s="4" t="s">
        <v>5881</v>
      </c>
      <c r="B2752" s="6" t="s">
        <v>5882</v>
      </c>
      <c r="C2752" s="4" t="s">
        <v>53</v>
      </c>
      <c r="D2752" s="4">
        <v>9</v>
      </c>
      <c r="E2752" s="4" t="s">
        <v>235</v>
      </c>
    </row>
    <row r="2753" spans="1:6">
      <c r="A2753" s="4" t="s">
        <v>5883</v>
      </c>
      <c r="B2753" s="6" t="s">
        <v>5884</v>
      </c>
      <c r="C2753" s="4" t="s">
        <v>453</v>
      </c>
      <c r="D2753" s="4">
        <v>15</v>
      </c>
      <c r="E2753" s="4" t="s">
        <v>629</v>
      </c>
    </row>
    <row r="2754" spans="1:6">
      <c r="A2754" s="4" t="s">
        <v>5885</v>
      </c>
      <c r="B2754" s="6" t="s">
        <v>5884</v>
      </c>
      <c r="C2754" s="4" t="s">
        <v>45</v>
      </c>
      <c r="D2754" s="4">
        <v>12</v>
      </c>
      <c r="E2754" s="4" t="s">
        <v>5886</v>
      </c>
      <c r="F2754" s="4" t="s">
        <v>5887</v>
      </c>
    </row>
    <row r="2755" spans="1:6">
      <c r="A2755" s="4" t="s">
        <v>5888</v>
      </c>
      <c r="B2755" s="6" t="s">
        <v>5884</v>
      </c>
      <c r="C2755" s="4" t="s">
        <v>3483</v>
      </c>
      <c r="D2755" s="4">
        <v>11</v>
      </c>
      <c r="E2755" s="4" t="s">
        <v>5886</v>
      </c>
      <c r="F2755" s="4" t="s">
        <v>5887</v>
      </c>
    </row>
    <row r="2756" spans="1:6">
      <c r="A2756" s="4" t="s">
        <v>5889</v>
      </c>
      <c r="B2756" s="6" t="s">
        <v>5890</v>
      </c>
      <c r="C2756" s="4" t="s">
        <v>461</v>
      </c>
      <c r="D2756" s="4">
        <v>13</v>
      </c>
      <c r="E2756" s="4" t="s">
        <v>495</v>
      </c>
    </row>
    <row r="2757" spans="1:6">
      <c r="A2757" s="4" t="s">
        <v>5891</v>
      </c>
      <c r="B2757" s="6" t="s">
        <v>5890</v>
      </c>
      <c r="C2757" s="4" t="s">
        <v>252</v>
      </c>
      <c r="D2757" s="4">
        <v>18</v>
      </c>
      <c r="E2757" s="4" t="s">
        <v>5892</v>
      </c>
      <c r="F2757" s="4" t="s">
        <v>5893</v>
      </c>
    </row>
    <row r="2758" spans="1:6">
      <c r="A2758" s="4" t="s">
        <v>5894</v>
      </c>
      <c r="B2758" s="6" t="s">
        <v>5890</v>
      </c>
      <c r="C2758" s="4" t="s">
        <v>238</v>
      </c>
      <c r="D2758" s="4">
        <v>12</v>
      </c>
      <c r="E2758" s="4" t="s">
        <v>495</v>
      </c>
      <c r="F2758" s="4" t="s">
        <v>878</v>
      </c>
    </row>
    <row r="2759" spans="1:6">
      <c r="A2759" s="4" t="s">
        <v>5895</v>
      </c>
      <c r="B2759" s="6" t="s">
        <v>5890</v>
      </c>
      <c r="C2759" s="4" t="s">
        <v>427</v>
      </c>
      <c r="D2759" s="4">
        <v>15</v>
      </c>
      <c r="E2759" s="4" t="s">
        <v>495</v>
      </c>
      <c r="F2759" s="4" t="s">
        <v>5896</v>
      </c>
    </row>
    <row r="2760" spans="1:6">
      <c r="A2760" s="4" t="s">
        <v>5897</v>
      </c>
      <c r="B2760" s="6" t="s">
        <v>5898</v>
      </c>
      <c r="C2760" s="4" t="s">
        <v>860</v>
      </c>
      <c r="D2760" s="4">
        <v>13</v>
      </c>
      <c r="E2760" s="4" t="s">
        <v>495</v>
      </c>
      <c r="F2760" s="4" t="s">
        <v>5116</v>
      </c>
    </row>
    <row r="2761" spans="1:6">
      <c r="A2761" s="4" t="s">
        <v>5899</v>
      </c>
      <c r="B2761" s="6" t="s">
        <v>5900</v>
      </c>
      <c r="C2761" s="4" t="s">
        <v>23</v>
      </c>
      <c r="D2761" s="4">
        <v>15</v>
      </c>
      <c r="E2761" s="4" t="s">
        <v>3918</v>
      </c>
      <c r="F2761" s="4" t="s">
        <v>5901</v>
      </c>
    </row>
    <row r="2762" spans="1:6">
      <c r="A2762" s="4" t="s">
        <v>5902</v>
      </c>
      <c r="B2762" s="6" t="s">
        <v>5903</v>
      </c>
      <c r="C2762" s="4" t="s">
        <v>37</v>
      </c>
      <c r="D2762" s="4">
        <v>16</v>
      </c>
      <c r="E2762" s="4" t="s">
        <v>5818</v>
      </c>
    </row>
    <row r="2763" spans="1:6">
      <c r="A2763" s="4" t="s">
        <v>5904</v>
      </c>
      <c r="B2763" s="6" t="s">
        <v>5905</v>
      </c>
      <c r="C2763" s="4" t="s">
        <v>87</v>
      </c>
      <c r="D2763" s="4">
        <v>10</v>
      </c>
      <c r="E2763" s="4" t="s">
        <v>629</v>
      </c>
      <c r="F2763" s="4" t="s">
        <v>5906</v>
      </c>
    </row>
    <row r="2764" spans="1:6">
      <c r="A2764" s="4" t="s">
        <v>5907</v>
      </c>
      <c r="B2764" s="6" t="s">
        <v>5905</v>
      </c>
      <c r="C2764" s="4" t="s">
        <v>403</v>
      </c>
      <c r="D2764" s="4">
        <v>11</v>
      </c>
      <c r="E2764" s="4" t="s">
        <v>629</v>
      </c>
    </row>
    <row r="2765" spans="1:6">
      <c r="A2765" s="4" t="s">
        <v>5908</v>
      </c>
      <c r="B2765" s="6" t="s">
        <v>5905</v>
      </c>
      <c r="C2765" s="4" t="s">
        <v>34</v>
      </c>
      <c r="D2765" s="4">
        <v>7</v>
      </c>
      <c r="E2765" s="4" t="s">
        <v>629</v>
      </c>
    </row>
    <row r="2766" spans="1:6">
      <c r="A2766" s="4" t="s">
        <v>5909</v>
      </c>
      <c r="B2766" s="6" t="s">
        <v>5905</v>
      </c>
      <c r="C2766" s="4" t="s">
        <v>49</v>
      </c>
      <c r="D2766" s="4">
        <v>7</v>
      </c>
      <c r="E2766" s="4" t="s">
        <v>449</v>
      </c>
    </row>
    <row r="2767" spans="1:6">
      <c r="A2767" s="4" t="s">
        <v>5910</v>
      </c>
      <c r="B2767" s="6" t="s">
        <v>5905</v>
      </c>
      <c r="C2767" s="4" t="s">
        <v>53</v>
      </c>
      <c r="D2767" s="4">
        <v>11</v>
      </c>
      <c r="E2767" s="4" t="s">
        <v>629</v>
      </c>
    </row>
    <row r="2768" spans="1:6">
      <c r="A2768" s="4" t="s">
        <v>5911</v>
      </c>
      <c r="B2768" s="6" t="s">
        <v>5905</v>
      </c>
      <c r="C2768" s="4" t="s">
        <v>53</v>
      </c>
      <c r="D2768" s="4">
        <v>14</v>
      </c>
      <c r="E2768" s="4" t="s">
        <v>629</v>
      </c>
    </row>
    <row r="2769" spans="1:6">
      <c r="A2769" s="4" t="s">
        <v>5912</v>
      </c>
      <c r="B2769" s="6" t="s">
        <v>5905</v>
      </c>
      <c r="C2769" s="4" t="s">
        <v>427</v>
      </c>
      <c r="D2769" s="4">
        <v>13</v>
      </c>
      <c r="E2769" s="4" t="s">
        <v>629</v>
      </c>
    </row>
    <row r="2770" spans="1:6">
      <c r="A2770" s="4" t="s">
        <v>5913</v>
      </c>
      <c r="B2770" s="6" t="s">
        <v>5905</v>
      </c>
      <c r="C2770" s="4" t="s">
        <v>254</v>
      </c>
      <c r="D2770" s="4">
        <v>9</v>
      </c>
      <c r="E2770" s="4" t="s">
        <v>629</v>
      </c>
    </row>
    <row r="2771" spans="1:6">
      <c r="A2771" s="4" t="s">
        <v>5914</v>
      </c>
      <c r="B2771" s="6" t="s">
        <v>5915</v>
      </c>
      <c r="C2771" s="4" t="s">
        <v>301</v>
      </c>
      <c r="D2771" s="4">
        <v>16</v>
      </c>
      <c r="E2771" s="4" t="s">
        <v>235</v>
      </c>
      <c r="F2771" s="4" t="s">
        <v>5916</v>
      </c>
    </row>
    <row r="2772" spans="1:6">
      <c r="A2772" s="4" t="s">
        <v>5917</v>
      </c>
      <c r="B2772" s="6" t="s">
        <v>5915</v>
      </c>
      <c r="C2772" s="4" t="s">
        <v>275</v>
      </c>
      <c r="D2772" s="4">
        <v>10</v>
      </c>
      <c r="E2772" s="4" t="s">
        <v>235</v>
      </c>
      <c r="F2772" s="4" t="s">
        <v>3201</v>
      </c>
    </row>
    <row r="2773" spans="1:6">
      <c r="A2773" s="4" t="s">
        <v>5918</v>
      </c>
      <c r="B2773" s="6" t="s">
        <v>5919</v>
      </c>
      <c r="C2773" s="4" t="s">
        <v>23</v>
      </c>
      <c r="D2773" s="4">
        <v>7</v>
      </c>
      <c r="E2773" s="4" t="s">
        <v>391</v>
      </c>
      <c r="F2773" s="4" t="s">
        <v>5920</v>
      </c>
    </row>
    <row r="2774" spans="1:6">
      <c r="A2774" s="4" t="s">
        <v>5921</v>
      </c>
      <c r="B2774" s="6" t="s">
        <v>5919</v>
      </c>
      <c r="C2774" s="4" t="s">
        <v>41</v>
      </c>
      <c r="D2774" s="4">
        <v>8</v>
      </c>
      <c r="E2774" s="4" t="s">
        <v>629</v>
      </c>
    </row>
    <row r="2775" spans="1:6">
      <c r="A2775" s="4" t="s">
        <v>5922</v>
      </c>
      <c r="B2775" s="6" t="s">
        <v>5919</v>
      </c>
      <c r="C2775" s="4" t="s">
        <v>315</v>
      </c>
      <c r="D2775" s="4">
        <v>10</v>
      </c>
      <c r="E2775" s="4" t="s">
        <v>629</v>
      </c>
      <c r="F2775" s="4" t="s">
        <v>1645</v>
      </c>
    </row>
    <row r="2776" spans="1:6">
      <c r="A2776" s="4" t="s">
        <v>5923</v>
      </c>
      <c r="B2776" s="6" t="s">
        <v>5919</v>
      </c>
      <c r="C2776" s="4" t="s">
        <v>1837</v>
      </c>
      <c r="D2776" s="4">
        <v>7</v>
      </c>
      <c r="E2776" s="4" t="s">
        <v>5857</v>
      </c>
    </row>
    <row r="2777" spans="1:6">
      <c r="A2777" s="4" t="s">
        <v>5924</v>
      </c>
      <c r="B2777" s="6" t="s">
        <v>5919</v>
      </c>
      <c r="C2777" s="4" t="s">
        <v>34</v>
      </c>
      <c r="D2777" s="4">
        <v>8</v>
      </c>
      <c r="E2777" s="4" t="s">
        <v>629</v>
      </c>
    </row>
    <row r="2778" spans="1:6">
      <c r="A2778" s="4" t="s">
        <v>5925</v>
      </c>
      <c r="B2778" s="6" t="s">
        <v>5919</v>
      </c>
      <c r="C2778" s="4" t="s">
        <v>53</v>
      </c>
      <c r="D2778" s="4">
        <v>9</v>
      </c>
      <c r="E2778" s="4" t="s">
        <v>629</v>
      </c>
    </row>
    <row r="2779" spans="1:6">
      <c r="A2779" s="4" t="s">
        <v>5926</v>
      </c>
      <c r="B2779" s="6" t="s">
        <v>5919</v>
      </c>
      <c r="C2779" s="4" t="s">
        <v>1136</v>
      </c>
      <c r="D2779" s="4">
        <v>19</v>
      </c>
      <c r="E2779" s="4" t="s">
        <v>5857</v>
      </c>
    </row>
    <row r="2780" spans="1:6">
      <c r="A2780" s="4" t="s">
        <v>5927</v>
      </c>
      <c r="B2780" s="6" t="s">
        <v>5919</v>
      </c>
      <c r="C2780" s="4" t="s">
        <v>354</v>
      </c>
      <c r="D2780" s="4">
        <v>12</v>
      </c>
      <c r="E2780" s="4" t="s">
        <v>629</v>
      </c>
    </row>
    <row r="2781" spans="1:6">
      <c r="A2781" s="4" t="s">
        <v>5928</v>
      </c>
      <c r="B2781" s="6" t="s">
        <v>5919</v>
      </c>
      <c r="C2781" s="4" t="s">
        <v>254</v>
      </c>
      <c r="D2781" s="4">
        <v>10</v>
      </c>
      <c r="E2781" s="4" t="s">
        <v>629</v>
      </c>
    </row>
    <row r="2782" spans="1:6">
      <c r="A2782" s="4" t="s">
        <v>5929</v>
      </c>
      <c r="B2782" s="6" t="s">
        <v>5919</v>
      </c>
      <c r="C2782" s="4" t="s">
        <v>876</v>
      </c>
      <c r="D2782" s="4">
        <v>8</v>
      </c>
      <c r="E2782" s="4" t="s">
        <v>629</v>
      </c>
      <c r="F2782" s="4" t="s">
        <v>5930</v>
      </c>
    </row>
    <row r="2783" spans="1:6">
      <c r="A2783" s="4" t="s">
        <v>5931</v>
      </c>
      <c r="B2783" s="6" t="s">
        <v>5919</v>
      </c>
      <c r="C2783" s="4" t="s">
        <v>34</v>
      </c>
      <c r="D2783" s="4">
        <v>15</v>
      </c>
      <c r="E2783" s="4" t="s">
        <v>5932</v>
      </c>
      <c r="F2783" s="4" t="s">
        <v>5933</v>
      </c>
    </row>
    <row r="2784" spans="1:6">
      <c r="A2784" s="4" t="s">
        <v>2511</v>
      </c>
      <c r="B2784" s="6" t="s">
        <v>5934</v>
      </c>
      <c r="C2784" s="4" t="s">
        <v>2511</v>
      </c>
      <c r="D2784" s="4">
        <v>4</v>
      </c>
      <c r="E2784" s="4" t="s">
        <v>5935</v>
      </c>
      <c r="F2784" s="4" t="s">
        <v>5936</v>
      </c>
    </row>
    <row r="2785" spans="1:6">
      <c r="A2785" s="4" t="s">
        <v>5937</v>
      </c>
      <c r="B2785" s="6" t="s">
        <v>5934</v>
      </c>
      <c r="C2785" s="4" t="s">
        <v>453</v>
      </c>
      <c r="D2785" s="4">
        <v>9</v>
      </c>
      <c r="E2785" s="4" t="s">
        <v>629</v>
      </c>
      <c r="F2785" s="4" t="s">
        <v>5938</v>
      </c>
    </row>
    <row r="2786" spans="1:6">
      <c r="A2786" s="4" t="s">
        <v>5939</v>
      </c>
      <c r="B2786" s="6" t="s">
        <v>5934</v>
      </c>
      <c r="C2786" s="4" t="s">
        <v>19</v>
      </c>
      <c r="D2786" s="4">
        <v>8</v>
      </c>
      <c r="E2786" s="4" t="s">
        <v>629</v>
      </c>
      <c r="F2786" s="4" t="s">
        <v>483</v>
      </c>
    </row>
    <row r="2787" spans="1:6">
      <c r="A2787" s="4" t="s">
        <v>5940</v>
      </c>
      <c r="B2787" s="6" t="s">
        <v>5934</v>
      </c>
      <c r="C2787" s="4" t="s">
        <v>14</v>
      </c>
      <c r="D2787" s="4">
        <v>11</v>
      </c>
      <c r="E2787" s="4" t="s">
        <v>629</v>
      </c>
    </row>
    <row r="2788" spans="1:6">
      <c r="A2788" s="4" t="s">
        <v>5941</v>
      </c>
      <c r="B2788" s="6" t="s">
        <v>5934</v>
      </c>
      <c r="C2788" s="4" t="s">
        <v>27</v>
      </c>
      <c r="D2788" s="4">
        <v>11</v>
      </c>
      <c r="E2788" s="4" t="s">
        <v>629</v>
      </c>
    </row>
    <row r="2789" spans="1:6">
      <c r="A2789" s="4" t="s">
        <v>5942</v>
      </c>
      <c r="B2789" s="6" t="s">
        <v>5934</v>
      </c>
      <c r="C2789" s="4" t="s">
        <v>574</v>
      </c>
      <c r="D2789" s="4">
        <v>14</v>
      </c>
      <c r="E2789" s="4" t="s">
        <v>5857</v>
      </c>
    </row>
    <row r="2790" spans="1:6">
      <c r="A2790" s="4" t="s">
        <v>19</v>
      </c>
      <c r="B2790" s="6" t="s">
        <v>5934</v>
      </c>
      <c r="C2790" s="4" t="s">
        <v>19</v>
      </c>
      <c r="D2790" s="4">
        <v>8</v>
      </c>
      <c r="E2790" s="4" t="s">
        <v>629</v>
      </c>
    </row>
    <row r="2791" spans="1:6">
      <c r="A2791" s="4" t="s">
        <v>5943</v>
      </c>
      <c r="B2791" s="6" t="s">
        <v>5934</v>
      </c>
      <c r="C2791" s="4" t="s">
        <v>27</v>
      </c>
      <c r="D2791" s="4">
        <v>8</v>
      </c>
      <c r="E2791" s="4" t="s">
        <v>629</v>
      </c>
    </row>
    <row r="2792" spans="1:6">
      <c r="A2792" s="4" t="s">
        <v>5944</v>
      </c>
      <c r="B2792" s="6" t="s">
        <v>5945</v>
      </c>
      <c r="C2792" s="4" t="s">
        <v>354</v>
      </c>
      <c r="D2792" s="4">
        <v>8</v>
      </c>
      <c r="E2792" s="4" t="s">
        <v>495</v>
      </c>
    </row>
    <row r="2793" spans="1:6">
      <c r="A2793" s="4" t="s">
        <v>5946</v>
      </c>
      <c r="B2793" s="6" t="s">
        <v>5945</v>
      </c>
      <c r="C2793" s="4" t="s">
        <v>254</v>
      </c>
      <c r="D2793" s="4">
        <v>6</v>
      </c>
      <c r="E2793" s="4" t="s">
        <v>495</v>
      </c>
      <c r="F2793" s="4" t="s">
        <v>5947</v>
      </c>
    </row>
    <row r="2794" spans="1:6">
      <c r="A2794" s="4" t="s">
        <v>5948</v>
      </c>
      <c r="B2794" s="6" t="s">
        <v>5945</v>
      </c>
      <c r="C2794" s="4" t="s">
        <v>351</v>
      </c>
      <c r="D2794" s="4">
        <v>12</v>
      </c>
      <c r="E2794" s="4" t="s">
        <v>495</v>
      </c>
    </row>
    <row r="2795" spans="1:6">
      <c r="A2795" s="4" t="s">
        <v>5949</v>
      </c>
      <c r="B2795" s="6" t="s">
        <v>5950</v>
      </c>
      <c r="C2795" s="4" t="s">
        <v>121</v>
      </c>
      <c r="D2795" s="4">
        <v>8</v>
      </c>
      <c r="E2795" s="4" t="s">
        <v>5815</v>
      </c>
      <c r="F2795" s="4" t="s">
        <v>5951</v>
      </c>
    </row>
    <row r="2796" spans="1:6">
      <c r="A2796" s="4" t="s">
        <v>5952</v>
      </c>
      <c r="B2796" s="6" t="s">
        <v>5950</v>
      </c>
      <c r="C2796" s="4" t="s">
        <v>132</v>
      </c>
      <c r="D2796" s="4">
        <v>14</v>
      </c>
      <c r="E2796" s="4" t="s">
        <v>235</v>
      </c>
      <c r="F2796" s="4" t="s">
        <v>5953</v>
      </c>
    </row>
    <row r="2797" spans="1:6">
      <c r="A2797" s="4" t="s">
        <v>5954</v>
      </c>
      <c r="B2797" s="6" t="s">
        <v>5955</v>
      </c>
      <c r="C2797" s="4" t="s">
        <v>354</v>
      </c>
      <c r="D2797" s="4">
        <v>8</v>
      </c>
      <c r="E2797" s="4" t="s">
        <v>346</v>
      </c>
    </row>
    <row r="2798" spans="1:6">
      <c r="A2798" s="4" t="s">
        <v>5956</v>
      </c>
      <c r="B2798" s="6" t="s">
        <v>5955</v>
      </c>
      <c r="C2798" s="4" t="s">
        <v>49</v>
      </c>
      <c r="D2798" s="4">
        <v>7</v>
      </c>
      <c r="E2798" s="4" t="s">
        <v>235</v>
      </c>
      <c r="F2798" s="4" t="s">
        <v>5957</v>
      </c>
    </row>
    <row r="2799" spans="1:6">
      <c r="A2799" s="4" t="s">
        <v>5958</v>
      </c>
      <c r="B2799" s="6" t="s">
        <v>5955</v>
      </c>
      <c r="C2799" s="4" t="s">
        <v>14</v>
      </c>
      <c r="D2799" s="4">
        <v>7</v>
      </c>
      <c r="E2799" s="4" t="s">
        <v>346</v>
      </c>
      <c r="F2799" s="4" t="s">
        <v>5959</v>
      </c>
    </row>
    <row r="2800" spans="1:6">
      <c r="A2800" s="4" t="s">
        <v>296</v>
      </c>
      <c r="B2800" s="6" t="s">
        <v>5955</v>
      </c>
      <c r="C2800" s="4" t="s">
        <v>296</v>
      </c>
      <c r="D2800" s="4">
        <v>4</v>
      </c>
      <c r="E2800" s="4" t="s">
        <v>235</v>
      </c>
      <c r="F2800" s="4" t="s">
        <v>2972</v>
      </c>
    </row>
    <row r="2801" spans="1:6">
      <c r="A2801" s="4" t="s">
        <v>5960</v>
      </c>
      <c r="B2801" s="6" t="s">
        <v>5955</v>
      </c>
      <c r="C2801" s="4" t="s">
        <v>53</v>
      </c>
      <c r="D2801" s="4">
        <v>8</v>
      </c>
      <c r="E2801" s="4" t="s">
        <v>235</v>
      </c>
    </row>
    <row r="2802" spans="1:6">
      <c r="A2802" s="4" t="s">
        <v>2818</v>
      </c>
      <c r="B2802" s="6" t="s">
        <v>5955</v>
      </c>
      <c r="C2802" s="4" t="s">
        <v>2818</v>
      </c>
      <c r="D2802" s="4">
        <v>2</v>
      </c>
    </row>
    <row r="2803" spans="1:6">
      <c r="A2803" s="4" t="s">
        <v>5961</v>
      </c>
      <c r="B2803" s="6" t="s">
        <v>5962</v>
      </c>
      <c r="C2803" s="4" t="s">
        <v>27</v>
      </c>
      <c r="D2803" s="4">
        <v>7</v>
      </c>
      <c r="E2803" s="4" t="s">
        <v>428</v>
      </c>
    </row>
    <row r="2804" spans="1:6">
      <c r="A2804" s="4" t="s">
        <v>5963</v>
      </c>
      <c r="B2804" s="6" t="s">
        <v>5964</v>
      </c>
      <c r="C2804" s="4" t="s">
        <v>301</v>
      </c>
      <c r="D2804" s="4">
        <v>10</v>
      </c>
      <c r="E2804" s="4" t="s">
        <v>428</v>
      </c>
      <c r="F2804" s="4" t="s">
        <v>5965</v>
      </c>
    </row>
    <row r="2805" spans="1:6">
      <c r="A2805" s="4" t="s">
        <v>5966</v>
      </c>
      <c r="B2805" s="6" t="s">
        <v>5967</v>
      </c>
      <c r="C2805" s="4" t="s">
        <v>301</v>
      </c>
      <c r="D2805" s="4">
        <v>16</v>
      </c>
      <c r="E2805" s="4" t="s">
        <v>687</v>
      </c>
      <c r="F2805" s="4" t="s">
        <v>5968</v>
      </c>
    </row>
    <row r="2806" spans="1:6">
      <c r="A2806" s="4" t="s">
        <v>5969</v>
      </c>
      <c r="B2806" s="6" t="s">
        <v>5970</v>
      </c>
      <c r="C2806" s="4" t="s">
        <v>223</v>
      </c>
      <c r="D2806" s="4">
        <v>14</v>
      </c>
      <c r="E2806" s="4" t="s">
        <v>495</v>
      </c>
    </row>
    <row r="2807" spans="1:6">
      <c r="A2807" s="4" t="s">
        <v>5971</v>
      </c>
      <c r="B2807" s="6" t="s">
        <v>5970</v>
      </c>
      <c r="C2807" s="4" t="s">
        <v>34</v>
      </c>
      <c r="D2807" s="4">
        <v>12</v>
      </c>
      <c r="E2807" s="4" t="s">
        <v>5972</v>
      </c>
    </row>
    <row r="2808" spans="1:6">
      <c r="A2808" s="4" t="s">
        <v>5973</v>
      </c>
      <c r="B2808" s="6" t="s">
        <v>5974</v>
      </c>
      <c r="C2808" s="4" t="s">
        <v>2961</v>
      </c>
      <c r="D2808" s="4">
        <v>18</v>
      </c>
      <c r="E2808" s="4" t="s">
        <v>5972</v>
      </c>
    </row>
    <row r="2809" spans="1:6">
      <c r="A2809" s="4" t="s">
        <v>1078</v>
      </c>
      <c r="B2809" s="6" t="s">
        <v>5975</v>
      </c>
      <c r="C2809" s="4" t="s">
        <v>1078</v>
      </c>
      <c r="D2809" s="4">
        <v>4</v>
      </c>
      <c r="E2809" s="4" t="s">
        <v>721</v>
      </c>
    </row>
    <row r="2810" spans="1:6">
      <c r="A2810" s="4" t="s">
        <v>5976</v>
      </c>
      <c r="B2810" s="6" t="s">
        <v>5975</v>
      </c>
      <c r="C2810" s="4" t="s">
        <v>53</v>
      </c>
      <c r="D2810" s="4">
        <v>10</v>
      </c>
      <c r="E2810" s="4" t="s">
        <v>1307</v>
      </c>
    </row>
    <row r="2811" spans="1:6">
      <c r="A2811" s="4" t="s">
        <v>548</v>
      </c>
      <c r="B2811" s="6" t="s">
        <v>5975</v>
      </c>
      <c r="C2811" s="4" t="s">
        <v>548</v>
      </c>
      <c r="D2811" s="4">
        <v>6</v>
      </c>
      <c r="E2811" s="4" t="s">
        <v>2604</v>
      </c>
      <c r="F2811" s="4" t="s">
        <v>5977</v>
      </c>
    </row>
    <row r="2812" spans="1:6">
      <c r="A2812" s="4" t="s">
        <v>5978</v>
      </c>
      <c r="B2812" s="6" t="s">
        <v>5975</v>
      </c>
      <c r="C2812" s="4" t="s">
        <v>23</v>
      </c>
      <c r="D2812" s="4">
        <v>9</v>
      </c>
      <c r="E2812" s="4" t="s">
        <v>2519</v>
      </c>
    </row>
    <row r="2813" spans="1:6">
      <c r="A2813" s="4" t="s">
        <v>5979</v>
      </c>
      <c r="B2813" s="6" t="s">
        <v>5975</v>
      </c>
      <c r="C2813" s="4" t="s">
        <v>27</v>
      </c>
      <c r="D2813" s="4">
        <v>12</v>
      </c>
      <c r="E2813" s="4" t="s">
        <v>721</v>
      </c>
      <c r="F2813" s="4" t="s">
        <v>5980</v>
      </c>
    </row>
    <row r="2814" spans="1:6">
      <c r="A2814" s="4" t="s">
        <v>5981</v>
      </c>
      <c r="B2814" s="6" t="s">
        <v>5982</v>
      </c>
      <c r="C2814" s="4" t="s">
        <v>963</v>
      </c>
      <c r="D2814" s="4">
        <v>8</v>
      </c>
      <c r="E2814" s="4" t="s">
        <v>805</v>
      </c>
    </row>
    <row r="2815" spans="1:6">
      <c r="A2815" s="4" t="s">
        <v>5983</v>
      </c>
      <c r="B2815" s="6" t="s">
        <v>5984</v>
      </c>
      <c r="C2815" s="4" t="s">
        <v>2568</v>
      </c>
      <c r="D2815" s="4">
        <v>18</v>
      </c>
      <c r="E2815" s="4" t="s">
        <v>731</v>
      </c>
      <c r="F2815" s="4" t="s">
        <v>1036</v>
      </c>
    </row>
    <row r="2816" spans="1:6">
      <c r="A2816" s="4" t="s">
        <v>5985</v>
      </c>
      <c r="B2816" s="6" t="s">
        <v>5984</v>
      </c>
      <c r="C2816" s="4" t="s">
        <v>110</v>
      </c>
      <c r="D2816" s="4">
        <v>14</v>
      </c>
      <c r="E2816" s="4" t="s">
        <v>731</v>
      </c>
      <c r="F2816" s="4" t="s">
        <v>3418</v>
      </c>
    </row>
    <row r="2817" spans="1:6">
      <c r="A2817" s="4" t="s">
        <v>5986</v>
      </c>
      <c r="B2817" s="6" t="s">
        <v>5984</v>
      </c>
      <c r="C2817" s="4" t="s">
        <v>45</v>
      </c>
      <c r="D2817" s="4">
        <v>8</v>
      </c>
      <c r="E2817" s="4" t="s">
        <v>731</v>
      </c>
    </row>
    <row r="2818" spans="1:6">
      <c r="A2818" s="4" t="s">
        <v>5987</v>
      </c>
      <c r="B2818" s="6" t="s">
        <v>5984</v>
      </c>
      <c r="C2818" s="4" t="s">
        <v>53</v>
      </c>
      <c r="D2818" s="4">
        <v>12</v>
      </c>
      <c r="E2818" s="4" t="s">
        <v>731</v>
      </c>
      <c r="F2818" s="4" t="s">
        <v>1529</v>
      </c>
    </row>
    <row r="2819" spans="1:6">
      <c r="A2819" s="4" t="s">
        <v>5988</v>
      </c>
      <c r="B2819" s="6" t="s">
        <v>5989</v>
      </c>
      <c r="C2819" s="4" t="s">
        <v>3483</v>
      </c>
      <c r="D2819" s="4">
        <v>9</v>
      </c>
      <c r="E2819" s="4" t="s">
        <v>731</v>
      </c>
      <c r="F2819" s="4" t="s">
        <v>5990</v>
      </c>
    </row>
    <row r="2820" spans="1:6">
      <c r="A2820" s="4" t="s">
        <v>5991</v>
      </c>
      <c r="B2820" s="6" t="s">
        <v>5992</v>
      </c>
      <c r="C2820" s="4" t="s">
        <v>976</v>
      </c>
      <c r="D2820" s="4">
        <v>6</v>
      </c>
      <c r="E2820" s="4" t="s">
        <v>752</v>
      </c>
      <c r="F2820" s="4" t="s">
        <v>5993</v>
      </c>
    </row>
    <row r="2821" spans="1:6">
      <c r="A2821" s="4" t="s">
        <v>5994</v>
      </c>
      <c r="B2821" s="6" t="s">
        <v>5992</v>
      </c>
      <c r="C2821" s="4" t="s">
        <v>87</v>
      </c>
      <c r="D2821" s="4">
        <v>9</v>
      </c>
      <c r="E2821" s="4" t="s">
        <v>752</v>
      </c>
    </row>
    <row r="2822" spans="1:6">
      <c r="A2822" s="4" t="s">
        <v>5995</v>
      </c>
      <c r="B2822" s="6" t="s">
        <v>5992</v>
      </c>
      <c r="C2822" s="4" t="s">
        <v>104</v>
      </c>
      <c r="D2822" s="4">
        <v>9</v>
      </c>
      <c r="E2822" s="4" t="s">
        <v>752</v>
      </c>
    </row>
    <row r="2823" spans="1:6">
      <c r="A2823" s="4" t="s">
        <v>5996</v>
      </c>
      <c r="B2823" s="6" t="s">
        <v>5997</v>
      </c>
      <c r="C2823" s="4" t="s">
        <v>275</v>
      </c>
      <c r="D2823" s="4">
        <v>12</v>
      </c>
      <c r="E2823" s="4" t="s">
        <v>721</v>
      </c>
      <c r="F2823" s="4" t="s">
        <v>5998</v>
      </c>
    </row>
    <row r="2824" spans="1:6">
      <c r="A2824" s="4" t="s">
        <v>5999</v>
      </c>
      <c r="B2824" s="6" t="s">
        <v>6000</v>
      </c>
      <c r="C2824" s="4" t="s">
        <v>179</v>
      </c>
      <c r="D2824" s="4">
        <v>11</v>
      </c>
      <c r="E2824" s="4" t="s">
        <v>789</v>
      </c>
      <c r="F2824" s="4" t="s">
        <v>3685</v>
      </c>
    </row>
    <row r="2825" spans="1:6">
      <c r="A2825" s="4" t="s">
        <v>6001</v>
      </c>
      <c r="B2825" s="6" t="s">
        <v>6000</v>
      </c>
      <c r="C2825" s="4" t="s">
        <v>53</v>
      </c>
      <c r="D2825" s="4">
        <v>15</v>
      </c>
      <c r="E2825" s="4" t="s">
        <v>789</v>
      </c>
    </row>
    <row r="2826" spans="1:6">
      <c r="A2826" s="4" t="s">
        <v>6002</v>
      </c>
      <c r="B2826" s="6" t="s">
        <v>6000</v>
      </c>
      <c r="C2826" s="4" t="s">
        <v>53</v>
      </c>
      <c r="D2826" s="4">
        <v>12</v>
      </c>
      <c r="E2826" s="4" t="s">
        <v>789</v>
      </c>
    </row>
    <row r="2827" spans="1:6">
      <c r="A2827" s="4" t="s">
        <v>6003</v>
      </c>
      <c r="B2827" s="6" t="s">
        <v>6004</v>
      </c>
      <c r="C2827" s="4" t="s">
        <v>81</v>
      </c>
      <c r="D2827" s="4">
        <v>8</v>
      </c>
      <c r="E2827" s="4" t="s">
        <v>1352</v>
      </c>
      <c r="F2827" s="4" t="s">
        <v>6005</v>
      </c>
    </row>
    <row r="2828" spans="1:6">
      <c r="A2828" s="4" t="s">
        <v>6006</v>
      </c>
      <c r="B2828" s="6" t="s">
        <v>6004</v>
      </c>
      <c r="C2828" s="4" t="s">
        <v>551</v>
      </c>
      <c r="D2828" s="4">
        <v>8</v>
      </c>
      <c r="E2828" s="4" t="s">
        <v>721</v>
      </c>
      <c r="F2828" s="4" t="s">
        <v>6007</v>
      </c>
    </row>
    <row r="2829" spans="1:6">
      <c r="A2829" s="4" t="s">
        <v>6008</v>
      </c>
      <c r="B2829" s="6" t="s">
        <v>6004</v>
      </c>
      <c r="C2829" s="4" t="s">
        <v>81</v>
      </c>
      <c r="D2829" s="4">
        <v>9</v>
      </c>
      <c r="E2829" s="4" t="s">
        <v>1352</v>
      </c>
      <c r="F2829" s="4" t="s">
        <v>6005</v>
      </c>
    </row>
    <row r="2830" spans="1:6">
      <c r="A2830" s="4" t="s">
        <v>6009</v>
      </c>
      <c r="B2830" s="6" t="s">
        <v>6004</v>
      </c>
      <c r="C2830" s="4" t="s">
        <v>121</v>
      </c>
      <c r="D2830" s="4">
        <v>4</v>
      </c>
      <c r="E2830" s="4" t="s">
        <v>805</v>
      </c>
    </row>
    <row r="2831" spans="1:6">
      <c r="A2831" s="4" t="s">
        <v>6010</v>
      </c>
      <c r="B2831" s="6" t="s">
        <v>6011</v>
      </c>
      <c r="C2831" s="4" t="s">
        <v>453</v>
      </c>
      <c r="D2831" s="4">
        <v>11</v>
      </c>
      <c r="E2831" s="4" t="s">
        <v>731</v>
      </c>
      <c r="F2831" s="4" t="s">
        <v>6012</v>
      </c>
    </row>
    <row r="2832" spans="1:6">
      <c r="A2832" s="4" t="s">
        <v>6013</v>
      </c>
      <c r="B2832" s="6" t="s">
        <v>6011</v>
      </c>
      <c r="C2832" s="4" t="s">
        <v>195</v>
      </c>
      <c r="D2832" s="4">
        <v>16</v>
      </c>
      <c r="E2832" s="4" t="s">
        <v>731</v>
      </c>
      <c r="F2832" s="4" t="s">
        <v>6014</v>
      </c>
    </row>
    <row r="2833" spans="1:6">
      <c r="A2833" s="4" t="s">
        <v>6015</v>
      </c>
      <c r="B2833" s="6" t="s">
        <v>6011</v>
      </c>
      <c r="C2833" s="4" t="s">
        <v>81</v>
      </c>
      <c r="D2833" s="4">
        <v>14</v>
      </c>
      <c r="E2833" s="4" t="s">
        <v>731</v>
      </c>
      <c r="F2833" s="4" t="s">
        <v>6016</v>
      </c>
    </row>
    <row r="2834" spans="1:6">
      <c r="A2834" s="4" t="s">
        <v>6017</v>
      </c>
      <c r="B2834" s="6" t="s">
        <v>6011</v>
      </c>
      <c r="C2834" s="4" t="s">
        <v>785</v>
      </c>
      <c r="D2834" s="4">
        <v>5</v>
      </c>
      <c r="E2834" s="4" t="s">
        <v>731</v>
      </c>
    </row>
    <row r="2835" spans="1:6">
      <c r="A2835" s="4" t="s">
        <v>6018</v>
      </c>
      <c r="B2835" s="6" t="s">
        <v>6011</v>
      </c>
      <c r="C2835" s="4" t="s">
        <v>6019</v>
      </c>
      <c r="D2835" s="4">
        <v>16</v>
      </c>
      <c r="E2835" s="4" t="s">
        <v>731</v>
      </c>
      <c r="F2835" s="4" t="s">
        <v>6014</v>
      </c>
    </row>
    <row r="2836" spans="1:6">
      <c r="A2836" s="4" t="s">
        <v>6020</v>
      </c>
      <c r="B2836" s="6" t="s">
        <v>6021</v>
      </c>
      <c r="C2836" s="4" t="s">
        <v>785</v>
      </c>
      <c r="D2836" s="4">
        <v>7</v>
      </c>
      <c r="E2836" s="4" t="s">
        <v>1064</v>
      </c>
      <c r="F2836" s="4" t="s">
        <v>6022</v>
      </c>
    </row>
    <row r="2837" spans="1:6">
      <c r="A2837" s="4" t="s">
        <v>6023</v>
      </c>
      <c r="B2837" s="6" t="s">
        <v>6024</v>
      </c>
      <c r="C2837" s="4" t="s">
        <v>34</v>
      </c>
      <c r="D2837" s="4">
        <v>9</v>
      </c>
      <c r="E2837" s="4" t="s">
        <v>825</v>
      </c>
      <c r="F2837" s="4" t="s">
        <v>6025</v>
      </c>
    </row>
    <row r="2838" spans="1:6">
      <c r="A2838" s="4" t="s">
        <v>6026</v>
      </c>
      <c r="B2838" s="6" t="s">
        <v>6027</v>
      </c>
      <c r="C2838" s="4" t="s">
        <v>49</v>
      </c>
      <c r="D2838" s="4">
        <v>11</v>
      </c>
      <c r="E2838" s="4" t="s">
        <v>721</v>
      </c>
    </row>
    <row r="2839" spans="1:6">
      <c r="A2839" s="4" t="s">
        <v>6028</v>
      </c>
      <c r="B2839" s="6" t="s">
        <v>6027</v>
      </c>
      <c r="C2839" s="4" t="s">
        <v>53</v>
      </c>
      <c r="D2839" s="4">
        <v>8</v>
      </c>
      <c r="E2839" s="4" t="s">
        <v>721</v>
      </c>
      <c r="F2839" s="4" t="s">
        <v>6029</v>
      </c>
    </row>
    <row r="2840" spans="1:6">
      <c r="A2840" s="4" t="s">
        <v>6030</v>
      </c>
      <c r="B2840" s="6" t="s">
        <v>6027</v>
      </c>
      <c r="C2840" s="4" t="s">
        <v>45</v>
      </c>
      <c r="D2840" s="4">
        <v>14</v>
      </c>
      <c r="E2840" s="4" t="s">
        <v>721</v>
      </c>
      <c r="F2840" s="4" t="s">
        <v>6031</v>
      </c>
    </row>
    <row r="2841" spans="1:6">
      <c r="A2841" s="4" t="s">
        <v>6032</v>
      </c>
      <c r="B2841" s="6" t="s">
        <v>6033</v>
      </c>
      <c r="C2841" s="4" t="s">
        <v>34</v>
      </c>
      <c r="D2841" s="4">
        <v>8</v>
      </c>
      <c r="E2841" s="4" t="s">
        <v>805</v>
      </c>
    </row>
    <row r="2842" spans="1:6">
      <c r="A2842" s="4" t="s">
        <v>6034</v>
      </c>
      <c r="B2842" s="6" t="s">
        <v>6033</v>
      </c>
      <c r="C2842" s="4" t="s">
        <v>34</v>
      </c>
      <c r="D2842" s="4">
        <v>11</v>
      </c>
      <c r="E2842" s="4" t="s">
        <v>2604</v>
      </c>
      <c r="F2842" s="4" t="s">
        <v>2419</v>
      </c>
    </row>
    <row r="2843" spans="1:6">
      <c r="A2843" s="4" t="s">
        <v>6035</v>
      </c>
      <c r="B2843" s="6" t="s">
        <v>6033</v>
      </c>
      <c r="C2843" s="4" t="s">
        <v>34</v>
      </c>
      <c r="D2843" s="4">
        <v>9</v>
      </c>
      <c r="E2843" s="4" t="s">
        <v>805</v>
      </c>
    </row>
    <row r="2844" spans="1:6">
      <c r="A2844" s="4" t="s">
        <v>6036</v>
      </c>
      <c r="B2844" s="6" t="s">
        <v>6033</v>
      </c>
      <c r="C2844" s="4" t="s">
        <v>53</v>
      </c>
      <c r="D2844" s="4">
        <v>9</v>
      </c>
      <c r="E2844" s="4" t="s">
        <v>805</v>
      </c>
    </row>
    <row r="2845" spans="1:6">
      <c r="A2845" s="4" t="s">
        <v>6037</v>
      </c>
      <c r="B2845" s="6" t="s">
        <v>6038</v>
      </c>
      <c r="C2845" s="4" t="s">
        <v>390</v>
      </c>
      <c r="D2845" s="4">
        <v>13</v>
      </c>
      <c r="E2845" s="4" t="s">
        <v>852</v>
      </c>
    </row>
    <row r="2846" spans="1:6">
      <c r="A2846" s="4" t="s">
        <v>6039</v>
      </c>
      <c r="B2846" s="6" t="s">
        <v>6040</v>
      </c>
      <c r="C2846" s="4" t="s">
        <v>403</v>
      </c>
      <c r="D2846" s="4">
        <v>14</v>
      </c>
      <c r="E2846" s="4" t="s">
        <v>731</v>
      </c>
      <c r="F2846" s="4" t="s">
        <v>6041</v>
      </c>
    </row>
    <row r="2847" spans="1:6">
      <c r="A2847" s="4" t="s">
        <v>6042</v>
      </c>
      <c r="B2847" s="6" t="s">
        <v>6043</v>
      </c>
      <c r="C2847" s="4" t="s">
        <v>41</v>
      </c>
      <c r="D2847" s="4">
        <v>5</v>
      </c>
      <c r="E2847" s="4" t="s">
        <v>752</v>
      </c>
      <c r="F2847" s="4" t="s">
        <v>6044</v>
      </c>
    </row>
    <row r="2848" spans="1:6">
      <c r="A2848" s="4" t="s">
        <v>6045</v>
      </c>
      <c r="B2848" s="6" t="s">
        <v>6043</v>
      </c>
      <c r="C2848" s="4" t="s">
        <v>41</v>
      </c>
      <c r="D2848" s="4">
        <v>15</v>
      </c>
      <c r="E2848" s="4" t="s">
        <v>752</v>
      </c>
      <c r="F2848" s="4" t="s">
        <v>6044</v>
      </c>
    </row>
    <row r="2849" spans="1:6">
      <c r="A2849" s="4" t="s">
        <v>6046</v>
      </c>
      <c r="B2849" s="6" t="s">
        <v>6047</v>
      </c>
      <c r="C2849" s="4" t="s">
        <v>574</v>
      </c>
      <c r="D2849" s="4">
        <v>9</v>
      </c>
      <c r="E2849" s="4" t="s">
        <v>6048</v>
      </c>
      <c r="F2849" s="4" t="s">
        <v>6049</v>
      </c>
    </row>
    <row r="2850" spans="1:6">
      <c r="A2850" s="4" t="s">
        <v>6050</v>
      </c>
      <c r="B2850" s="6" t="s">
        <v>6047</v>
      </c>
      <c r="C2850" s="4" t="s">
        <v>23</v>
      </c>
      <c r="D2850" s="4">
        <v>7</v>
      </c>
      <c r="E2850" s="4" t="s">
        <v>3215</v>
      </c>
      <c r="F2850" s="4" t="s">
        <v>6051</v>
      </c>
    </row>
    <row r="2851" spans="1:6">
      <c r="A2851" s="4" t="s">
        <v>6052</v>
      </c>
      <c r="B2851" s="6" t="s">
        <v>6047</v>
      </c>
      <c r="C2851" s="4" t="s">
        <v>27</v>
      </c>
      <c r="D2851" s="4">
        <v>7</v>
      </c>
      <c r="E2851" s="4" t="s">
        <v>877</v>
      </c>
    </row>
    <row r="2852" spans="1:6">
      <c r="A2852" s="4" t="s">
        <v>6053</v>
      </c>
      <c r="B2852" s="6" t="s">
        <v>6047</v>
      </c>
      <c r="C2852" s="4" t="s">
        <v>53</v>
      </c>
      <c r="D2852" s="4">
        <v>11</v>
      </c>
      <c r="E2852" s="4" t="s">
        <v>3215</v>
      </c>
    </row>
    <row r="2853" spans="1:6">
      <c r="A2853" s="4" t="s">
        <v>6054</v>
      </c>
      <c r="B2853" s="6" t="s">
        <v>6047</v>
      </c>
      <c r="C2853" s="4" t="s">
        <v>590</v>
      </c>
      <c r="D2853" s="4">
        <v>14</v>
      </c>
      <c r="E2853" s="4" t="s">
        <v>3215</v>
      </c>
      <c r="F2853" s="4" t="s">
        <v>6055</v>
      </c>
    </row>
    <row r="2854" spans="1:6">
      <c r="A2854" s="4" t="s">
        <v>6056</v>
      </c>
      <c r="B2854" s="6" t="s">
        <v>6047</v>
      </c>
      <c r="C2854" s="4" t="s">
        <v>590</v>
      </c>
      <c r="D2854" s="4">
        <v>14</v>
      </c>
      <c r="E2854" s="4" t="s">
        <v>3215</v>
      </c>
      <c r="F2854" s="4" t="s">
        <v>6055</v>
      </c>
    </row>
    <row r="2855" spans="1:6">
      <c r="A2855" s="4" t="s">
        <v>6057</v>
      </c>
      <c r="B2855" s="6" t="s">
        <v>6058</v>
      </c>
      <c r="C2855" s="4" t="s">
        <v>53</v>
      </c>
      <c r="D2855" s="4">
        <v>16</v>
      </c>
      <c r="E2855" s="4" t="s">
        <v>832</v>
      </c>
      <c r="F2855" s="4" t="s">
        <v>6059</v>
      </c>
    </row>
    <row r="2856" spans="1:6">
      <c r="A2856" s="4" t="s">
        <v>6060</v>
      </c>
      <c r="B2856" s="6" t="s">
        <v>6061</v>
      </c>
      <c r="C2856" s="4" t="s">
        <v>53</v>
      </c>
      <c r="D2856" s="4">
        <v>9</v>
      </c>
      <c r="E2856" s="4" t="s">
        <v>3381</v>
      </c>
    </row>
    <row r="2857" spans="1:6">
      <c r="A2857" s="4" t="s">
        <v>6062</v>
      </c>
      <c r="B2857" s="6" t="s">
        <v>6063</v>
      </c>
      <c r="C2857" s="4" t="s">
        <v>1851</v>
      </c>
      <c r="D2857" s="4">
        <v>13</v>
      </c>
      <c r="E2857" s="4" t="s">
        <v>6064</v>
      </c>
      <c r="F2857" s="4" t="s">
        <v>6065</v>
      </c>
    </row>
    <row r="2858" spans="1:6">
      <c r="A2858" s="4" t="s">
        <v>6066</v>
      </c>
      <c r="B2858" s="6" t="s">
        <v>6063</v>
      </c>
      <c r="C2858" s="4" t="s">
        <v>1231</v>
      </c>
      <c r="D2858" s="4">
        <v>19</v>
      </c>
      <c r="E2858" s="4" t="s">
        <v>6067</v>
      </c>
      <c r="F2858" s="4" t="s">
        <v>6068</v>
      </c>
    </row>
    <row r="2859" spans="1:6">
      <c r="A2859" s="4" t="s">
        <v>6069</v>
      </c>
      <c r="B2859" s="6" t="s">
        <v>6070</v>
      </c>
      <c r="C2859" s="4" t="s">
        <v>179</v>
      </c>
      <c r="D2859" s="4">
        <v>10</v>
      </c>
      <c r="E2859" s="4" t="s">
        <v>6064</v>
      </c>
      <c r="F2859" s="4" t="s">
        <v>468</v>
      </c>
    </row>
    <row r="2860" spans="1:6">
      <c r="A2860" s="4" t="s">
        <v>6071</v>
      </c>
      <c r="B2860" s="6" t="s">
        <v>6072</v>
      </c>
      <c r="C2860" s="4" t="s">
        <v>27</v>
      </c>
      <c r="D2860" s="4">
        <v>11</v>
      </c>
      <c r="E2860" s="4" t="s">
        <v>3671</v>
      </c>
      <c r="F2860" s="4" t="s">
        <v>2729</v>
      </c>
    </row>
    <row r="2861" spans="1:6">
      <c r="A2861" s="4" t="s">
        <v>6073</v>
      </c>
      <c r="B2861" s="6" t="s">
        <v>6072</v>
      </c>
      <c r="C2861" s="4" t="s">
        <v>34</v>
      </c>
      <c r="D2861" s="4">
        <v>11</v>
      </c>
      <c r="E2861" s="4" t="s">
        <v>3671</v>
      </c>
      <c r="F2861" s="4" t="s">
        <v>2162</v>
      </c>
    </row>
    <row r="2862" spans="1:6">
      <c r="A2862" s="4" t="s">
        <v>6074</v>
      </c>
      <c r="B2862" s="6" t="s">
        <v>6072</v>
      </c>
      <c r="C2862" s="4" t="s">
        <v>254</v>
      </c>
      <c r="D2862" s="4">
        <v>10</v>
      </c>
      <c r="E2862" s="4" t="s">
        <v>3671</v>
      </c>
    </row>
    <row r="2863" spans="1:6">
      <c r="A2863" s="4" t="s">
        <v>6075</v>
      </c>
      <c r="B2863" s="6" t="s">
        <v>6072</v>
      </c>
      <c r="C2863" s="4" t="s">
        <v>1425</v>
      </c>
      <c r="D2863" s="4">
        <v>13</v>
      </c>
      <c r="E2863" s="4" t="s">
        <v>6076</v>
      </c>
    </row>
    <row r="2864" spans="1:6">
      <c r="A2864" s="4" t="s">
        <v>6077</v>
      </c>
      <c r="B2864" s="6" t="s">
        <v>6072</v>
      </c>
      <c r="C2864" s="4" t="s">
        <v>285</v>
      </c>
      <c r="D2864" s="4">
        <v>11</v>
      </c>
      <c r="E2864" s="4" t="s">
        <v>3671</v>
      </c>
    </row>
    <row r="2865" spans="1:6">
      <c r="A2865" s="4" t="s">
        <v>6078</v>
      </c>
      <c r="B2865" s="6" t="s">
        <v>6079</v>
      </c>
      <c r="C2865" s="4" t="s">
        <v>860</v>
      </c>
      <c r="D2865" s="4">
        <v>8</v>
      </c>
      <c r="E2865" s="4" t="s">
        <v>752</v>
      </c>
      <c r="F2865" s="4" t="s">
        <v>6080</v>
      </c>
    </row>
    <row r="2866" spans="1:6">
      <c r="A2866" s="4" t="s">
        <v>6081</v>
      </c>
      <c r="B2866" s="6" t="s">
        <v>6082</v>
      </c>
      <c r="C2866" s="4" t="s">
        <v>34</v>
      </c>
      <c r="D2866" s="4">
        <v>11</v>
      </c>
      <c r="E2866" s="4" t="s">
        <v>799</v>
      </c>
      <c r="F2866" s="4" t="s">
        <v>6083</v>
      </c>
    </row>
    <row r="2867" spans="1:6">
      <c r="A2867" s="4" t="s">
        <v>6084</v>
      </c>
      <c r="B2867" s="6" t="s">
        <v>6082</v>
      </c>
      <c r="C2867" s="4" t="s">
        <v>34</v>
      </c>
      <c r="D2867" s="4">
        <v>23</v>
      </c>
      <c r="E2867" s="4" t="s">
        <v>789</v>
      </c>
    </row>
    <row r="2868" spans="1:6">
      <c r="A2868" s="4" t="s">
        <v>6085</v>
      </c>
      <c r="B2868" s="6" t="s">
        <v>6082</v>
      </c>
      <c r="C2868" s="4" t="s">
        <v>995</v>
      </c>
      <c r="D2868" s="4">
        <v>20</v>
      </c>
      <c r="E2868" s="4" t="s">
        <v>789</v>
      </c>
    </row>
    <row r="2869" spans="1:6">
      <c r="A2869" s="4" t="s">
        <v>6086</v>
      </c>
      <c r="B2869" s="6" t="s">
        <v>6082</v>
      </c>
      <c r="C2869" s="4" t="s">
        <v>238</v>
      </c>
      <c r="D2869" s="4">
        <v>14</v>
      </c>
      <c r="E2869" s="4" t="s">
        <v>6087</v>
      </c>
    </row>
    <row r="2870" spans="1:6">
      <c r="A2870" s="4" t="s">
        <v>6088</v>
      </c>
      <c r="B2870" s="6" t="s">
        <v>6089</v>
      </c>
      <c r="C2870" s="4" t="s">
        <v>53</v>
      </c>
      <c r="D2870" s="4">
        <v>10</v>
      </c>
      <c r="E2870" s="4" t="s">
        <v>852</v>
      </c>
      <c r="F2870" s="4" t="s">
        <v>6090</v>
      </c>
    </row>
    <row r="2871" spans="1:6">
      <c r="A2871" s="4" t="s">
        <v>6091</v>
      </c>
      <c r="B2871" s="6" t="s">
        <v>6092</v>
      </c>
      <c r="C2871" s="4" t="s">
        <v>1335</v>
      </c>
      <c r="D2871" s="4">
        <v>8</v>
      </c>
      <c r="E2871" s="4" t="s">
        <v>1344</v>
      </c>
      <c r="F2871" s="4" t="s">
        <v>236</v>
      </c>
    </row>
    <row r="2872" spans="1:6">
      <c r="A2872" s="4" t="s">
        <v>6093</v>
      </c>
      <c r="B2872" s="6" t="s">
        <v>6092</v>
      </c>
      <c r="C2872" s="4" t="s">
        <v>1335</v>
      </c>
      <c r="D2872" s="4">
        <v>11</v>
      </c>
      <c r="E2872" s="4" t="s">
        <v>1344</v>
      </c>
      <c r="F2872" s="4" t="s">
        <v>236</v>
      </c>
    </row>
    <row r="2873" spans="1:6">
      <c r="A2873" s="4" t="s">
        <v>6094</v>
      </c>
      <c r="B2873" s="6" t="s">
        <v>6092</v>
      </c>
      <c r="C2873" s="4" t="s">
        <v>1335</v>
      </c>
      <c r="D2873" s="4">
        <v>9</v>
      </c>
      <c r="E2873" s="4" t="s">
        <v>1344</v>
      </c>
      <c r="F2873" s="4" t="s">
        <v>236</v>
      </c>
    </row>
    <row r="2874" spans="1:6">
      <c r="A2874" s="4" t="s">
        <v>6095</v>
      </c>
      <c r="B2874" s="6" t="s">
        <v>6096</v>
      </c>
      <c r="C2874" s="4" t="s">
        <v>2568</v>
      </c>
      <c r="D2874" s="4">
        <v>11</v>
      </c>
      <c r="E2874" s="4" t="s">
        <v>1378</v>
      </c>
      <c r="F2874" s="4" t="s">
        <v>1434</v>
      </c>
    </row>
    <row r="2875" spans="1:6">
      <c r="A2875" s="4" t="s">
        <v>6097</v>
      </c>
      <c r="B2875" s="6" t="s">
        <v>6096</v>
      </c>
      <c r="C2875" s="4" t="s">
        <v>271</v>
      </c>
      <c r="D2875" s="4">
        <v>10</v>
      </c>
      <c r="E2875" s="4" t="s">
        <v>1378</v>
      </c>
      <c r="F2875" s="4" t="s">
        <v>6098</v>
      </c>
    </row>
    <row r="2876" spans="1:6">
      <c r="A2876" s="4" t="s">
        <v>6099</v>
      </c>
      <c r="B2876" s="6" t="s">
        <v>6096</v>
      </c>
      <c r="C2876" s="4" t="s">
        <v>6099</v>
      </c>
      <c r="D2876" s="4">
        <v>11</v>
      </c>
      <c r="E2876" s="4" t="s">
        <v>1378</v>
      </c>
      <c r="F2876" s="4" t="s">
        <v>6100</v>
      </c>
    </row>
    <row r="2877" spans="1:6">
      <c r="A2877" s="4" t="s">
        <v>6101</v>
      </c>
      <c r="B2877" s="6" t="s">
        <v>6096</v>
      </c>
      <c r="C2877" s="4" t="s">
        <v>675</v>
      </c>
      <c r="D2877" s="4">
        <v>18</v>
      </c>
      <c r="E2877" s="4" t="s">
        <v>1378</v>
      </c>
      <c r="F2877" s="4" t="s">
        <v>6098</v>
      </c>
    </row>
    <row r="2878" spans="1:6">
      <c r="A2878" s="4" t="s">
        <v>6102</v>
      </c>
      <c r="B2878" s="6" t="s">
        <v>6103</v>
      </c>
      <c r="C2878" s="4" t="s">
        <v>6102</v>
      </c>
      <c r="D2878" s="4">
        <v>16</v>
      </c>
      <c r="E2878" s="4" t="s">
        <v>1378</v>
      </c>
      <c r="F2878" s="4" t="s">
        <v>6100</v>
      </c>
    </row>
    <row r="2879" spans="1:6">
      <c r="A2879" s="4" t="s">
        <v>6104</v>
      </c>
      <c r="B2879" s="6" t="s">
        <v>6105</v>
      </c>
      <c r="C2879" s="4" t="s">
        <v>301</v>
      </c>
      <c r="D2879" s="4">
        <v>13</v>
      </c>
      <c r="E2879" s="4" t="s">
        <v>2887</v>
      </c>
      <c r="F2879" s="4" t="s">
        <v>6106</v>
      </c>
    </row>
    <row r="2880" spans="1:6">
      <c r="A2880" s="4" t="s">
        <v>6107</v>
      </c>
      <c r="B2880" s="6" t="s">
        <v>6105</v>
      </c>
      <c r="C2880" s="4" t="s">
        <v>81</v>
      </c>
      <c r="D2880" s="4">
        <v>10</v>
      </c>
      <c r="E2880" s="4" t="s">
        <v>1634</v>
      </c>
    </row>
    <row r="2881" spans="1:6">
      <c r="A2881" s="4" t="s">
        <v>6108</v>
      </c>
      <c r="B2881" s="6" t="s">
        <v>6105</v>
      </c>
      <c r="C2881" s="4" t="s">
        <v>34</v>
      </c>
      <c r="D2881" s="4">
        <v>10</v>
      </c>
      <c r="E2881" s="4" t="s">
        <v>1634</v>
      </c>
    </row>
    <row r="2882" spans="1:6">
      <c r="A2882" s="4" t="s">
        <v>6109</v>
      </c>
      <c r="B2882" s="6" t="s">
        <v>6105</v>
      </c>
      <c r="C2882" s="4" t="s">
        <v>87</v>
      </c>
      <c r="D2882" s="4">
        <v>10</v>
      </c>
      <c r="E2882" s="4" t="s">
        <v>2887</v>
      </c>
    </row>
    <row r="2883" spans="1:6">
      <c r="A2883" s="4" t="s">
        <v>6110</v>
      </c>
      <c r="B2883" s="6" t="s">
        <v>6105</v>
      </c>
      <c r="C2883" s="4" t="s">
        <v>14</v>
      </c>
      <c r="D2883" s="4">
        <v>10</v>
      </c>
      <c r="E2883" s="4" t="s">
        <v>6111</v>
      </c>
    </row>
    <row r="2884" spans="1:6">
      <c r="A2884" s="4" t="s">
        <v>6112</v>
      </c>
      <c r="B2884" s="6" t="s">
        <v>6113</v>
      </c>
      <c r="C2884" s="4" t="s">
        <v>87</v>
      </c>
      <c r="D2884" s="4">
        <v>7</v>
      </c>
      <c r="E2884" s="4" t="s">
        <v>2904</v>
      </c>
      <c r="F2884" s="4" t="s">
        <v>6114</v>
      </c>
    </row>
    <row r="2885" spans="1:6">
      <c r="A2885" s="4" t="s">
        <v>6115</v>
      </c>
      <c r="B2885" s="6" t="s">
        <v>6113</v>
      </c>
      <c r="C2885" s="4" t="s">
        <v>34</v>
      </c>
      <c r="D2885" s="4">
        <v>7</v>
      </c>
      <c r="E2885" s="4" t="s">
        <v>2904</v>
      </c>
      <c r="F2885" s="4" t="s">
        <v>6116</v>
      </c>
    </row>
    <row r="2886" spans="1:6">
      <c r="A2886" s="4" t="s">
        <v>1885</v>
      </c>
      <c r="B2886" s="6" t="s">
        <v>6113</v>
      </c>
      <c r="C2886" s="4" t="s">
        <v>1885</v>
      </c>
      <c r="D2886" s="4">
        <v>1</v>
      </c>
      <c r="E2886" s="4" t="s">
        <v>2904</v>
      </c>
    </row>
    <row r="2887" spans="1:6">
      <c r="A2887" s="4" t="s">
        <v>6117</v>
      </c>
      <c r="B2887" s="6" t="s">
        <v>6113</v>
      </c>
      <c r="C2887" s="4" t="s">
        <v>708</v>
      </c>
      <c r="D2887" s="4">
        <v>3</v>
      </c>
      <c r="E2887" s="4" t="s">
        <v>6118</v>
      </c>
    </row>
    <row r="2888" spans="1:6">
      <c r="A2888" s="4" t="s">
        <v>6119</v>
      </c>
      <c r="B2888" s="6" t="s">
        <v>6113</v>
      </c>
      <c r="C2888" s="4" t="s">
        <v>470</v>
      </c>
      <c r="D2888" s="4">
        <v>6</v>
      </c>
      <c r="E2888" s="4" t="s">
        <v>2904</v>
      </c>
      <c r="F2888" s="4" t="s">
        <v>6114</v>
      </c>
    </row>
    <row r="2889" spans="1:6">
      <c r="A2889" s="4" t="s">
        <v>6120</v>
      </c>
      <c r="B2889" s="6" t="s">
        <v>6113</v>
      </c>
      <c r="C2889" s="4" t="s">
        <v>271</v>
      </c>
      <c r="D2889" s="4">
        <v>6</v>
      </c>
      <c r="E2889" s="4" t="s">
        <v>6121</v>
      </c>
    </row>
    <row r="2890" spans="1:6">
      <c r="A2890" s="4" t="s">
        <v>6122</v>
      </c>
      <c r="B2890" s="6" t="s">
        <v>6113</v>
      </c>
      <c r="C2890" s="4" t="s">
        <v>95</v>
      </c>
      <c r="D2890" s="4">
        <v>12</v>
      </c>
      <c r="E2890" s="4" t="s">
        <v>2904</v>
      </c>
    </row>
    <row r="2891" spans="1:6">
      <c r="A2891" s="4" t="s">
        <v>6123</v>
      </c>
      <c r="B2891" s="6" t="s">
        <v>6124</v>
      </c>
      <c r="C2891" s="4" t="s">
        <v>1335</v>
      </c>
      <c r="D2891" s="4">
        <v>11</v>
      </c>
      <c r="E2891" s="4" t="s">
        <v>2887</v>
      </c>
    </row>
    <row r="2892" spans="1:6">
      <c r="A2892" s="4" t="s">
        <v>6125</v>
      </c>
      <c r="B2892" s="6" t="s">
        <v>6124</v>
      </c>
      <c r="C2892" s="4" t="s">
        <v>53</v>
      </c>
      <c r="D2892" s="4">
        <v>15</v>
      </c>
      <c r="E2892" s="4" t="s">
        <v>6126</v>
      </c>
    </row>
    <row r="2893" spans="1:6">
      <c r="A2893" s="4" t="s">
        <v>6127</v>
      </c>
      <c r="B2893" s="6" t="s">
        <v>6124</v>
      </c>
      <c r="C2893" s="4" t="s">
        <v>34</v>
      </c>
      <c r="D2893" s="4">
        <v>10</v>
      </c>
      <c r="E2893" s="4" t="s">
        <v>2887</v>
      </c>
      <c r="F2893" s="4" t="s">
        <v>6128</v>
      </c>
    </row>
    <row r="2894" spans="1:6">
      <c r="A2894" s="4" t="s">
        <v>6129</v>
      </c>
      <c r="B2894" s="6" t="s">
        <v>6124</v>
      </c>
      <c r="C2894" s="4" t="s">
        <v>53</v>
      </c>
      <c r="D2894" s="4">
        <v>21</v>
      </c>
      <c r="E2894" s="4" t="s">
        <v>6126</v>
      </c>
    </row>
    <row r="2895" spans="1:6">
      <c r="A2895" s="4" t="s">
        <v>6130</v>
      </c>
      <c r="B2895" s="6" t="s">
        <v>6124</v>
      </c>
      <c r="C2895" s="4" t="s">
        <v>81</v>
      </c>
      <c r="D2895" s="4">
        <v>11</v>
      </c>
      <c r="E2895" s="4" t="s">
        <v>2887</v>
      </c>
    </row>
    <row r="2896" spans="1:6">
      <c r="A2896" s="4" t="s">
        <v>6131</v>
      </c>
      <c r="B2896" s="6" t="s">
        <v>6124</v>
      </c>
      <c r="C2896" s="4" t="s">
        <v>427</v>
      </c>
      <c r="D2896" s="4">
        <v>14</v>
      </c>
      <c r="E2896" s="4" t="s">
        <v>2887</v>
      </c>
      <c r="F2896" s="4" t="s">
        <v>6132</v>
      </c>
    </row>
    <row r="2897" spans="1:6">
      <c r="A2897" s="4" t="s">
        <v>6133</v>
      </c>
      <c r="B2897" s="6" t="s">
        <v>6124</v>
      </c>
      <c r="C2897" s="4" t="s">
        <v>1335</v>
      </c>
      <c r="D2897" s="4">
        <v>11</v>
      </c>
      <c r="E2897" s="4" t="s">
        <v>2887</v>
      </c>
    </row>
    <row r="2898" spans="1:6">
      <c r="A2898" s="4" t="s">
        <v>6134</v>
      </c>
      <c r="B2898" s="6" t="s">
        <v>6135</v>
      </c>
      <c r="C2898" s="4" t="s">
        <v>34</v>
      </c>
      <c r="D2898" s="4">
        <v>12</v>
      </c>
      <c r="E2898" s="4" t="s">
        <v>2887</v>
      </c>
    </row>
    <row r="2899" spans="1:6">
      <c r="A2899" s="4" t="s">
        <v>6136</v>
      </c>
      <c r="B2899" s="6" t="s">
        <v>6135</v>
      </c>
      <c r="C2899" s="4" t="s">
        <v>173</v>
      </c>
      <c r="D2899" s="4">
        <v>8</v>
      </c>
      <c r="E2899" s="4" t="s">
        <v>748</v>
      </c>
      <c r="F2899" s="4" t="s">
        <v>6137</v>
      </c>
    </row>
    <row r="2900" spans="1:6">
      <c r="A2900" s="4" t="s">
        <v>6138</v>
      </c>
      <c r="B2900" s="6" t="s">
        <v>6139</v>
      </c>
      <c r="C2900" s="4" t="s">
        <v>214</v>
      </c>
      <c r="D2900" s="4">
        <v>9</v>
      </c>
      <c r="E2900" s="4" t="s">
        <v>748</v>
      </c>
      <c r="F2900" s="4" t="s">
        <v>6137</v>
      </c>
    </row>
    <row r="2901" spans="1:6">
      <c r="A2901" s="4" t="s">
        <v>6140</v>
      </c>
      <c r="B2901" s="6" t="s">
        <v>6141</v>
      </c>
      <c r="C2901" s="4" t="s">
        <v>254</v>
      </c>
      <c r="D2901" s="4">
        <v>11</v>
      </c>
      <c r="E2901" s="4" t="s">
        <v>2887</v>
      </c>
      <c r="F2901" s="4" t="s">
        <v>6142</v>
      </c>
    </row>
    <row r="2902" spans="1:6">
      <c r="A2902" s="4" t="s">
        <v>917</v>
      </c>
      <c r="B2902" s="6" t="s">
        <v>6143</v>
      </c>
      <c r="C2902" s="4" t="s">
        <v>917</v>
      </c>
      <c r="D2902" s="4">
        <v>2</v>
      </c>
    </row>
    <row r="2903" spans="1:6">
      <c r="A2903" s="4" t="s">
        <v>6144</v>
      </c>
      <c r="B2903" s="6" t="s">
        <v>6143</v>
      </c>
      <c r="C2903" s="4" t="s">
        <v>6145</v>
      </c>
      <c r="D2903" s="4">
        <v>14</v>
      </c>
      <c r="E2903" s="4" t="s">
        <v>852</v>
      </c>
    </row>
    <row r="2904" spans="1:6">
      <c r="A2904" s="4" t="s">
        <v>6146</v>
      </c>
      <c r="B2904" s="6" t="s">
        <v>6147</v>
      </c>
      <c r="C2904" s="4" t="s">
        <v>453</v>
      </c>
      <c r="D2904" s="4">
        <v>12</v>
      </c>
      <c r="E2904" s="4" t="s">
        <v>1378</v>
      </c>
      <c r="F2904" s="4" t="s">
        <v>6148</v>
      </c>
    </row>
    <row r="2905" spans="1:6">
      <c r="A2905" s="4" t="s">
        <v>6149</v>
      </c>
      <c r="B2905" s="6" t="s">
        <v>6147</v>
      </c>
      <c r="C2905" s="4" t="s">
        <v>324</v>
      </c>
      <c r="D2905" s="4">
        <v>9</v>
      </c>
      <c r="E2905" s="4" t="s">
        <v>1378</v>
      </c>
      <c r="F2905" s="4" t="s">
        <v>6150</v>
      </c>
    </row>
    <row r="2906" spans="1:6">
      <c r="A2906" s="4" t="s">
        <v>6151</v>
      </c>
      <c r="B2906" s="6" t="s">
        <v>6147</v>
      </c>
      <c r="C2906" s="4" t="s">
        <v>81</v>
      </c>
      <c r="D2906" s="4">
        <v>11</v>
      </c>
      <c r="E2906" s="4" t="s">
        <v>1378</v>
      </c>
    </row>
    <row r="2907" spans="1:6">
      <c r="A2907" s="4" t="s">
        <v>6152</v>
      </c>
      <c r="B2907" s="6" t="s">
        <v>6153</v>
      </c>
      <c r="C2907" s="4" t="s">
        <v>49</v>
      </c>
      <c r="D2907" s="4">
        <v>12</v>
      </c>
      <c r="E2907" s="4" t="s">
        <v>1378</v>
      </c>
      <c r="F2907" s="4" t="s">
        <v>6154</v>
      </c>
    </row>
    <row r="2908" spans="1:6">
      <c r="A2908" s="4" t="s">
        <v>3168</v>
      </c>
      <c r="B2908" s="6" t="s">
        <v>6155</v>
      </c>
      <c r="C2908" s="4" t="s">
        <v>3168</v>
      </c>
      <c r="D2908" s="4">
        <v>10</v>
      </c>
      <c r="E2908" s="4" t="s">
        <v>1378</v>
      </c>
      <c r="F2908" s="4" t="s">
        <v>6156</v>
      </c>
    </row>
    <row r="2909" spans="1:6">
      <c r="A2909" s="4" t="s">
        <v>6157</v>
      </c>
      <c r="B2909" s="6" t="s">
        <v>6155</v>
      </c>
      <c r="C2909" s="4" t="s">
        <v>81</v>
      </c>
      <c r="D2909" s="4">
        <v>13</v>
      </c>
      <c r="E2909" s="4" t="s">
        <v>1378</v>
      </c>
    </row>
    <row r="2910" spans="1:6">
      <c r="A2910" s="4" t="s">
        <v>6158</v>
      </c>
      <c r="B2910" s="6" t="s">
        <v>6159</v>
      </c>
      <c r="C2910" s="4" t="s">
        <v>195</v>
      </c>
      <c r="D2910" s="4">
        <v>21</v>
      </c>
      <c r="E2910" s="4" t="s">
        <v>1378</v>
      </c>
    </row>
    <row r="2911" spans="1:6">
      <c r="A2911" s="4" t="s">
        <v>6160</v>
      </c>
      <c r="B2911" s="6" t="s">
        <v>6161</v>
      </c>
      <c r="C2911" s="4" t="s">
        <v>574</v>
      </c>
      <c r="D2911" s="4">
        <v>9</v>
      </c>
      <c r="E2911" s="4" t="s">
        <v>1378</v>
      </c>
    </row>
    <row r="2912" spans="1:6">
      <c r="A2912" s="4" t="s">
        <v>6162</v>
      </c>
      <c r="B2912" s="6" t="s">
        <v>6161</v>
      </c>
      <c r="C2912" s="4" t="s">
        <v>34</v>
      </c>
      <c r="D2912" s="4">
        <v>12</v>
      </c>
      <c r="E2912" s="4" t="s">
        <v>1378</v>
      </c>
    </row>
    <row r="2913" spans="1:6">
      <c r="A2913" s="4" t="s">
        <v>6163</v>
      </c>
      <c r="B2913" s="6" t="s">
        <v>6161</v>
      </c>
      <c r="C2913" s="4" t="s">
        <v>53</v>
      </c>
      <c r="D2913" s="4">
        <v>18</v>
      </c>
      <c r="E2913" s="4" t="s">
        <v>1378</v>
      </c>
      <c r="F2913" s="4" t="s">
        <v>6164</v>
      </c>
    </row>
    <row r="2914" spans="1:6">
      <c r="A2914" s="4" t="s">
        <v>6165</v>
      </c>
      <c r="B2914" s="6" t="s">
        <v>6161</v>
      </c>
      <c r="C2914" s="4" t="s">
        <v>2818</v>
      </c>
      <c r="D2914" s="4">
        <v>15</v>
      </c>
      <c r="E2914" s="4" t="s">
        <v>1140</v>
      </c>
    </row>
    <row r="2915" spans="1:6">
      <c r="A2915" s="4" t="s">
        <v>6166</v>
      </c>
      <c r="B2915" s="6" t="s">
        <v>6167</v>
      </c>
      <c r="C2915" s="4" t="s">
        <v>485</v>
      </c>
      <c r="D2915" s="4">
        <v>9</v>
      </c>
      <c r="E2915" s="4" t="s">
        <v>6168</v>
      </c>
      <c r="F2915" s="4" t="s">
        <v>6169</v>
      </c>
    </row>
    <row r="2916" spans="1:6">
      <c r="A2916" s="4" t="s">
        <v>6170</v>
      </c>
      <c r="B2916" s="6" t="s">
        <v>6167</v>
      </c>
      <c r="C2916" s="4" t="s">
        <v>301</v>
      </c>
      <c r="D2916" s="4">
        <v>10</v>
      </c>
      <c r="E2916" s="4" t="s">
        <v>6168</v>
      </c>
    </row>
    <row r="2917" spans="1:6">
      <c r="A2917" s="4" t="s">
        <v>6171</v>
      </c>
      <c r="B2917" s="6" t="s">
        <v>6167</v>
      </c>
      <c r="C2917" s="4" t="s">
        <v>87</v>
      </c>
      <c r="D2917" s="4">
        <v>7</v>
      </c>
      <c r="E2917" s="4" t="s">
        <v>6168</v>
      </c>
    </row>
    <row r="2918" spans="1:6">
      <c r="A2918" s="4" t="s">
        <v>6172</v>
      </c>
      <c r="B2918" s="6" t="s">
        <v>6167</v>
      </c>
      <c r="C2918" s="4" t="s">
        <v>14</v>
      </c>
      <c r="D2918" s="4">
        <v>10</v>
      </c>
      <c r="E2918" s="4" t="s">
        <v>6168</v>
      </c>
    </row>
    <row r="2919" spans="1:6">
      <c r="A2919" s="4" t="s">
        <v>6173</v>
      </c>
      <c r="B2919" s="6" t="s">
        <v>6174</v>
      </c>
      <c r="C2919" s="4" t="s">
        <v>1323</v>
      </c>
      <c r="D2919" s="4">
        <v>10</v>
      </c>
      <c r="E2919" s="4" t="s">
        <v>6168</v>
      </c>
      <c r="F2919" s="4" t="s">
        <v>6175</v>
      </c>
    </row>
    <row r="2920" spans="1:6">
      <c r="A2920" s="4" t="s">
        <v>6176</v>
      </c>
      <c r="B2920" s="6" t="s">
        <v>6174</v>
      </c>
      <c r="C2920" s="4" t="s">
        <v>34</v>
      </c>
      <c r="D2920" s="4">
        <v>13</v>
      </c>
      <c r="E2920" s="4" t="s">
        <v>2769</v>
      </c>
    </row>
    <row r="2921" spans="1:6">
      <c r="A2921" s="4" t="s">
        <v>6177</v>
      </c>
      <c r="B2921" s="6" t="s">
        <v>6174</v>
      </c>
      <c r="C2921" s="4" t="s">
        <v>285</v>
      </c>
      <c r="D2921" s="4">
        <v>13</v>
      </c>
      <c r="E2921" s="4" t="s">
        <v>2769</v>
      </c>
    </row>
    <row r="2922" spans="1:6">
      <c r="A2922" s="4" t="s">
        <v>6178</v>
      </c>
      <c r="B2922" s="6" t="s">
        <v>6174</v>
      </c>
      <c r="C2922" s="4" t="s">
        <v>285</v>
      </c>
      <c r="D2922" s="4">
        <v>13</v>
      </c>
      <c r="E2922" s="4" t="s">
        <v>2769</v>
      </c>
    </row>
    <row r="2923" spans="1:6">
      <c r="A2923" s="4" t="s">
        <v>143</v>
      </c>
      <c r="B2923" s="6" t="s">
        <v>6179</v>
      </c>
      <c r="C2923" s="4" t="s">
        <v>143</v>
      </c>
      <c r="D2923" s="4">
        <v>3</v>
      </c>
      <c r="E2923" s="4" t="s">
        <v>6180</v>
      </c>
    </row>
    <row r="2924" spans="1:6">
      <c r="A2924" s="4" t="s">
        <v>6181</v>
      </c>
      <c r="B2924" s="6" t="s">
        <v>6182</v>
      </c>
      <c r="C2924" s="4" t="s">
        <v>53</v>
      </c>
      <c r="D2924" s="4">
        <v>7</v>
      </c>
      <c r="E2924" s="4" t="s">
        <v>6183</v>
      </c>
      <c r="F2924" s="4" t="s">
        <v>6184</v>
      </c>
    </row>
    <row r="2925" spans="1:6">
      <c r="A2925" s="4" t="s">
        <v>6185</v>
      </c>
      <c r="B2925" s="6" t="s">
        <v>6186</v>
      </c>
      <c r="C2925" s="4" t="s">
        <v>271</v>
      </c>
      <c r="D2925" s="4">
        <v>5</v>
      </c>
      <c r="E2925" s="4" t="s">
        <v>731</v>
      </c>
    </row>
    <row r="2926" spans="1:6">
      <c r="A2926" s="4" t="s">
        <v>6187</v>
      </c>
      <c r="B2926" s="6" t="s">
        <v>6186</v>
      </c>
      <c r="C2926" s="4" t="s">
        <v>195</v>
      </c>
      <c r="D2926" s="4">
        <v>16</v>
      </c>
      <c r="E2926" s="4" t="s">
        <v>6183</v>
      </c>
    </row>
    <row r="2927" spans="1:6">
      <c r="A2927" s="4" t="s">
        <v>6188</v>
      </c>
      <c r="B2927" s="6" t="s">
        <v>6186</v>
      </c>
      <c r="C2927" s="4" t="s">
        <v>271</v>
      </c>
      <c r="D2927" s="4">
        <v>5</v>
      </c>
      <c r="E2927" s="4" t="s">
        <v>1064</v>
      </c>
    </row>
    <row r="2928" spans="1:6">
      <c r="A2928" s="4" t="s">
        <v>6189</v>
      </c>
      <c r="B2928" s="6" t="s">
        <v>6186</v>
      </c>
      <c r="C2928" s="4" t="s">
        <v>271</v>
      </c>
      <c r="D2928" s="4">
        <v>7</v>
      </c>
      <c r="E2928" s="4" t="s">
        <v>6183</v>
      </c>
    </row>
    <row r="2929" spans="1:6">
      <c r="A2929" s="4" t="s">
        <v>6190</v>
      </c>
      <c r="B2929" s="6" t="s">
        <v>6191</v>
      </c>
      <c r="C2929" s="4" t="s">
        <v>76</v>
      </c>
      <c r="D2929" s="4">
        <v>15</v>
      </c>
      <c r="E2929" s="4" t="s">
        <v>6192</v>
      </c>
      <c r="F2929" s="4" t="s">
        <v>4360</v>
      </c>
    </row>
    <row r="2930" spans="1:6">
      <c r="A2930" s="4" t="s">
        <v>6193</v>
      </c>
      <c r="B2930" s="6" t="s">
        <v>6194</v>
      </c>
      <c r="C2930" s="4" t="s">
        <v>34</v>
      </c>
      <c r="D2930" s="4">
        <v>13</v>
      </c>
      <c r="E2930" s="4" t="s">
        <v>6192</v>
      </c>
    </row>
    <row r="2931" spans="1:6">
      <c r="A2931" s="4" t="s">
        <v>6195</v>
      </c>
      <c r="B2931" s="6" t="s">
        <v>6196</v>
      </c>
      <c r="C2931" s="4" t="s">
        <v>34</v>
      </c>
      <c r="D2931" s="4">
        <v>7</v>
      </c>
      <c r="E2931" s="4" t="s">
        <v>6197</v>
      </c>
    </row>
    <row r="2932" spans="1:6">
      <c r="A2932" s="4" t="s">
        <v>6198</v>
      </c>
      <c r="B2932" s="6" t="s">
        <v>6196</v>
      </c>
      <c r="C2932" s="4" t="s">
        <v>427</v>
      </c>
      <c r="D2932" s="4">
        <v>13</v>
      </c>
      <c r="E2932" s="4" t="s">
        <v>6197</v>
      </c>
      <c r="F2932" s="4" t="s">
        <v>1652</v>
      </c>
    </row>
    <row r="2933" spans="1:6">
      <c r="A2933" s="4" t="s">
        <v>6199</v>
      </c>
      <c r="B2933" s="6" t="s">
        <v>6200</v>
      </c>
      <c r="C2933" s="4" t="s">
        <v>53</v>
      </c>
      <c r="D2933" s="4">
        <v>11</v>
      </c>
      <c r="E2933" s="4" t="s">
        <v>1069</v>
      </c>
      <c r="F2933" s="4" t="s">
        <v>6201</v>
      </c>
    </row>
    <row r="2934" spans="1:6">
      <c r="A2934" s="4" t="s">
        <v>6202</v>
      </c>
      <c r="B2934" s="6" t="s">
        <v>6203</v>
      </c>
      <c r="C2934" s="4" t="s">
        <v>254</v>
      </c>
      <c r="D2934" s="4">
        <v>8</v>
      </c>
      <c r="E2934" s="4" t="s">
        <v>1904</v>
      </c>
      <c r="F2934" s="4" t="s">
        <v>6204</v>
      </c>
    </row>
    <row r="2935" spans="1:6">
      <c r="A2935" s="4" t="s">
        <v>6205</v>
      </c>
      <c r="B2935" s="6" t="s">
        <v>6206</v>
      </c>
      <c r="C2935" s="4" t="s">
        <v>403</v>
      </c>
      <c r="D2935" s="4">
        <v>12</v>
      </c>
      <c r="E2935" s="4" t="s">
        <v>6207</v>
      </c>
    </row>
    <row r="2936" spans="1:6">
      <c r="A2936" s="4" t="s">
        <v>6208</v>
      </c>
      <c r="B2936" s="6" t="s">
        <v>6206</v>
      </c>
      <c r="C2936" s="4" t="s">
        <v>917</v>
      </c>
      <c r="D2936" s="4">
        <v>5</v>
      </c>
      <c r="E2936" s="4" t="s">
        <v>6209</v>
      </c>
    </row>
    <row r="2937" spans="1:6">
      <c r="A2937" s="4" t="s">
        <v>6210</v>
      </c>
      <c r="B2937" s="6" t="s">
        <v>6206</v>
      </c>
      <c r="C2937" s="4" t="s">
        <v>34</v>
      </c>
      <c r="D2937" s="4">
        <v>8</v>
      </c>
      <c r="E2937" s="4" t="s">
        <v>6211</v>
      </c>
    </row>
    <row r="2938" spans="1:6">
      <c r="A2938" s="4" t="s">
        <v>6212</v>
      </c>
      <c r="B2938" s="6" t="s">
        <v>6206</v>
      </c>
      <c r="C2938" s="4" t="s">
        <v>53</v>
      </c>
      <c r="D2938" s="4">
        <v>9</v>
      </c>
      <c r="E2938" s="4" t="s">
        <v>6213</v>
      </c>
    </row>
    <row r="2939" spans="1:6">
      <c r="A2939" s="4" t="s">
        <v>6214</v>
      </c>
      <c r="B2939" s="6" t="s">
        <v>6206</v>
      </c>
      <c r="C2939" s="4" t="s">
        <v>917</v>
      </c>
      <c r="D2939" s="4">
        <v>5</v>
      </c>
      <c r="E2939" s="4" t="s">
        <v>6209</v>
      </c>
    </row>
    <row r="2940" spans="1:6">
      <c r="A2940" s="4" t="s">
        <v>351</v>
      </c>
      <c r="B2940" s="6" t="s">
        <v>6206</v>
      </c>
      <c r="C2940" s="4" t="s">
        <v>351</v>
      </c>
      <c r="D2940" s="4">
        <v>3</v>
      </c>
      <c r="E2940" s="4" t="s">
        <v>6215</v>
      </c>
    </row>
    <row r="2941" spans="1:6">
      <c r="A2941" s="4" t="s">
        <v>6216</v>
      </c>
      <c r="B2941" s="6" t="s">
        <v>6217</v>
      </c>
      <c r="C2941" s="4" t="s">
        <v>301</v>
      </c>
      <c r="D2941" s="4">
        <v>10</v>
      </c>
      <c r="E2941" s="4" t="s">
        <v>6207</v>
      </c>
    </row>
    <row r="2942" spans="1:6">
      <c r="A2942" s="4" t="s">
        <v>6218</v>
      </c>
      <c r="B2942" s="6" t="s">
        <v>6219</v>
      </c>
      <c r="C2942" s="4" t="s">
        <v>81</v>
      </c>
      <c r="D2942" s="4">
        <v>18</v>
      </c>
      <c r="E2942" s="4" t="s">
        <v>1064</v>
      </c>
    </row>
    <row r="2943" spans="1:6">
      <c r="A2943" s="4" t="s">
        <v>6220</v>
      </c>
      <c r="B2943" s="6" t="s">
        <v>6219</v>
      </c>
      <c r="C2943" s="4" t="s">
        <v>81</v>
      </c>
      <c r="D2943" s="4">
        <v>20</v>
      </c>
      <c r="E2943" s="4" t="s">
        <v>1064</v>
      </c>
    </row>
    <row r="2944" spans="1:6">
      <c r="A2944" s="4" t="s">
        <v>6221</v>
      </c>
      <c r="B2944" s="6" t="s">
        <v>6222</v>
      </c>
      <c r="C2944" s="4" t="s">
        <v>76</v>
      </c>
      <c r="D2944" s="4">
        <v>8</v>
      </c>
      <c r="E2944" s="4" t="s">
        <v>6180</v>
      </c>
    </row>
    <row r="2945" spans="1:6">
      <c r="A2945" s="4" t="s">
        <v>6223</v>
      </c>
      <c r="B2945" s="6" t="s">
        <v>6222</v>
      </c>
      <c r="C2945" s="4" t="s">
        <v>87</v>
      </c>
      <c r="D2945" s="4">
        <v>6</v>
      </c>
      <c r="E2945" s="4" t="s">
        <v>6180</v>
      </c>
    </row>
    <row r="2946" spans="1:6">
      <c r="A2946" s="4" t="s">
        <v>6224</v>
      </c>
      <c r="B2946" s="6" t="s">
        <v>6225</v>
      </c>
      <c r="C2946" s="4" t="s">
        <v>271</v>
      </c>
      <c r="D2946" s="4">
        <v>12</v>
      </c>
      <c r="E2946" s="4" t="s">
        <v>6192</v>
      </c>
    </row>
    <row r="2947" spans="1:6">
      <c r="A2947" s="4" t="s">
        <v>6226</v>
      </c>
      <c r="B2947" s="6" t="s">
        <v>6227</v>
      </c>
      <c r="C2947" s="4" t="s">
        <v>121</v>
      </c>
      <c r="D2947" s="4">
        <v>10</v>
      </c>
      <c r="E2947" s="4" t="s">
        <v>979</v>
      </c>
    </row>
    <row r="2948" spans="1:6">
      <c r="A2948" s="4" t="s">
        <v>6228</v>
      </c>
      <c r="B2948" s="6" t="s">
        <v>6229</v>
      </c>
      <c r="C2948" s="4" t="s">
        <v>87</v>
      </c>
      <c r="D2948" s="4">
        <v>11</v>
      </c>
      <c r="E2948" s="4" t="s">
        <v>1004</v>
      </c>
      <c r="F2948" s="4" t="s">
        <v>6230</v>
      </c>
    </row>
    <row r="2949" spans="1:6">
      <c r="A2949" s="4" t="s">
        <v>6231</v>
      </c>
      <c r="B2949" s="6" t="s">
        <v>6229</v>
      </c>
      <c r="C2949" s="4" t="s">
        <v>31</v>
      </c>
      <c r="D2949" s="4">
        <v>13</v>
      </c>
      <c r="E2949" s="4" t="s">
        <v>6232</v>
      </c>
    </row>
    <row r="2950" spans="1:6">
      <c r="A2950" s="4" t="s">
        <v>6233</v>
      </c>
      <c r="B2950" s="6" t="s">
        <v>6234</v>
      </c>
      <c r="C2950" s="4" t="s">
        <v>34</v>
      </c>
      <c r="D2950" s="4">
        <v>12</v>
      </c>
      <c r="E2950" s="4" t="s">
        <v>6192</v>
      </c>
      <c r="F2950" s="4" t="s">
        <v>6175</v>
      </c>
    </row>
    <row r="2951" spans="1:6">
      <c r="A2951" s="4" t="s">
        <v>6235</v>
      </c>
      <c r="B2951" s="6" t="s">
        <v>6236</v>
      </c>
      <c r="C2951" s="4" t="s">
        <v>45</v>
      </c>
      <c r="D2951" s="4">
        <v>14</v>
      </c>
      <c r="E2951" s="4" t="s">
        <v>4212</v>
      </c>
    </row>
    <row r="2952" spans="1:6">
      <c r="A2952" s="4" t="s">
        <v>6237</v>
      </c>
      <c r="B2952" s="6" t="s">
        <v>6236</v>
      </c>
      <c r="C2952" s="4" t="s">
        <v>34</v>
      </c>
      <c r="D2952" s="4">
        <v>17</v>
      </c>
      <c r="E2952" s="4" t="s">
        <v>4212</v>
      </c>
      <c r="F2952" s="4" t="s">
        <v>6238</v>
      </c>
    </row>
    <row r="2953" spans="1:6">
      <c r="A2953" s="4" t="s">
        <v>6239</v>
      </c>
      <c r="B2953" s="6" t="s">
        <v>6236</v>
      </c>
      <c r="C2953" s="4" t="s">
        <v>163</v>
      </c>
      <c r="D2953" s="4">
        <v>10</v>
      </c>
      <c r="E2953" s="4" t="s">
        <v>6240</v>
      </c>
      <c r="F2953" s="4" t="s">
        <v>6241</v>
      </c>
    </row>
    <row r="2954" spans="1:6">
      <c r="A2954" s="4" t="s">
        <v>6242</v>
      </c>
      <c r="B2954" s="6" t="s">
        <v>6236</v>
      </c>
      <c r="C2954" s="4" t="s">
        <v>271</v>
      </c>
      <c r="D2954" s="4">
        <v>8</v>
      </c>
      <c r="E2954" s="4" t="s">
        <v>1187</v>
      </c>
    </row>
    <row r="2955" spans="1:6">
      <c r="A2955" s="4" t="s">
        <v>6243</v>
      </c>
      <c r="B2955" s="6" t="s">
        <v>6244</v>
      </c>
      <c r="C2955" s="4" t="s">
        <v>53</v>
      </c>
      <c r="D2955" s="4">
        <v>10</v>
      </c>
      <c r="E2955" s="4" t="s">
        <v>6245</v>
      </c>
      <c r="F2955" s="4" t="s">
        <v>1051</v>
      </c>
    </row>
    <row r="2956" spans="1:6">
      <c r="A2956" s="4" t="s">
        <v>6246</v>
      </c>
      <c r="B2956" s="6" t="s">
        <v>6247</v>
      </c>
      <c r="C2956" s="4" t="s">
        <v>285</v>
      </c>
      <c r="D2956" s="4">
        <v>20</v>
      </c>
      <c r="E2956" s="4" t="s">
        <v>1033</v>
      </c>
    </row>
    <row r="2957" spans="1:6">
      <c r="A2957" s="4" t="s">
        <v>6248</v>
      </c>
      <c r="B2957" s="6" t="s">
        <v>6247</v>
      </c>
      <c r="C2957" s="4" t="s">
        <v>37</v>
      </c>
      <c r="D2957" s="4">
        <v>24</v>
      </c>
      <c r="E2957" s="4" t="s">
        <v>1033</v>
      </c>
    </row>
    <row r="2958" spans="1:6">
      <c r="A2958" s="4" t="s">
        <v>6249</v>
      </c>
      <c r="B2958" s="6" t="s">
        <v>6250</v>
      </c>
      <c r="C2958" s="4" t="s">
        <v>708</v>
      </c>
      <c r="D2958" s="4">
        <v>12</v>
      </c>
      <c r="E2958" s="4" t="s">
        <v>6251</v>
      </c>
    </row>
    <row r="2959" spans="1:6">
      <c r="A2959" s="4" t="s">
        <v>6252</v>
      </c>
      <c r="B2959" s="6" t="s">
        <v>6253</v>
      </c>
      <c r="C2959" s="4" t="s">
        <v>41</v>
      </c>
      <c r="D2959" s="4">
        <v>7</v>
      </c>
      <c r="E2959" s="4" t="s">
        <v>1069</v>
      </c>
      <c r="F2959" s="4" t="s">
        <v>6254</v>
      </c>
    </row>
    <row r="2960" spans="1:6">
      <c r="A2960" s="4" t="s">
        <v>6255</v>
      </c>
      <c r="B2960" s="6" t="s">
        <v>6253</v>
      </c>
      <c r="C2960" s="4" t="s">
        <v>6256</v>
      </c>
      <c r="D2960" s="4">
        <v>8</v>
      </c>
      <c r="E2960" s="4" t="s">
        <v>1069</v>
      </c>
    </row>
    <row r="2961" spans="1:6">
      <c r="A2961" s="4" t="s">
        <v>6257</v>
      </c>
      <c r="B2961" s="6" t="s">
        <v>6258</v>
      </c>
      <c r="C2961" s="4" t="s">
        <v>1726</v>
      </c>
      <c r="D2961" s="4">
        <v>11</v>
      </c>
      <c r="E2961" s="4" t="s">
        <v>6192</v>
      </c>
      <c r="F2961" s="4" t="s">
        <v>1005</v>
      </c>
    </row>
    <row r="2962" spans="1:6">
      <c r="A2962" s="4" t="s">
        <v>6259</v>
      </c>
      <c r="B2962" s="6" t="s">
        <v>6260</v>
      </c>
      <c r="C2962" s="4" t="s">
        <v>34</v>
      </c>
      <c r="D2962" s="4">
        <v>11</v>
      </c>
      <c r="E2962" s="4" t="s">
        <v>983</v>
      </c>
      <c r="F2962" s="4" t="s">
        <v>6261</v>
      </c>
    </row>
    <row r="2963" spans="1:6">
      <c r="A2963" s="4" t="s">
        <v>6262</v>
      </c>
      <c r="B2963" s="6" t="s">
        <v>6263</v>
      </c>
      <c r="C2963" s="4" t="s">
        <v>761</v>
      </c>
      <c r="D2963" s="4">
        <v>11</v>
      </c>
      <c r="E2963" s="4" t="s">
        <v>6183</v>
      </c>
      <c r="F2963" s="4" t="s">
        <v>6264</v>
      </c>
    </row>
    <row r="2964" spans="1:6">
      <c r="A2964" s="4" t="s">
        <v>6265</v>
      </c>
      <c r="B2964" s="6" t="s">
        <v>6266</v>
      </c>
      <c r="C2964" s="4" t="s">
        <v>121</v>
      </c>
      <c r="D2964" s="4">
        <v>8</v>
      </c>
      <c r="E2964" s="4" t="s">
        <v>6192</v>
      </c>
      <c r="F2964" s="4" t="s">
        <v>6267</v>
      </c>
    </row>
    <row r="2965" spans="1:6">
      <c r="A2965" s="4" t="s">
        <v>6268</v>
      </c>
      <c r="B2965" s="6" t="s">
        <v>6269</v>
      </c>
      <c r="C2965" s="4" t="s">
        <v>41</v>
      </c>
      <c r="D2965" s="4">
        <v>5</v>
      </c>
      <c r="E2965" s="4" t="s">
        <v>2237</v>
      </c>
    </row>
    <row r="2966" spans="1:6">
      <c r="A2966" s="4" t="s">
        <v>6270</v>
      </c>
      <c r="B2966" s="6" t="s">
        <v>6271</v>
      </c>
      <c r="C2966" s="4" t="s">
        <v>41</v>
      </c>
      <c r="D2966" s="4">
        <v>20</v>
      </c>
      <c r="E2966" s="4" t="s">
        <v>2237</v>
      </c>
    </row>
    <row r="2967" spans="1:6">
      <c r="A2967" s="4" t="s">
        <v>6272</v>
      </c>
      <c r="B2967" s="6" t="s">
        <v>6271</v>
      </c>
      <c r="C2967" s="4" t="s">
        <v>41</v>
      </c>
      <c r="D2967" s="4">
        <v>25</v>
      </c>
      <c r="E2967" s="4" t="s">
        <v>2237</v>
      </c>
    </row>
    <row r="2968" spans="1:6">
      <c r="A2968" s="4" t="s">
        <v>6273</v>
      </c>
      <c r="B2968" s="6" t="s">
        <v>6274</v>
      </c>
      <c r="C2968" s="4" t="s">
        <v>963</v>
      </c>
      <c r="D2968" s="4">
        <v>5</v>
      </c>
      <c r="E2968" s="4" t="s">
        <v>6275</v>
      </c>
      <c r="F2968" s="4" t="s">
        <v>6276</v>
      </c>
    </row>
    <row r="2969" spans="1:6">
      <c r="A2969" s="4" t="s">
        <v>6277</v>
      </c>
      <c r="B2969" s="6" t="s">
        <v>6278</v>
      </c>
      <c r="C2969" s="4" t="s">
        <v>53</v>
      </c>
      <c r="D2969" s="4">
        <v>10</v>
      </c>
      <c r="E2969" s="4" t="s">
        <v>6279</v>
      </c>
      <c r="F2969" s="4" t="s">
        <v>6280</v>
      </c>
    </row>
    <row r="2970" spans="1:6">
      <c r="A2970" s="4" t="s">
        <v>6281</v>
      </c>
      <c r="B2970" s="6" t="s">
        <v>6278</v>
      </c>
      <c r="C2970" s="4" t="s">
        <v>53</v>
      </c>
      <c r="D2970" s="4">
        <v>12</v>
      </c>
      <c r="E2970" s="4" t="s">
        <v>6282</v>
      </c>
      <c r="F2970" s="4" t="s">
        <v>6283</v>
      </c>
    </row>
    <row r="2971" spans="1:6">
      <c r="A2971" s="4" t="s">
        <v>6284</v>
      </c>
      <c r="B2971" s="6" t="s">
        <v>6285</v>
      </c>
      <c r="C2971" s="4" t="s">
        <v>53</v>
      </c>
      <c r="D2971" s="4">
        <v>12</v>
      </c>
      <c r="E2971" s="4" t="s">
        <v>989</v>
      </c>
      <c r="F2971" s="4" t="s">
        <v>2424</v>
      </c>
    </row>
    <row r="2972" spans="1:6">
      <c r="A2972" s="4" t="s">
        <v>6286</v>
      </c>
      <c r="B2972" s="6" t="s">
        <v>6287</v>
      </c>
      <c r="C2972" s="4" t="s">
        <v>53</v>
      </c>
      <c r="D2972" s="4">
        <v>14</v>
      </c>
      <c r="E2972" s="4" t="s">
        <v>989</v>
      </c>
      <c r="F2972" s="4" t="s">
        <v>4786</v>
      </c>
    </row>
    <row r="2973" spans="1:6">
      <c r="A2973" s="4" t="s">
        <v>6288</v>
      </c>
      <c r="B2973" s="6" t="s">
        <v>6289</v>
      </c>
      <c r="C2973" s="4" t="s">
        <v>92</v>
      </c>
      <c r="D2973" s="4">
        <v>17</v>
      </c>
      <c r="E2973" s="4" t="s">
        <v>989</v>
      </c>
    </row>
    <row r="2974" spans="1:6">
      <c r="A2974" s="4" t="s">
        <v>6290</v>
      </c>
      <c r="B2974" s="6" t="s">
        <v>6291</v>
      </c>
      <c r="C2974" s="4" t="s">
        <v>23</v>
      </c>
      <c r="D2974" s="4">
        <v>5</v>
      </c>
      <c r="E2974" s="4" t="s">
        <v>3929</v>
      </c>
      <c r="F2974" s="4" t="s">
        <v>6292</v>
      </c>
    </row>
    <row r="2975" spans="1:6">
      <c r="A2975" s="4" t="s">
        <v>6293</v>
      </c>
      <c r="B2975" s="6" t="s">
        <v>6294</v>
      </c>
      <c r="C2975" s="4" t="s">
        <v>76</v>
      </c>
      <c r="D2975" s="4">
        <v>12</v>
      </c>
      <c r="E2975" s="4" t="s">
        <v>6192</v>
      </c>
      <c r="F2975" s="4" t="s">
        <v>6295</v>
      </c>
    </row>
    <row r="2976" spans="1:6">
      <c r="A2976" s="4" t="s">
        <v>6296</v>
      </c>
      <c r="B2976" s="6" t="s">
        <v>6294</v>
      </c>
      <c r="C2976" s="4" t="s">
        <v>23</v>
      </c>
      <c r="D2976" s="4">
        <v>14</v>
      </c>
      <c r="E2976" s="4" t="s">
        <v>6297</v>
      </c>
    </row>
    <row r="2977" spans="1:6">
      <c r="A2977" s="4" t="s">
        <v>6298</v>
      </c>
      <c r="B2977" s="6" t="s">
        <v>6299</v>
      </c>
      <c r="C2977" s="4" t="s">
        <v>285</v>
      </c>
      <c r="D2977" s="4">
        <v>7</v>
      </c>
      <c r="E2977" s="4" t="s">
        <v>989</v>
      </c>
      <c r="F2977" s="4" t="s">
        <v>4188</v>
      </c>
    </row>
    <row r="2978" spans="1:6">
      <c r="A2978" s="4" t="s">
        <v>6300</v>
      </c>
      <c r="B2978" s="6" t="s">
        <v>6301</v>
      </c>
      <c r="C2978" s="4" t="s">
        <v>81</v>
      </c>
      <c r="D2978" s="4">
        <v>13</v>
      </c>
      <c r="E2978" s="4" t="s">
        <v>1004</v>
      </c>
      <c r="F2978" s="4" t="s">
        <v>6302</v>
      </c>
    </row>
    <row r="2979" spans="1:6">
      <c r="A2979" s="4" t="s">
        <v>6303</v>
      </c>
      <c r="B2979" s="6" t="s">
        <v>6304</v>
      </c>
      <c r="C2979" s="4" t="s">
        <v>403</v>
      </c>
      <c r="D2979" s="4">
        <v>11</v>
      </c>
      <c r="F2979" s="4" t="s">
        <v>6305</v>
      </c>
    </row>
    <row r="2980" spans="1:6">
      <c r="A2980" s="4" t="s">
        <v>1655</v>
      </c>
      <c r="B2980" s="6" t="s">
        <v>6306</v>
      </c>
      <c r="C2980" s="4" t="s">
        <v>1655</v>
      </c>
      <c r="D2980" s="4">
        <v>6</v>
      </c>
      <c r="E2980" s="4" t="s">
        <v>1283</v>
      </c>
      <c r="F2980" s="4" t="s">
        <v>6307</v>
      </c>
    </row>
    <row r="2981" spans="1:6">
      <c r="A2981" s="4" t="s">
        <v>6308</v>
      </c>
      <c r="B2981" s="6" t="s">
        <v>6306</v>
      </c>
      <c r="C2981" s="4" t="s">
        <v>705</v>
      </c>
      <c r="D2981" s="4">
        <v>9</v>
      </c>
      <c r="E2981" s="4" t="s">
        <v>679</v>
      </c>
      <c r="F2981" s="4" t="s">
        <v>1085</v>
      </c>
    </row>
    <row r="2982" spans="1:6">
      <c r="A2982" s="4" t="s">
        <v>6309</v>
      </c>
      <c r="B2982" s="6" t="s">
        <v>6306</v>
      </c>
      <c r="C2982" s="4" t="s">
        <v>414</v>
      </c>
      <c r="D2982" s="4">
        <v>11</v>
      </c>
      <c r="E2982" s="4" t="s">
        <v>679</v>
      </c>
      <c r="F2982" s="4" t="s">
        <v>1085</v>
      </c>
    </row>
    <row r="2983" spans="1:6">
      <c r="A2983" s="4" t="s">
        <v>6310</v>
      </c>
      <c r="B2983" s="6" t="s">
        <v>6306</v>
      </c>
      <c r="C2983" s="4" t="s">
        <v>23</v>
      </c>
      <c r="D2983" s="4">
        <v>13</v>
      </c>
      <c r="E2983" s="4" t="s">
        <v>1208</v>
      </c>
    </row>
    <row r="2984" spans="1:6">
      <c r="A2984" s="4" t="s">
        <v>6311</v>
      </c>
      <c r="B2984" s="6" t="s">
        <v>6312</v>
      </c>
      <c r="C2984" s="4" t="s">
        <v>427</v>
      </c>
      <c r="D2984" s="4">
        <v>8</v>
      </c>
      <c r="E2984" s="4" t="s">
        <v>3929</v>
      </c>
      <c r="F2984" s="4" t="s">
        <v>6313</v>
      </c>
    </row>
    <row r="2985" spans="1:6">
      <c r="A2985" s="4" t="s">
        <v>6314</v>
      </c>
      <c r="B2985" s="6" t="s">
        <v>6312</v>
      </c>
      <c r="C2985" s="4" t="s">
        <v>427</v>
      </c>
      <c r="D2985" s="4">
        <v>15</v>
      </c>
      <c r="E2985" s="4" t="s">
        <v>3929</v>
      </c>
      <c r="F2985" s="4" t="s">
        <v>6313</v>
      </c>
    </row>
    <row r="2986" spans="1:6">
      <c r="A2986" s="4" t="s">
        <v>6315</v>
      </c>
      <c r="B2986" s="6" t="s">
        <v>6316</v>
      </c>
      <c r="C2986" s="4" t="s">
        <v>76</v>
      </c>
      <c r="D2986" s="4">
        <v>13</v>
      </c>
      <c r="E2986" s="4" t="s">
        <v>1137</v>
      </c>
      <c r="F2986" s="4" t="s">
        <v>6317</v>
      </c>
    </row>
    <row r="2987" spans="1:6">
      <c r="A2987" s="4" t="s">
        <v>6318</v>
      </c>
      <c r="B2987" s="6" t="s">
        <v>6316</v>
      </c>
      <c r="C2987" s="4" t="s">
        <v>76</v>
      </c>
      <c r="D2987" s="4">
        <v>19</v>
      </c>
      <c r="E2987" s="4" t="s">
        <v>1137</v>
      </c>
    </row>
    <row r="2988" spans="1:6">
      <c r="A2988" s="4" t="s">
        <v>6319</v>
      </c>
      <c r="B2988" s="6" t="s">
        <v>6316</v>
      </c>
      <c r="C2988" s="4" t="s">
        <v>3168</v>
      </c>
      <c r="D2988" s="4">
        <v>21</v>
      </c>
      <c r="E2988" s="4" t="s">
        <v>1137</v>
      </c>
    </row>
    <row r="2989" spans="1:6">
      <c r="A2989" s="4" t="s">
        <v>6320</v>
      </c>
      <c r="B2989" s="6" t="s">
        <v>6316</v>
      </c>
      <c r="C2989" s="4" t="s">
        <v>23</v>
      </c>
      <c r="D2989" s="4">
        <v>13</v>
      </c>
      <c r="E2989" s="4" t="s">
        <v>1047</v>
      </c>
    </row>
    <row r="2990" spans="1:6">
      <c r="A2990" s="4" t="s">
        <v>6321</v>
      </c>
      <c r="B2990" s="6" t="s">
        <v>6322</v>
      </c>
      <c r="C2990" s="4" t="s">
        <v>351</v>
      </c>
      <c r="D2990" s="4">
        <v>11</v>
      </c>
      <c r="E2990" s="4" t="s">
        <v>1047</v>
      </c>
    </row>
    <row r="2991" spans="1:6">
      <c r="A2991" s="4" t="s">
        <v>6323</v>
      </c>
      <c r="B2991" s="6" t="s">
        <v>6324</v>
      </c>
      <c r="C2991" s="4" t="s">
        <v>1431</v>
      </c>
      <c r="D2991" s="4">
        <v>12</v>
      </c>
      <c r="E2991" s="4" t="s">
        <v>2161</v>
      </c>
      <c r="F2991" s="4" t="s">
        <v>6325</v>
      </c>
    </row>
    <row r="2992" spans="1:6">
      <c r="A2992" s="4" t="s">
        <v>6326</v>
      </c>
      <c r="B2992" s="6" t="s">
        <v>6327</v>
      </c>
      <c r="C2992" s="4" t="s">
        <v>2111</v>
      </c>
      <c r="D2992" s="4">
        <v>9</v>
      </c>
      <c r="E2992" s="4" t="s">
        <v>1043</v>
      </c>
    </row>
    <row r="2993" spans="1:6">
      <c r="A2993" s="4" t="s">
        <v>761</v>
      </c>
      <c r="B2993" s="6" t="s">
        <v>6327</v>
      </c>
      <c r="C2993" s="4" t="s">
        <v>761</v>
      </c>
      <c r="D2993" s="4">
        <v>5</v>
      </c>
      <c r="E2993" s="4" t="s">
        <v>1114</v>
      </c>
      <c r="F2993" s="4" t="s">
        <v>6328</v>
      </c>
    </row>
    <row r="2994" spans="1:6">
      <c r="A2994" s="4" t="s">
        <v>6329</v>
      </c>
      <c r="B2994" s="6" t="s">
        <v>6330</v>
      </c>
      <c r="C2994" s="4" t="s">
        <v>1679</v>
      </c>
      <c r="D2994" s="4">
        <v>10</v>
      </c>
      <c r="E2994" s="4" t="s">
        <v>1047</v>
      </c>
    </row>
    <row r="2995" spans="1:6">
      <c r="A2995" s="4" t="s">
        <v>6331</v>
      </c>
      <c r="B2995" s="6" t="s">
        <v>6330</v>
      </c>
      <c r="C2995" s="4" t="s">
        <v>41</v>
      </c>
      <c r="D2995" s="4">
        <v>12</v>
      </c>
      <c r="E2995" s="4" t="s">
        <v>1047</v>
      </c>
      <c r="F2995" s="4" t="s">
        <v>6332</v>
      </c>
    </row>
    <row r="2996" spans="1:6">
      <c r="A2996" s="4" t="s">
        <v>6333</v>
      </c>
      <c r="B2996" s="6" t="s">
        <v>6334</v>
      </c>
      <c r="C2996" s="4" t="s">
        <v>81</v>
      </c>
      <c r="D2996" s="4">
        <v>10</v>
      </c>
      <c r="E2996" s="4" t="s">
        <v>1137</v>
      </c>
      <c r="F2996" s="4" t="s">
        <v>6335</v>
      </c>
    </row>
    <row r="2997" spans="1:6">
      <c r="A2997" s="4" t="s">
        <v>6336</v>
      </c>
      <c r="B2997" s="6" t="s">
        <v>6337</v>
      </c>
      <c r="C2997" s="4" t="s">
        <v>254</v>
      </c>
      <c r="D2997" s="4">
        <v>5</v>
      </c>
      <c r="E2997" s="4" t="s">
        <v>1047</v>
      </c>
      <c r="F2997" s="4" t="s">
        <v>6338</v>
      </c>
    </row>
    <row r="2998" spans="1:6">
      <c r="A2998" s="4" t="s">
        <v>2506</v>
      </c>
      <c r="B2998" s="6" t="s">
        <v>6337</v>
      </c>
      <c r="C2998" s="4" t="s">
        <v>2506</v>
      </c>
      <c r="D2998" s="4">
        <v>3</v>
      </c>
      <c r="E2998" s="4" t="s">
        <v>1047</v>
      </c>
    </row>
    <row r="2999" spans="1:6">
      <c r="A2999" s="4" t="s">
        <v>6339</v>
      </c>
      <c r="B2999" s="6" t="s">
        <v>6337</v>
      </c>
      <c r="C2999" s="4" t="s">
        <v>254</v>
      </c>
      <c r="D2999" s="4">
        <v>9</v>
      </c>
      <c r="E2999" s="4" t="s">
        <v>6340</v>
      </c>
    </row>
    <row r="3000" spans="1:6">
      <c r="A3000" s="4" t="s">
        <v>6341</v>
      </c>
      <c r="B3000" s="6" t="s">
        <v>6342</v>
      </c>
      <c r="C3000" s="4" t="s">
        <v>49</v>
      </c>
      <c r="D3000" s="4">
        <v>13</v>
      </c>
      <c r="E3000" s="4" t="s">
        <v>2769</v>
      </c>
      <c r="F3000" s="4" t="s">
        <v>6343</v>
      </c>
    </row>
    <row r="3001" spans="1:6">
      <c r="A3001" s="4" t="s">
        <v>6344</v>
      </c>
      <c r="B3001" s="6" t="s">
        <v>6345</v>
      </c>
      <c r="C3001" s="4" t="s">
        <v>403</v>
      </c>
      <c r="D3001" s="4">
        <v>17</v>
      </c>
      <c r="E3001" s="4" t="s">
        <v>6183</v>
      </c>
    </row>
    <row r="3002" spans="1:6">
      <c r="A3002" s="4" t="s">
        <v>6346</v>
      </c>
      <c r="B3002" s="6" t="s">
        <v>6347</v>
      </c>
      <c r="C3002" s="4" t="s">
        <v>34</v>
      </c>
      <c r="D3002" s="4">
        <v>15</v>
      </c>
      <c r="E3002" s="4" t="s">
        <v>6180</v>
      </c>
      <c r="F3002" s="4" t="s">
        <v>6348</v>
      </c>
    </row>
    <row r="3003" spans="1:6">
      <c r="A3003" s="4" t="s">
        <v>6349</v>
      </c>
      <c r="B3003" s="6" t="s">
        <v>6350</v>
      </c>
      <c r="C3003" s="4" t="s">
        <v>81</v>
      </c>
      <c r="D3003" s="4">
        <v>7</v>
      </c>
      <c r="E3003" s="4" t="s">
        <v>6192</v>
      </c>
      <c r="F3003" s="4" t="s">
        <v>6351</v>
      </c>
    </row>
    <row r="3004" spans="1:6">
      <c r="A3004" s="4" t="s">
        <v>6352</v>
      </c>
      <c r="B3004" s="6" t="s">
        <v>6350</v>
      </c>
      <c r="C3004" s="4" t="s">
        <v>1756</v>
      </c>
      <c r="D3004" s="4">
        <v>4</v>
      </c>
      <c r="E3004" s="4" t="s">
        <v>6192</v>
      </c>
      <c r="F3004" s="4" t="s">
        <v>6353</v>
      </c>
    </row>
    <row r="3005" spans="1:6">
      <c r="A3005" s="4" t="s">
        <v>6354</v>
      </c>
      <c r="B3005" s="6" t="s">
        <v>6350</v>
      </c>
      <c r="C3005" s="4" t="s">
        <v>1106</v>
      </c>
      <c r="D3005" s="4">
        <v>18</v>
      </c>
      <c r="E3005" s="4" t="s">
        <v>6192</v>
      </c>
      <c r="F3005" s="4" t="s">
        <v>6353</v>
      </c>
    </row>
    <row r="3006" spans="1:6">
      <c r="A3006" s="4" t="s">
        <v>6355</v>
      </c>
      <c r="B3006" s="6" t="s">
        <v>6356</v>
      </c>
      <c r="C3006" s="4" t="s">
        <v>53</v>
      </c>
      <c r="D3006" s="4">
        <v>14</v>
      </c>
      <c r="E3006" s="4" t="s">
        <v>6207</v>
      </c>
    </row>
    <row r="3007" spans="1:6">
      <c r="A3007" s="4" t="s">
        <v>6357</v>
      </c>
      <c r="B3007" s="6" t="s">
        <v>6358</v>
      </c>
      <c r="C3007" s="4" t="s">
        <v>590</v>
      </c>
      <c r="D3007" s="4">
        <v>15</v>
      </c>
      <c r="E3007" s="4" t="s">
        <v>1004</v>
      </c>
      <c r="F3007" s="4" t="s">
        <v>6359</v>
      </c>
    </row>
    <row r="3008" spans="1:6">
      <c r="A3008" s="4" t="s">
        <v>6360</v>
      </c>
      <c r="B3008" s="6" t="s">
        <v>6358</v>
      </c>
      <c r="C3008" s="4" t="s">
        <v>49</v>
      </c>
      <c r="D3008" s="4">
        <v>10</v>
      </c>
      <c r="E3008" s="4" t="s">
        <v>6361</v>
      </c>
    </row>
    <row r="3009" spans="1:6">
      <c r="A3009" s="4" t="s">
        <v>6362</v>
      </c>
      <c r="B3009" s="6" t="s">
        <v>6363</v>
      </c>
      <c r="C3009" s="4" t="s">
        <v>414</v>
      </c>
      <c r="D3009" s="4">
        <v>13</v>
      </c>
      <c r="E3009" s="4" t="s">
        <v>6364</v>
      </c>
      <c r="F3009" s="4" t="s">
        <v>6365</v>
      </c>
    </row>
    <row r="3010" spans="1:6">
      <c r="A3010" s="4" t="s">
        <v>6366</v>
      </c>
      <c r="B3010" s="6" t="s">
        <v>6363</v>
      </c>
      <c r="C3010" s="4" t="s">
        <v>414</v>
      </c>
      <c r="D3010" s="4">
        <v>15</v>
      </c>
      <c r="E3010" s="4" t="s">
        <v>6367</v>
      </c>
    </row>
    <row r="3011" spans="1:6">
      <c r="A3011" s="4" t="s">
        <v>6368</v>
      </c>
      <c r="B3011" s="6" t="s">
        <v>6369</v>
      </c>
      <c r="C3011" s="4" t="s">
        <v>1106</v>
      </c>
      <c r="D3011" s="4">
        <v>18</v>
      </c>
      <c r="E3011" s="4" t="s">
        <v>6367</v>
      </c>
      <c r="F3011" s="4" t="s">
        <v>6370</v>
      </c>
    </row>
    <row r="3012" spans="1:6">
      <c r="A3012" s="4" t="s">
        <v>6371</v>
      </c>
      <c r="B3012" s="6" t="s">
        <v>6372</v>
      </c>
      <c r="C3012" s="4" t="s">
        <v>4986</v>
      </c>
      <c r="D3012" s="4">
        <v>12</v>
      </c>
      <c r="E3012" s="4" t="s">
        <v>1148</v>
      </c>
      <c r="F3012" s="4" t="s">
        <v>6373</v>
      </c>
    </row>
    <row r="3013" spans="1:6">
      <c r="A3013" s="4" t="s">
        <v>6374</v>
      </c>
      <c r="B3013" s="6" t="s">
        <v>6372</v>
      </c>
      <c r="C3013" s="4" t="s">
        <v>271</v>
      </c>
      <c r="D3013" s="4">
        <v>7</v>
      </c>
      <c r="E3013" s="4" t="s">
        <v>6375</v>
      </c>
      <c r="F3013" s="4" t="s">
        <v>6376</v>
      </c>
    </row>
    <row r="3014" spans="1:6">
      <c r="A3014" s="4" t="s">
        <v>6377</v>
      </c>
      <c r="B3014" s="6" t="s">
        <v>6372</v>
      </c>
      <c r="C3014" s="4" t="s">
        <v>53</v>
      </c>
      <c r="D3014" s="4">
        <v>11</v>
      </c>
      <c r="E3014" s="4" t="s">
        <v>1148</v>
      </c>
      <c r="F3014" s="4" t="s">
        <v>6378</v>
      </c>
    </row>
    <row r="3015" spans="1:6">
      <c r="A3015" s="4" t="s">
        <v>285</v>
      </c>
      <c r="B3015" s="6" t="s">
        <v>6379</v>
      </c>
      <c r="C3015" s="4" t="s">
        <v>285</v>
      </c>
      <c r="D3015" s="4">
        <v>3</v>
      </c>
      <c r="E3015" s="4" t="s">
        <v>6180</v>
      </c>
      <c r="F3015" s="4" t="s">
        <v>6380</v>
      </c>
    </row>
    <row r="3016" spans="1:6">
      <c r="A3016" s="4" t="s">
        <v>6381</v>
      </c>
      <c r="B3016" s="6" t="s">
        <v>6382</v>
      </c>
      <c r="C3016" s="4" t="s">
        <v>485</v>
      </c>
      <c r="D3016" s="4">
        <v>18</v>
      </c>
      <c r="E3016" s="4" t="s">
        <v>1148</v>
      </c>
      <c r="F3016" s="4" t="s">
        <v>6383</v>
      </c>
    </row>
    <row r="3017" spans="1:6">
      <c r="A3017" s="4" t="s">
        <v>6384</v>
      </c>
      <c r="B3017" s="6" t="s">
        <v>6382</v>
      </c>
      <c r="C3017" s="4" t="s">
        <v>538</v>
      </c>
      <c r="D3017" s="4">
        <v>8</v>
      </c>
      <c r="E3017" s="4" t="s">
        <v>1244</v>
      </c>
      <c r="F3017" s="4" t="s">
        <v>6385</v>
      </c>
    </row>
    <row r="3018" spans="1:6">
      <c r="A3018" s="4" t="s">
        <v>6386</v>
      </c>
      <c r="B3018" s="6" t="s">
        <v>6382</v>
      </c>
      <c r="C3018" s="4" t="s">
        <v>53</v>
      </c>
      <c r="D3018" s="4">
        <v>13</v>
      </c>
      <c r="E3018" s="4" t="s">
        <v>1148</v>
      </c>
    </row>
    <row r="3019" spans="1:6">
      <c r="A3019" s="4" t="s">
        <v>6387</v>
      </c>
      <c r="B3019" s="6" t="s">
        <v>6388</v>
      </c>
      <c r="C3019" s="4" t="s">
        <v>976</v>
      </c>
      <c r="D3019" s="4">
        <v>6</v>
      </c>
      <c r="E3019" s="4" t="s">
        <v>5336</v>
      </c>
      <c r="F3019" s="4" t="s">
        <v>6389</v>
      </c>
    </row>
    <row r="3020" spans="1:6">
      <c r="A3020" s="4" t="s">
        <v>6390</v>
      </c>
      <c r="B3020" s="6" t="s">
        <v>6391</v>
      </c>
      <c r="C3020" s="4" t="s">
        <v>520</v>
      </c>
      <c r="D3020" s="4">
        <v>7</v>
      </c>
      <c r="F3020" s="4" t="s">
        <v>6392</v>
      </c>
    </row>
    <row r="3021" spans="1:6">
      <c r="A3021" s="4" t="s">
        <v>6393</v>
      </c>
      <c r="B3021" s="6" t="s">
        <v>6388</v>
      </c>
      <c r="C3021" s="4" t="s">
        <v>81</v>
      </c>
      <c r="D3021" s="4">
        <v>15</v>
      </c>
      <c r="E3021" s="4" t="s">
        <v>6394</v>
      </c>
      <c r="F3021" s="4" t="s">
        <v>858</v>
      </c>
    </row>
    <row r="3022" spans="1:6">
      <c r="A3022" s="4" t="s">
        <v>6395</v>
      </c>
      <c r="B3022" s="6" t="s">
        <v>6396</v>
      </c>
      <c r="C3022" s="4" t="s">
        <v>223</v>
      </c>
      <c r="D3022" s="4">
        <v>10</v>
      </c>
      <c r="E3022" s="4" t="s">
        <v>6397</v>
      </c>
      <c r="F3022" s="4" t="s">
        <v>6398</v>
      </c>
    </row>
    <row r="3023" spans="1:6">
      <c r="A3023" s="4" t="s">
        <v>6399</v>
      </c>
      <c r="B3023" s="6" t="s">
        <v>6396</v>
      </c>
      <c r="C3023" s="4" t="s">
        <v>53</v>
      </c>
      <c r="D3023" s="4">
        <v>14</v>
      </c>
      <c r="E3023" s="4" t="s">
        <v>6397</v>
      </c>
    </row>
    <row r="3024" spans="1:6">
      <c r="A3024" s="4" t="s">
        <v>6400</v>
      </c>
      <c r="B3024" s="6" t="s">
        <v>6401</v>
      </c>
      <c r="C3024" s="4" t="s">
        <v>34</v>
      </c>
      <c r="D3024" s="4">
        <v>11</v>
      </c>
      <c r="E3024" s="4" t="s">
        <v>6402</v>
      </c>
      <c r="F3024" s="4" t="s">
        <v>130</v>
      </c>
    </row>
    <row r="3025" spans="1:6">
      <c r="A3025" s="4" t="s">
        <v>6403</v>
      </c>
      <c r="B3025" s="6" t="s">
        <v>6404</v>
      </c>
      <c r="C3025" s="4" t="s">
        <v>23</v>
      </c>
      <c r="D3025" s="4">
        <v>12</v>
      </c>
      <c r="E3025" s="4" t="s">
        <v>5300</v>
      </c>
      <c r="F3025" s="4" t="s">
        <v>6405</v>
      </c>
    </row>
    <row r="3026" spans="1:6">
      <c r="A3026" s="4" t="s">
        <v>6406</v>
      </c>
      <c r="B3026" s="6" t="s">
        <v>6407</v>
      </c>
      <c r="C3026" s="4" t="s">
        <v>420</v>
      </c>
      <c r="D3026" s="4">
        <v>10</v>
      </c>
      <c r="E3026" s="4" t="s">
        <v>6408</v>
      </c>
    </row>
    <row r="3027" spans="1:6">
      <c r="A3027" s="4" t="s">
        <v>6409</v>
      </c>
      <c r="B3027" s="6" t="s">
        <v>6407</v>
      </c>
      <c r="C3027" s="4" t="s">
        <v>301</v>
      </c>
      <c r="D3027" s="4">
        <v>17</v>
      </c>
      <c r="E3027" s="4" t="s">
        <v>1205</v>
      </c>
      <c r="F3027" s="4" t="s">
        <v>6410</v>
      </c>
    </row>
    <row r="3028" spans="1:6">
      <c r="A3028" s="4" t="s">
        <v>6411</v>
      </c>
      <c r="B3028" s="6" t="s">
        <v>6407</v>
      </c>
      <c r="C3028" s="4" t="s">
        <v>49</v>
      </c>
      <c r="D3028" s="4">
        <v>13</v>
      </c>
      <c r="E3028" s="4" t="s">
        <v>6408</v>
      </c>
      <c r="F3028" s="4" t="s">
        <v>6412</v>
      </c>
    </row>
    <row r="3029" spans="1:6">
      <c r="A3029" s="4" t="s">
        <v>6413</v>
      </c>
      <c r="B3029" s="6" t="s">
        <v>6407</v>
      </c>
      <c r="C3029" s="4" t="s">
        <v>995</v>
      </c>
      <c r="D3029" s="4">
        <v>24</v>
      </c>
      <c r="E3029" s="4" t="s">
        <v>6414</v>
      </c>
    </row>
    <row r="3030" spans="1:6">
      <c r="A3030" s="4" t="s">
        <v>6415</v>
      </c>
      <c r="B3030" s="6" t="s">
        <v>6416</v>
      </c>
      <c r="C3030" s="4" t="s">
        <v>315</v>
      </c>
      <c r="D3030" s="4">
        <v>14</v>
      </c>
      <c r="E3030" s="4" t="s">
        <v>6417</v>
      </c>
    </row>
    <row r="3031" spans="1:6">
      <c r="A3031" s="4" t="s">
        <v>6418</v>
      </c>
      <c r="B3031" s="6" t="s">
        <v>6419</v>
      </c>
      <c r="C3031" s="4" t="s">
        <v>238</v>
      </c>
      <c r="D3031" s="4">
        <v>9</v>
      </c>
      <c r="E3031" s="4" t="s">
        <v>6397</v>
      </c>
    </row>
    <row r="3032" spans="1:6">
      <c r="A3032" s="4" t="s">
        <v>6420</v>
      </c>
      <c r="B3032" s="6" t="s">
        <v>6421</v>
      </c>
      <c r="C3032" s="4" t="s">
        <v>285</v>
      </c>
      <c r="D3032" s="4">
        <v>11</v>
      </c>
      <c r="E3032" s="4" t="s">
        <v>6422</v>
      </c>
    </row>
    <row r="3033" spans="1:6">
      <c r="A3033" s="4" t="s">
        <v>6423</v>
      </c>
      <c r="B3033" s="6" t="s">
        <v>6424</v>
      </c>
      <c r="C3033" s="4" t="s">
        <v>45</v>
      </c>
      <c r="D3033" s="4">
        <v>19</v>
      </c>
      <c r="E3033" s="4" t="s">
        <v>2161</v>
      </c>
    </row>
    <row r="3034" spans="1:6">
      <c r="A3034" s="4" t="s">
        <v>6425</v>
      </c>
      <c r="B3034" s="6" t="s">
        <v>6426</v>
      </c>
      <c r="C3034" s="4" t="s">
        <v>34</v>
      </c>
      <c r="D3034" s="4">
        <v>12</v>
      </c>
      <c r="E3034" s="4" t="s">
        <v>6427</v>
      </c>
    </row>
    <row r="3035" spans="1:6">
      <c r="A3035" s="4" t="s">
        <v>6428</v>
      </c>
      <c r="B3035" s="6" t="s">
        <v>6429</v>
      </c>
      <c r="C3035" s="4" t="s">
        <v>238</v>
      </c>
      <c r="D3035" s="4">
        <v>10</v>
      </c>
      <c r="E3035" s="4" t="s">
        <v>1047</v>
      </c>
    </row>
    <row r="3036" spans="1:6">
      <c r="A3036" s="4" t="s">
        <v>6430</v>
      </c>
      <c r="B3036" s="6" t="s">
        <v>6429</v>
      </c>
      <c r="C3036" s="4" t="s">
        <v>1248</v>
      </c>
      <c r="D3036" s="4">
        <v>13</v>
      </c>
      <c r="E3036" s="4" t="s">
        <v>1047</v>
      </c>
      <c r="F3036" s="4" t="s">
        <v>5367</v>
      </c>
    </row>
    <row r="3037" spans="1:6">
      <c r="A3037" s="4" t="s">
        <v>6431</v>
      </c>
      <c r="B3037" s="6" t="s">
        <v>6432</v>
      </c>
      <c r="C3037" s="4" t="s">
        <v>63</v>
      </c>
      <c r="D3037" s="4">
        <v>17</v>
      </c>
      <c r="E3037" s="4" t="s">
        <v>6192</v>
      </c>
      <c r="F3037" s="4" t="s">
        <v>6433</v>
      </c>
    </row>
    <row r="3038" spans="1:6">
      <c r="A3038" s="4" t="s">
        <v>6434</v>
      </c>
      <c r="B3038" s="6" t="s">
        <v>6432</v>
      </c>
      <c r="C3038" s="4" t="s">
        <v>14</v>
      </c>
      <c r="D3038" s="4">
        <v>20</v>
      </c>
      <c r="E3038" s="4" t="s">
        <v>6192</v>
      </c>
    </row>
    <row r="3039" spans="1:6">
      <c r="A3039" s="4" t="s">
        <v>6435</v>
      </c>
      <c r="B3039" s="6" t="s">
        <v>6432</v>
      </c>
      <c r="C3039" s="4" t="s">
        <v>41</v>
      </c>
      <c r="D3039" s="4">
        <v>12</v>
      </c>
      <c r="E3039" s="4" t="s">
        <v>6197</v>
      </c>
      <c r="F3039" s="4" t="s">
        <v>6436</v>
      </c>
    </row>
    <row r="3040" spans="1:6">
      <c r="A3040" s="4" t="s">
        <v>6437</v>
      </c>
      <c r="B3040" s="6" t="s">
        <v>6438</v>
      </c>
      <c r="C3040" s="4" t="s">
        <v>104</v>
      </c>
      <c r="D3040" s="4">
        <v>14</v>
      </c>
      <c r="E3040" s="4" t="s">
        <v>2161</v>
      </c>
    </row>
    <row r="3041" spans="1:6">
      <c r="A3041" s="4" t="s">
        <v>6439</v>
      </c>
      <c r="B3041" s="6" t="s">
        <v>6440</v>
      </c>
      <c r="C3041" s="4" t="s">
        <v>104</v>
      </c>
      <c r="D3041" s="4">
        <v>9</v>
      </c>
      <c r="E3041" s="4" t="s">
        <v>6441</v>
      </c>
    </row>
    <row r="3042" spans="1:6">
      <c r="A3042" s="4" t="s">
        <v>6442</v>
      </c>
      <c r="B3042" s="6" t="s">
        <v>6440</v>
      </c>
      <c r="C3042" s="4" t="s">
        <v>414</v>
      </c>
      <c r="D3042" s="4">
        <v>12</v>
      </c>
      <c r="E3042" s="4" t="s">
        <v>1069</v>
      </c>
    </row>
    <row r="3043" spans="1:6">
      <c r="A3043" s="4" t="s">
        <v>6443</v>
      </c>
      <c r="B3043" s="6" t="s">
        <v>6444</v>
      </c>
      <c r="C3043" s="4" t="s">
        <v>34</v>
      </c>
      <c r="D3043" s="4">
        <v>10</v>
      </c>
      <c r="E3043" s="4" t="s">
        <v>6192</v>
      </c>
      <c r="F3043" s="4" t="s">
        <v>6445</v>
      </c>
    </row>
    <row r="3044" spans="1:6">
      <c r="A3044" s="4" t="s">
        <v>6446</v>
      </c>
      <c r="B3044" s="6" t="s">
        <v>6444</v>
      </c>
      <c r="C3044" s="4" t="s">
        <v>34</v>
      </c>
      <c r="D3044" s="4">
        <v>12</v>
      </c>
      <c r="E3044" s="4" t="s">
        <v>6192</v>
      </c>
      <c r="F3044" s="4" t="s">
        <v>6445</v>
      </c>
    </row>
    <row r="3045" spans="1:6">
      <c r="A3045" s="4" t="s">
        <v>6447</v>
      </c>
      <c r="B3045" s="6" t="s">
        <v>6448</v>
      </c>
      <c r="C3045" s="4" t="s">
        <v>195</v>
      </c>
      <c r="D3045" s="4">
        <v>13</v>
      </c>
      <c r="E3045" s="4" t="s">
        <v>1208</v>
      </c>
      <c r="F3045" s="4" t="s">
        <v>6449</v>
      </c>
    </row>
    <row r="3046" spans="1:6">
      <c r="A3046" s="4" t="s">
        <v>6450</v>
      </c>
      <c r="B3046" s="6" t="s">
        <v>6451</v>
      </c>
      <c r="C3046" s="4" t="s">
        <v>315</v>
      </c>
      <c r="D3046" s="4">
        <v>15</v>
      </c>
      <c r="E3046" s="4" t="s">
        <v>6452</v>
      </c>
      <c r="F3046" s="4" t="s">
        <v>6453</v>
      </c>
    </row>
    <row r="3047" spans="1:6">
      <c r="A3047" s="4" t="s">
        <v>6454</v>
      </c>
      <c r="B3047" s="6" t="s">
        <v>6455</v>
      </c>
      <c r="C3047" s="4" t="s">
        <v>23</v>
      </c>
      <c r="D3047" s="4">
        <v>5</v>
      </c>
      <c r="E3047" s="4" t="s">
        <v>1047</v>
      </c>
      <c r="F3047" s="4" t="s">
        <v>6456</v>
      </c>
    </row>
    <row r="3048" spans="1:6">
      <c r="A3048" s="4" t="s">
        <v>6457</v>
      </c>
      <c r="B3048" s="6" t="s">
        <v>6458</v>
      </c>
      <c r="C3048" s="4" t="s">
        <v>254</v>
      </c>
      <c r="D3048" s="4">
        <v>8</v>
      </c>
      <c r="E3048" s="4" t="s">
        <v>1047</v>
      </c>
      <c r="F3048" s="4" t="s">
        <v>6459</v>
      </c>
    </row>
    <row r="3049" spans="1:6">
      <c r="A3049" s="4" t="s">
        <v>6460</v>
      </c>
      <c r="B3049" s="6" t="s">
        <v>6461</v>
      </c>
      <c r="C3049" s="4" t="s">
        <v>448</v>
      </c>
      <c r="D3049" s="4">
        <v>4</v>
      </c>
      <c r="E3049" s="4" t="s">
        <v>1161</v>
      </c>
      <c r="F3049" s="4" t="s">
        <v>5158</v>
      </c>
    </row>
    <row r="3050" spans="1:6">
      <c r="A3050" s="4" t="s">
        <v>6462</v>
      </c>
      <c r="B3050" s="6" t="s">
        <v>6463</v>
      </c>
      <c r="C3050" s="4" t="s">
        <v>1885</v>
      </c>
      <c r="D3050" s="4">
        <v>8</v>
      </c>
      <c r="E3050" s="4" t="s">
        <v>6464</v>
      </c>
      <c r="F3050" s="4" t="s">
        <v>925</v>
      </c>
    </row>
    <row r="3051" spans="1:6">
      <c r="A3051" s="4" t="s">
        <v>6465</v>
      </c>
      <c r="B3051" s="6" t="s">
        <v>6466</v>
      </c>
      <c r="C3051" s="4" t="s">
        <v>74</v>
      </c>
      <c r="D3051" s="4">
        <v>8</v>
      </c>
      <c r="E3051" s="4" t="s">
        <v>6168</v>
      </c>
      <c r="F3051" s="4" t="s">
        <v>6467</v>
      </c>
    </row>
    <row r="3052" spans="1:6">
      <c r="A3052" s="4" t="s">
        <v>6468</v>
      </c>
      <c r="B3052" s="6" t="s">
        <v>6466</v>
      </c>
      <c r="C3052" s="4" t="s">
        <v>23</v>
      </c>
      <c r="D3052" s="4">
        <v>13</v>
      </c>
      <c r="E3052" s="4" t="s">
        <v>2769</v>
      </c>
    </row>
    <row r="3053" spans="1:6">
      <c r="A3053" s="4" t="s">
        <v>6469</v>
      </c>
      <c r="B3053" s="6" t="s">
        <v>6470</v>
      </c>
      <c r="C3053" s="4" t="s">
        <v>686</v>
      </c>
      <c r="D3053" s="4">
        <v>7</v>
      </c>
      <c r="E3053" s="4" t="s">
        <v>6245</v>
      </c>
      <c r="F3053" s="4" t="s">
        <v>6471</v>
      </c>
    </row>
    <row r="3054" spans="1:6">
      <c r="A3054" s="4" t="s">
        <v>6472</v>
      </c>
      <c r="B3054" s="6" t="s">
        <v>6470</v>
      </c>
      <c r="C3054" s="4" t="s">
        <v>23</v>
      </c>
      <c r="D3054" s="4">
        <v>9</v>
      </c>
      <c r="E3054" s="4" t="s">
        <v>6245</v>
      </c>
      <c r="F3054" s="4" t="s">
        <v>6473</v>
      </c>
    </row>
    <row r="3055" spans="1:6">
      <c r="A3055" s="4" t="s">
        <v>6474</v>
      </c>
      <c r="B3055" s="6" t="s">
        <v>6475</v>
      </c>
      <c r="C3055" s="4" t="s">
        <v>448</v>
      </c>
      <c r="D3055" s="4">
        <v>3</v>
      </c>
      <c r="E3055" s="4" t="s">
        <v>6183</v>
      </c>
      <c r="F3055" s="4" t="s">
        <v>6476</v>
      </c>
    </row>
    <row r="3056" spans="1:6">
      <c r="A3056" s="4" t="s">
        <v>6477</v>
      </c>
      <c r="B3056" s="6" t="s">
        <v>6478</v>
      </c>
      <c r="C3056" s="4" t="s">
        <v>53</v>
      </c>
      <c r="D3056" s="4">
        <v>10</v>
      </c>
      <c r="E3056" s="4" t="s">
        <v>6192</v>
      </c>
      <c r="F3056" s="4" t="s">
        <v>6479</v>
      </c>
    </row>
    <row r="3057" spans="1:6">
      <c r="A3057" s="4" t="s">
        <v>6480</v>
      </c>
      <c r="B3057" s="6" t="s">
        <v>6481</v>
      </c>
      <c r="C3057" s="4" t="s">
        <v>263</v>
      </c>
      <c r="D3057" s="4">
        <v>10</v>
      </c>
      <c r="E3057" s="4" t="s">
        <v>6192</v>
      </c>
      <c r="F3057" s="4" t="s">
        <v>6482</v>
      </c>
    </row>
    <row r="3058" spans="1:6">
      <c r="A3058" s="4" t="s">
        <v>6483</v>
      </c>
      <c r="B3058" s="6" t="s">
        <v>6484</v>
      </c>
      <c r="C3058" s="4" t="s">
        <v>275</v>
      </c>
      <c r="D3058" s="4">
        <v>14</v>
      </c>
      <c r="E3058" s="4" t="s">
        <v>6192</v>
      </c>
      <c r="F3058" s="4" t="s">
        <v>3201</v>
      </c>
    </row>
    <row r="3059" spans="1:6">
      <c r="A3059" s="4" t="s">
        <v>6485</v>
      </c>
      <c r="B3059" s="6" t="s">
        <v>6484</v>
      </c>
      <c r="C3059" s="4" t="s">
        <v>268</v>
      </c>
      <c r="D3059" s="4">
        <v>18</v>
      </c>
      <c r="E3059" s="4" t="s">
        <v>6192</v>
      </c>
      <c r="F3059" s="4" t="s">
        <v>6486</v>
      </c>
    </row>
    <row r="3060" spans="1:6">
      <c r="A3060" s="4" t="s">
        <v>6487</v>
      </c>
      <c r="B3060" s="6" t="s">
        <v>6484</v>
      </c>
      <c r="C3060" s="4" t="s">
        <v>34</v>
      </c>
      <c r="D3060" s="4">
        <v>11</v>
      </c>
      <c r="E3060" s="4" t="s">
        <v>6192</v>
      </c>
      <c r="F3060" s="4" t="s">
        <v>6488</v>
      </c>
    </row>
    <row r="3061" spans="1:6">
      <c r="A3061" s="4" t="s">
        <v>6489</v>
      </c>
      <c r="B3061" s="6" t="s">
        <v>6490</v>
      </c>
      <c r="C3061" s="4" t="s">
        <v>301</v>
      </c>
      <c r="D3061" s="4">
        <v>19</v>
      </c>
      <c r="E3061" s="4" t="s">
        <v>6192</v>
      </c>
      <c r="F3061" s="4" t="s">
        <v>6491</v>
      </c>
    </row>
    <row r="3062" spans="1:6">
      <c r="A3062" s="4" t="s">
        <v>6492</v>
      </c>
      <c r="B3062" s="6" t="s">
        <v>6493</v>
      </c>
      <c r="C3062" s="4" t="s">
        <v>254</v>
      </c>
      <c r="D3062" s="4">
        <v>7</v>
      </c>
      <c r="E3062" s="4" t="s">
        <v>2769</v>
      </c>
      <c r="F3062" s="4" t="s">
        <v>6494</v>
      </c>
    </row>
    <row r="3063" spans="1:6">
      <c r="A3063" s="4" t="s">
        <v>6495</v>
      </c>
      <c r="B3063" s="6" t="s">
        <v>6493</v>
      </c>
      <c r="C3063" s="4" t="s">
        <v>254</v>
      </c>
      <c r="D3063" s="4">
        <v>10</v>
      </c>
      <c r="E3063" s="4" t="s">
        <v>1263</v>
      </c>
      <c r="F3063" s="4" t="s">
        <v>6496</v>
      </c>
    </row>
    <row r="3064" spans="1:6">
      <c r="A3064" s="4" t="s">
        <v>6497</v>
      </c>
      <c r="B3064" s="6" t="s">
        <v>6493</v>
      </c>
      <c r="C3064" s="4" t="s">
        <v>173</v>
      </c>
      <c r="D3064" s="4">
        <v>9</v>
      </c>
      <c r="E3064" s="4" t="s">
        <v>983</v>
      </c>
      <c r="F3064" s="4" t="s">
        <v>6498</v>
      </c>
    </row>
    <row r="3065" spans="1:6">
      <c r="A3065" s="4" t="s">
        <v>6499</v>
      </c>
      <c r="B3065" s="6" t="s">
        <v>6500</v>
      </c>
      <c r="C3065" s="4" t="s">
        <v>254</v>
      </c>
      <c r="D3065" s="4">
        <v>7</v>
      </c>
      <c r="E3065" s="4" t="s">
        <v>6501</v>
      </c>
      <c r="F3065" s="4" t="s">
        <v>6502</v>
      </c>
    </row>
    <row r="3066" spans="1:6">
      <c r="A3066" s="4" t="s">
        <v>6503</v>
      </c>
      <c r="B3066" s="6" t="s">
        <v>6504</v>
      </c>
      <c r="C3066" s="4" t="s">
        <v>917</v>
      </c>
      <c r="D3066" s="4">
        <v>6</v>
      </c>
      <c r="E3066" s="4" t="s">
        <v>6245</v>
      </c>
      <c r="F3066" s="4" t="s">
        <v>6505</v>
      </c>
    </row>
    <row r="3067" spans="1:6">
      <c r="A3067" s="4" t="s">
        <v>6506</v>
      </c>
      <c r="B3067" s="6" t="s">
        <v>6504</v>
      </c>
      <c r="C3067" s="4" t="s">
        <v>453</v>
      </c>
      <c r="D3067" s="4">
        <v>17</v>
      </c>
      <c r="E3067" s="4" t="s">
        <v>6245</v>
      </c>
    </row>
    <row r="3068" spans="1:6">
      <c r="A3068" s="4" t="s">
        <v>6507</v>
      </c>
      <c r="B3068" s="6" t="s">
        <v>6508</v>
      </c>
      <c r="C3068" s="4" t="s">
        <v>453</v>
      </c>
      <c r="D3068" s="4">
        <v>15</v>
      </c>
      <c r="E3068" s="4" t="s">
        <v>6183</v>
      </c>
    </row>
    <row r="3069" spans="1:6">
      <c r="A3069" s="4" t="s">
        <v>6509</v>
      </c>
      <c r="B3069" s="6" t="s">
        <v>6508</v>
      </c>
      <c r="C3069" s="4" t="s">
        <v>414</v>
      </c>
      <c r="D3069" s="4">
        <v>12</v>
      </c>
      <c r="E3069" s="4" t="s">
        <v>6183</v>
      </c>
      <c r="F3069" s="4" t="s">
        <v>6510</v>
      </c>
    </row>
    <row r="3070" spans="1:6">
      <c r="A3070" s="4" t="s">
        <v>6511</v>
      </c>
      <c r="B3070" s="6" t="s">
        <v>6508</v>
      </c>
      <c r="C3070" s="4" t="s">
        <v>34</v>
      </c>
      <c r="D3070" s="4">
        <v>18</v>
      </c>
      <c r="E3070" s="4" t="s">
        <v>6183</v>
      </c>
    </row>
    <row r="3071" spans="1:6">
      <c r="A3071" s="4" t="s">
        <v>6512</v>
      </c>
      <c r="B3071" s="6" t="s">
        <v>6513</v>
      </c>
      <c r="C3071" s="4" t="s">
        <v>49</v>
      </c>
      <c r="D3071" s="4">
        <v>12</v>
      </c>
      <c r="E3071" s="4" t="s">
        <v>6192</v>
      </c>
      <c r="F3071" s="4" t="s">
        <v>491</v>
      </c>
    </row>
    <row r="3072" spans="1:6">
      <c r="A3072" s="4" t="s">
        <v>6514</v>
      </c>
      <c r="B3072" s="6" t="s">
        <v>6513</v>
      </c>
      <c r="C3072" s="4" t="s">
        <v>49</v>
      </c>
      <c r="D3072" s="4">
        <v>15</v>
      </c>
      <c r="E3072" s="4" t="s">
        <v>6515</v>
      </c>
      <c r="F3072" s="4" t="s">
        <v>3631</v>
      </c>
    </row>
    <row r="3073" spans="1:6">
      <c r="A3073" s="4" t="s">
        <v>6516</v>
      </c>
      <c r="B3073" s="6" t="s">
        <v>6517</v>
      </c>
      <c r="C3073" s="4" t="s">
        <v>686</v>
      </c>
      <c r="D3073" s="4">
        <v>17</v>
      </c>
      <c r="E3073" s="4" t="s">
        <v>6192</v>
      </c>
    </row>
    <row r="3074" spans="1:6">
      <c r="A3074" s="4" t="s">
        <v>6518</v>
      </c>
      <c r="B3074" s="6" t="s">
        <v>6517</v>
      </c>
      <c r="C3074" s="4" t="s">
        <v>439</v>
      </c>
      <c r="D3074" s="4">
        <v>20</v>
      </c>
      <c r="E3074" s="4" t="s">
        <v>6192</v>
      </c>
    </row>
    <row r="3075" spans="1:6">
      <c r="A3075" s="4" t="s">
        <v>6519</v>
      </c>
      <c r="B3075" s="6" t="s">
        <v>6517</v>
      </c>
      <c r="C3075" s="4" t="s">
        <v>23</v>
      </c>
      <c r="D3075" s="4">
        <v>16</v>
      </c>
      <c r="E3075" s="4" t="s">
        <v>6192</v>
      </c>
    </row>
    <row r="3076" spans="1:6">
      <c r="A3076" s="4" t="s">
        <v>6520</v>
      </c>
      <c r="B3076" s="6" t="s">
        <v>6521</v>
      </c>
      <c r="C3076" s="4" t="s">
        <v>2818</v>
      </c>
      <c r="D3076" s="4">
        <v>6</v>
      </c>
      <c r="E3076" s="4" t="s">
        <v>6192</v>
      </c>
    </row>
    <row r="3077" spans="1:6">
      <c r="A3077" s="4" t="s">
        <v>6522</v>
      </c>
      <c r="B3077" s="6" t="s">
        <v>6523</v>
      </c>
      <c r="C3077" s="4" t="s">
        <v>34</v>
      </c>
      <c r="D3077" s="4">
        <v>15</v>
      </c>
      <c r="E3077" s="4" t="s">
        <v>6524</v>
      </c>
      <c r="F3077" s="4" t="s">
        <v>257</v>
      </c>
    </row>
    <row r="3078" spans="1:6">
      <c r="A3078" s="4" t="s">
        <v>6525</v>
      </c>
      <c r="B3078" s="6" t="s">
        <v>6526</v>
      </c>
      <c r="C3078" s="4" t="s">
        <v>179</v>
      </c>
      <c r="D3078" s="4">
        <v>8</v>
      </c>
      <c r="E3078" s="4" t="s">
        <v>6527</v>
      </c>
    </row>
    <row r="3079" spans="1:6">
      <c r="A3079" s="4" t="s">
        <v>6528</v>
      </c>
      <c r="B3079" s="6" t="s">
        <v>6526</v>
      </c>
      <c r="C3079" s="4" t="s">
        <v>992</v>
      </c>
      <c r="D3079" s="4">
        <v>11</v>
      </c>
      <c r="E3079" s="4" t="s">
        <v>983</v>
      </c>
      <c r="F3079" s="4" t="s">
        <v>6529</v>
      </c>
    </row>
    <row r="3080" spans="1:6">
      <c r="A3080" s="4" t="s">
        <v>6530</v>
      </c>
      <c r="B3080" s="6" t="s">
        <v>6531</v>
      </c>
      <c r="C3080" s="4" t="s">
        <v>34</v>
      </c>
      <c r="D3080" s="4">
        <v>3</v>
      </c>
      <c r="E3080" s="4" t="s">
        <v>6532</v>
      </c>
    </row>
    <row r="3081" spans="1:6">
      <c r="A3081" s="4" t="s">
        <v>6533</v>
      </c>
      <c r="B3081" s="6" t="s">
        <v>6531</v>
      </c>
      <c r="C3081" s="4" t="s">
        <v>453</v>
      </c>
      <c r="D3081" s="4">
        <v>10</v>
      </c>
      <c r="E3081" s="4" t="s">
        <v>6534</v>
      </c>
    </row>
    <row r="3082" spans="1:6">
      <c r="A3082" s="4" t="s">
        <v>6535</v>
      </c>
      <c r="B3082" s="6" t="s">
        <v>6531</v>
      </c>
      <c r="C3082" s="4" t="s">
        <v>223</v>
      </c>
      <c r="D3082" s="4">
        <v>12</v>
      </c>
      <c r="E3082" s="4" t="s">
        <v>6245</v>
      </c>
      <c r="F3082" s="4" t="s">
        <v>6536</v>
      </c>
    </row>
    <row r="3083" spans="1:6">
      <c r="A3083" s="4" t="s">
        <v>6537</v>
      </c>
      <c r="B3083" s="6" t="s">
        <v>6531</v>
      </c>
      <c r="C3083" s="4" t="s">
        <v>53</v>
      </c>
      <c r="D3083" s="4">
        <v>7</v>
      </c>
      <c r="E3083" s="4" t="s">
        <v>6538</v>
      </c>
    </row>
    <row r="3084" spans="1:6">
      <c r="A3084" s="4" t="s">
        <v>6539</v>
      </c>
      <c r="B3084" s="6" t="s">
        <v>6531</v>
      </c>
      <c r="C3084" s="4" t="s">
        <v>1078</v>
      </c>
      <c r="D3084" s="4">
        <v>14</v>
      </c>
      <c r="E3084" s="4" t="s">
        <v>1187</v>
      </c>
      <c r="F3084" s="4" t="s">
        <v>4054</v>
      </c>
    </row>
    <row r="3085" spans="1:6">
      <c r="A3085" s="4" t="s">
        <v>6540</v>
      </c>
      <c r="B3085" s="6" t="s">
        <v>6541</v>
      </c>
      <c r="C3085" s="4" t="s">
        <v>53</v>
      </c>
      <c r="D3085" s="4">
        <v>10</v>
      </c>
      <c r="E3085" s="4" t="s">
        <v>6245</v>
      </c>
    </row>
    <row r="3086" spans="1:6">
      <c r="A3086" s="4" t="s">
        <v>6542</v>
      </c>
      <c r="B3086" s="6" t="s">
        <v>6543</v>
      </c>
      <c r="C3086" s="4" t="s">
        <v>453</v>
      </c>
      <c r="D3086" s="4">
        <v>11</v>
      </c>
      <c r="E3086" s="4" t="s">
        <v>6534</v>
      </c>
    </row>
    <row r="3087" spans="1:6">
      <c r="A3087" s="4" t="s">
        <v>6544</v>
      </c>
      <c r="B3087" s="6" t="s">
        <v>6545</v>
      </c>
      <c r="C3087" s="4" t="s">
        <v>81</v>
      </c>
      <c r="D3087" s="4">
        <v>14</v>
      </c>
      <c r="E3087" s="4" t="s">
        <v>6546</v>
      </c>
      <c r="F3087" s="4" t="s">
        <v>6547</v>
      </c>
    </row>
    <row r="3088" spans="1:6">
      <c r="A3088" s="4" t="s">
        <v>6548</v>
      </c>
      <c r="B3088" s="6" t="s">
        <v>6545</v>
      </c>
      <c r="C3088" s="4" t="s">
        <v>81</v>
      </c>
      <c r="D3088" s="4">
        <v>15</v>
      </c>
      <c r="E3088" s="4" t="s">
        <v>6546</v>
      </c>
      <c r="F3088" s="4" t="s">
        <v>6547</v>
      </c>
    </row>
    <row r="3089" spans="1:6">
      <c r="A3089" s="4" t="s">
        <v>6549</v>
      </c>
      <c r="B3089" s="6" t="s">
        <v>6545</v>
      </c>
      <c r="C3089" s="4" t="s">
        <v>427</v>
      </c>
      <c r="D3089" s="4">
        <v>24</v>
      </c>
      <c r="E3089" s="4" t="s">
        <v>6183</v>
      </c>
      <c r="F3089" s="4" t="s">
        <v>6550</v>
      </c>
    </row>
    <row r="3090" spans="1:6">
      <c r="A3090" s="4" t="s">
        <v>6551</v>
      </c>
      <c r="B3090" s="6" t="s">
        <v>6552</v>
      </c>
      <c r="C3090" s="4" t="s">
        <v>544</v>
      </c>
      <c r="D3090" s="4">
        <v>10</v>
      </c>
      <c r="E3090" s="4" t="s">
        <v>6553</v>
      </c>
      <c r="F3090" s="4" t="s">
        <v>6554</v>
      </c>
    </row>
    <row r="3091" spans="1:6">
      <c r="A3091" s="4" t="s">
        <v>6555</v>
      </c>
      <c r="B3091" s="6" t="s">
        <v>6552</v>
      </c>
      <c r="C3091" s="4" t="s">
        <v>544</v>
      </c>
      <c r="D3091" s="4">
        <v>12</v>
      </c>
      <c r="E3091" s="4" t="s">
        <v>6553</v>
      </c>
    </row>
    <row r="3092" spans="1:6">
      <c r="A3092" s="4" t="s">
        <v>6556</v>
      </c>
      <c r="B3092" s="6" t="s">
        <v>6557</v>
      </c>
      <c r="C3092" s="4" t="s">
        <v>104</v>
      </c>
      <c r="D3092" s="4">
        <v>11</v>
      </c>
      <c r="E3092" s="4" t="s">
        <v>6192</v>
      </c>
    </row>
    <row r="3093" spans="1:6">
      <c r="A3093" s="4" t="s">
        <v>6558</v>
      </c>
      <c r="B3093" s="6" t="s">
        <v>6557</v>
      </c>
      <c r="C3093" s="4" t="s">
        <v>53</v>
      </c>
      <c r="D3093" s="4">
        <v>15</v>
      </c>
      <c r="E3093" s="4" t="s">
        <v>6192</v>
      </c>
    </row>
    <row r="3094" spans="1:6">
      <c r="A3094" s="4" t="s">
        <v>6559</v>
      </c>
      <c r="B3094" s="6" t="s">
        <v>6560</v>
      </c>
      <c r="C3094" s="4" t="s">
        <v>3483</v>
      </c>
      <c r="D3094" s="4">
        <v>5</v>
      </c>
      <c r="E3094" s="4" t="s">
        <v>983</v>
      </c>
      <c r="F3094" s="4" t="s">
        <v>6561</v>
      </c>
    </row>
    <row r="3095" spans="1:6">
      <c r="A3095" s="4" t="s">
        <v>6562</v>
      </c>
      <c r="B3095" s="6" t="s">
        <v>6560</v>
      </c>
      <c r="C3095" s="4" t="s">
        <v>1323</v>
      </c>
      <c r="D3095" s="4">
        <v>5</v>
      </c>
      <c r="E3095" s="4" t="s">
        <v>2769</v>
      </c>
      <c r="F3095" s="4" t="s">
        <v>6563</v>
      </c>
    </row>
    <row r="3096" spans="1:6">
      <c r="A3096" s="4" t="s">
        <v>6564</v>
      </c>
      <c r="B3096" s="6" t="s">
        <v>6560</v>
      </c>
      <c r="C3096" s="4" t="s">
        <v>3483</v>
      </c>
      <c r="D3096" s="4">
        <v>14</v>
      </c>
      <c r="E3096" s="4" t="s">
        <v>983</v>
      </c>
      <c r="F3096" s="4" t="s">
        <v>6561</v>
      </c>
    </row>
    <row r="3097" spans="1:6">
      <c r="A3097" s="4" t="s">
        <v>6565</v>
      </c>
      <c r="B3097" s="6" t="s">
        <v>6560</v>
      </c>
      <c r="C3097" s="4" t="s">
        <v>45</v>
      </c>
      <c r="D3097" s="4">
        <v>15</v>
      </c>
      <c r="E3097" s="4" t="s">
        <v>983</v>
      </c>
      <c r="F3097" s="4" t="s">
        <v>6561</v>
      </c>
    </row>
    <row r="3098" spans="1:6">
      <c r="A3098" s="4" t="s">
        <v>6566</v>
      </c>
      <c r="B3098" s="6" t="s">
        <v>6567</v>
      </c>
      <c r="C3098" s="4" t="s">
        <v>574</v>
      </c>
      <c r="D3098" s="4">
        <v>13</v>
      </c>
      <c r="E3098" s="4" t="s">
        <v>6245</v>
      </c>
      <c r="F3098" s="4" t="s">
        <v>6568</v>
      </c>
    </row>
    <row r="3099" spans="1:6">
      <c r="A3099" s="4" t="s">
        <v>6569</v>
      </c>
      <c r="B3099" s="6" t="s">
        <v>6570</v>
      </c>
      <c r="C3099" s="4" t="s">
        <v>254</v>
      </c>
      <c r="D3099" s="4">
        <v>12</v>
      </c>
      <c r="E3099" s="4" t="s">
        <v>6183</v>
      </c>
      <c r="F3099" s="4" t="s">
        <v>4360</v>
      </c>
    </row>
    <row r="3100" spans="1:6">
      <c r="A3100" s="4" t="s">
        <v>6571</v>
      </c>
      <c r="B3100" s="6" t="s">
        <v>6570</v>
      </c>
      <c r="C3100" s="4" t="s">
        <v>63</v>
      </c>
      <c r="D3100" s="4">
        <v>20</v>
      </c>
      <c r="E3100" s="4" t="s">
        <v>6180</v>
      </c>
      <c r="F3100" s="4" t="s">
        <v>6572</v>
      </c>
    </row>
    <row r="3101" spans="1:6">
      <c r="A3101" s="4" t="s">
        <v>6573</v>
      </c>
      <c r="B3101" s="6" t="s">
        <v>6574</v>
      </c>
      <c r="C3101" s="4" t="s">
        <v>49</v>
      </c>
      <c r="D3101" s="4">
        <v>19</v>
      </c>
      <c r="E3101" s="4" t="s">
        <v>6192</v>
      </c>
      <c r="F3101" s="4" t="s">
        <v>6575</v>
      </c>
    </row>
    <row r="3102" spans="1:6">
      <c r="A3102" s="4" t="s">
        <v>6576</v>
      </c>
      <c r="B3102" s="6" t="s">
        <v>6574</v>
      </c>
      <c r="C3102" s="4" t="s">
        <v>34</v>
      </c>
      <c r="D3102" s="4">
        <v>11</v>
      </c>
      <c r="E3102" s="4" t="s">
        <v>6192</v>
      </c>
      <c r="F3102" s="4" t="s">
        <v>4418</v>
      </c>
    </row>
    <row r="3103" spans="1:6">
      <c r="A3103" s="4" t="s">
        <v>6577</v>
      </c>
      <c r="B3103" s="6" t="s">
        <v>6574</v>
      </c>
      <c r="C3103" s="4" t="s">
        <v>104</v>
      </c>
      <c r="D3103" s="4">
        <v>6</v>
      </c>
      <c r="E3103" s="4" t="s">
        <v>6192</v>
      </c>
      <c r="F3103" s="4" t="s">
        <v>6578</v>
      </c>
    </row>
    <row r="3104" spans="1:6">
      <c r="A3104" s="4" t="s">
        <v>6579</v>
      </c>
      <c r="B3104" s="6" t="s">
        <v>6574</v>
      </c>
      <c r="C3104" s="4" t="s">
        <v>53</v>
      </c>
      <c r="D3104" s="4">
        <v>12</v>
      </c>
      <c r="E3104" s="4" t="s">
        <v>6192</v>
      </c>
      <c r="F3104" s="4" t="s">
        <v>6580</v>
      </c>
    </row>
    <row r="3105" spans="1:6">
      <c r="A3105" s="4" t="s">
        <v>6581</v>
      </c>
      <c r="B3105" s="6" t="s">
        <v>6574</v>
      </c>
      <c r="C3105" s="4" t="s">
        <v>427</v>
      </c>
      <c r="D3105" s="4">
        <v>10</v>
      </c>
      <c r="E3105" s="4" t="s">
        <v>6192</v>
      </c>
      <c r="F3105" s="4" t="s">
        <v>6582</v>
      </c>
    </row>
    <row r="3106" spans="1:6">
      <c r="A3106" s="4" t="s">
        <v>6583</v>
      </c>
      <c r="B3106" s="6" t="s">
        <v>6574</v>
      </c>
      <c r="C3106" s="4" t="s">
        <v>87</v>
      </c>
      <c r="D3106" s="4">
        <v>14</v>
      </c>
      <c r="E3106" s="4" t="s">
        <v>6192</v>
      </c>
      <c r="F3106" s="4" t="s">
        <v>6584</v>
      </c>
    </row>
    <row r="3107" spans="1:6">
      <c r="A3107" s="4" t="s">
        <v>6585</v>
      </c>
      <c r="B3107" s="6" t="s">
        <v>6586</v>
      </c>
      <c r="C3107" s="4" t="s">
        <v>37</v>
      </c>
      <c r="D3107" s="4">
        <v>17</v>
      </c>
      <c r="E3107" s="4" t="s">
        <v>983</v>
      </c>
      <c r="F3107" s="4" t="s">
        <v>5087</v>
      </c>
    </row>
    <row r="3108" spans="1:6">
      <c r="A3108" s="4" t="s">
        <v>6587</v>
      </c>
      <c r="B3108" s="6" t="s">
        <v>6588</v>
      </c>
      <c r="C3108" s="4" t="s">
        <v>1262</v>
      </c>
      <c r="D3108" s="4">
        <v>12</v>
      </c>
      <c r="E3108" s="4" t="s">
        <v>6207</v>
      </c>
      <c r="F3108" s="4" t="s">
        <v>1005</v>
      </c>
    </row>
    <row r="3109" spans="1:6">
      <c r="A3109" s="4" t="s">
        <v>6589</v>
      </c>
      <c r="B3109" s="6" t="s">
        <v>6588</v>
      </c>
      <c r="C3109" s="4" t="s">
        <v>104</v>
      </c>
      <c r="D3109" s="4">
        <v>9</v>
      </c>
      <c r="E3109" s="4" t="s">
        <v>6207</v>
      </c>
    </row>
    <row r="3110" spans="1:6">
      <c r="A3110" s="4" t="s">
        <v>6590</v>
      </c>
      <c r="B3110" s="6" t="s">
        <v>6588</v>
      </c>
      <c r="C3110" s="4" t="s">
        <v>686</v>
      </c>
      <c r="D3110" s="4">
        <v>9</v>
      </c>
      <c r="E3110" s="4" t="s">
        <v>6591</v>
      </c>
    </row>
    <row r="3111" spans="1:6">
      <c r="A3111" s="4" t="s">
        <v>6592</v>
      </c>
      <c r="B3111" s="6" t="s">
        <v>6593</v>
      </c>
      <c r="C3111" s="4" t="s">
        <v>53</v>
      </c>
      <c r="D3111" s="4">
        <v>9</v>
      </c>
      <c r="E3111" s="4" t="s">
        <v>6207</v>
      </c>
    </row>
    <row r="3112" spans="1:6">
      <c r="A3112" s="4" t="s">
        <v>6594</v>
      </c>
      <c r="B3112" s="6" t="s">
        <v>6595</v>
      </c>
      <c r="C3112" s="4" t="s">
        <v>27</v>
      </c>
      <c r="D3112" s="4">
        <v>6</v>
      </c>
      <c r="E3112" s="4" t="s">
        <v>6534</v>
      </c>
      <c r="F3112" s="4" t="s">
        <v>3338</v>
      </c>
    </row>
    <row r="3113" spans="1:6">
      <c r="A3113" s="4" t="s">
        <v>6596</v>
      </c>
      <c r="B3113" s="6" t="s">
        <v>6597</v>
      </c>
      <c r="C3113" s="4" t="s">
        <v>104</v>
      </c>
      <c r="D3113" s="4">
        <v>15</v>
      </c>
      <c r="E3113" s="4" t="s">
        <v>6553</v>
      </c>
      <c r="F3113" s="4" t="s">
        <v>6598</v>
      </c>
    </row>
    <row r="3114" spans="1:6">
      <c r="A3114" s="4" t="s">
        <v>6599</v>
      </c>
      <c r="B3114" s="6" t="s">
        <v>6600</v>
      </c>
      <c r="C3114" s="4" t="s">
        <v>53</v>
      </c>
      <c r="D3114" s="4">
        <v>15</v>
      </c>
      <c r="E3114" s="4" t="s">
        <v>3534</v>
      </c>
    </row>
    <row r="3115" spans="1:6">
      <c r="A3115" s="4" t="s">
        <v>6601</v>
      </c>
      <c r="B3115" s="6" t="s">
        <v>6602</v>
      </c>
      <c r="C3115" s="4" t="s">
        <v>354</v>
      </c>
      <c r="D3115" s="4">
        <v>19</v>
      </c>
      <c r="E3115" s="4" t="s">
        <v>6515</v>
      </c>
    </row>
    <row r="3116" spans="1:6">
      <c r="A3116" s="4" t="s">
        <v>6603</v>
      </c>
      <c r="B3116" s="6" t="s">
        <v>6602</v>
      </c>
      <c r="C3116" s="4" t="s">
        <v>354</v>
      </c>
      <c r="D3116" s="4">
        <v>22</v>
      </c>
      <c r="E3116" s="4" t="s">
        <v>6515</v>
      </c>
    </row>
    <row r="3117" spans="1:6">
      <c r="A3117" s="4" t="s">
        <v>6604</v>
      </c>
      <c r="B3117" s="6" t="s">
        <v>6605</v>
      </c>
      <c r="C3117" s="4" t="s">
        <v>275</v>
      </c>
      <c r="D3117" s="4">
        <v>10</v>
      </c>
      <c r="E3117" s="4" t="s">
        <v>6515</v>
      </c>
      <c r="F3117" s="4" t="s">
        <v>6502</v>
      </c>
    </row>
    <row r="3118" spans="1:6">
      <c r="A3118" s="4" t="s">
        <v>6606</v>
      </c>
      <c r="B3118" s="6" t="s">
        <v>6607</v>
      </c>
      <c r="C3118" s="4" t="s">
        <v>1106</v>
      </c>
      <c r="D3118" s="4">
        <v>14</v>
      </c>
      <c r="E3118" s="4" t="s">
        <v>6608</v>
      </c>
      <c r="F3118" s="4" t="s">
        <v>6609</v>
      </c>
    </row>
    <row r="3119" spans="1:6">
      <c r="A3119" s="4" t="s">
        <v>6610</v>
      </c>
      <c r="B3119" s="6" t="s">
        <v>6607</v>
      </c>
      <c r="C3119" s="4" t="s">
        <v>23</v>
      </c>
      <c r="D3119" s="4">
        <v>21</v>
      </c>
      <c r="E3119" s="4" t="s">
        <v>6192</v>
      </c>
      <c r="F3119" s="4" t="s">
        <v>6611</v>
      </c>
    </row>
    <row r="3120" spans="1:6">
      <c r="A3120" s="4" t="s">
        <v>6612</v>
      </c>
      <c r="B3120" s="6" t="s">
        <v>6613</v>
      </c>
      <c r="C3120" s="4" t="s">
        <v>263</v>
      </c>
      <c r="D3120" s="4">
        <v>4</v>
      </c>
      <c r="E3120" s="4" t="s">
        <v>6192</v>
      </c>
      <c r="F3120" s="4" t="s">
        <v>6614</v>
      </c>
    </row>
    <row r="3121" spans="1:6">
      <c r="A3121" s="4" t="s">
        <v>6615</v>
      </c>
      <c r="B3121" s="6" t="s">
        <v>6616</v>
      </c>
      <c r="C3121" s="4" t="s">
        <v>34</v>
      </c>
      <c r="D3121" s="4">
        <v>9</v>
      </c>
      <c r="E3121" s="4" t="s">
        <v>4212</v>
      </c>
    </row>
    <row r="3122" spans="1:6">
      <c r="A3122" s="4" t="s">
        <v>81</v>
      </c>
      <c r="B3122" s="6" t="s">
        <v>6617</v>
      </c>
      <c r="C3122" s="4" t="s">
        <v>81</v>
      </c>
      <c r="D3122" s="4">
        <v>4</v>
      </c>
      <c r="E3122" s="4" t="s">
        <v>989</v>
      </c>
      <c r="F3122" s="4" t="s">
        <v>6618</v>
      </c>
    </row>
    <row r="3123" spans="1:6">
      <c r="A3123" s="4" t="s">
        <v>6619</v>
      </c>
      <c r="B3123" s="6" t="s">
        <v>6620</v>
      </c>
      <c r="C3123" s="4" t="s">
        <v>87</v>
      </c>
      <c r="D3123" s="4">
        <v>9</v>
      </c>
      <c r="E3123" s="4" t="s">
        <v>1726</v>
      </c>
    </row>
    <row r="3124" spans="1:6">
      <c r="A3124" s="4" t="s">
        <v>6621</v>
      </c>
      <c r="B3124" s="6" t="s">
        <v>6620</v>
      </c>
      <c r="C3124" s="4" t="s">
        <v>49</v>
      </c>
      <c r="D3124" s="4">
        <v>16</v>
      </c>
      <c r="E3124" s="4" t="s">
        <v>989</v>
      </c>
      <c r="F3124" s="4" t="s">
        <v>6622</v>
      </c>
    </row>
    <row r="3125" spans="1:6">
      <c r="A3125" s="4" t="s">
        <v>554</v>
      </c>
      <c r="B3125" s="6" t="s">
        <v>6620</v>
      </c>
      <c r="C3125" s="4" t="s">
        <v>554</v>
      </c>
      <c r="D3125" s="4">
        <v>7</v>
      </c>
      <c r="E3125" s="4" t="s">
        <v>989</v>
      </c>
      <c r="F3125" s="4" t="s">
        <v>6623</v>
      </c>
    </row>
    <row r="3126" spans="1:6">
      <c r="A3126" s="4" t="s">
        <v>6624</v>
      </c>
      <c r="B3126" s="6" t="s">
        <v>6620</v>
      </c>
      <c r="C3126" s="4" t="s">
        <v>453</v>
      </c>
      <c r="D3126" s="4">
        <v>15</v>
      </c>
      <c r="E3126" s="4" t="s">
        <v>443</v>
      </c>
    </row>
    <row r="3127" spans="1:6">
      <c r="A3127" s="4" t="s">
        <v>6625</v>
      </c>
      <c r="B3127" s="6" t="s">
        <v>6620</v>
      </c>
      <c r="C3127" s="4" t="s">
        <v>876</v>
      </c>
      <c r="D3127" s="4">
        <v>13</v>
      </c>
      <c r="E3127" s="4" t="s">
        <v>989</v>
      </c>
      <c r="F3127" s="4" t="s">
        <v>6626</v>
      </c>
    </row>
    <row r="3128" spans="1:6">
      <c r="A3128" s="4" t="s">
        <v>6627</v>
      </c>
      <c r="B3128" s="6" t="s">
        <v>6620</v>
      </c>
      <c r="C3128" s="4" t="s">
        <v>53</v>
      </c>
      <c r="D3128" s="4">
        <v>18</v>
      </c>
      <c r="E3128" s="4" t="s">
        <v>6628</v>
      </c>
    </row>
    <row r="3129" spans="1:6">
      <c r="A3129" s="4" t="s">
        <v>6629</v>
      </c>
      <c r="B3129" s="6" t="s">
        <v>6620</v>
      </c>
      <c r="C3129" s="4" t="s">
        <v>53</v>
      </c>
      <c r="D3129" s="4">
        <v>11</v>
      </c>
      <c r="E3129" s="4" t="s">
        <v>6628</v>
      </c>
    </row>
    <row r="3130" spans="1:6">
      <c r="A3130" s="4" t="s">
        <v>6630</v>
      </c>
      <c r="B3130" s="6" t="s">
        <v>6631</v>
      </c>
      <c r="C3130" s="4" t="s">
        <v>87</v>
      </c>
      <c r="D3130" s="4">
        <v>10</v>
      </c>
      <c r="E3130" s="4" t="s">
        <v>443</v>
      </c>
      <c r="F3130" s="4" t="s">
        <v>6632</v>
      </c>
    </row>
    <row r="3131" spans="1:6">
      <c r="A3131" s="4" t="s">
        <v>6633</v>
      </c>
      <c r="B3131" s="6" t="s">
        <v>6634</v>
      </c>
      <c r="C3131" s="4" t="s">
        <v>252</v>
      </c>
      <c r="D3131" s="4">
        <v>6</v>
      </c>
      <c r="E3131" s="4" t="s">
        <v>6635</v>
      </c>
      <c r="F3131" s="4" t="s">
        <v>6636</v>
      </c>
    </row>
    <row r="3132" spans="1:6">
      <c r="A3132" s="4" t="s">
        <v>6637</v>
      </c>
      <c r="B3132" s="6" t="s">
        <v>6638</v>
      </c>
      <c r="C3132" s="4" t="s">
        <v>275</v>
      </c>
      <c r="D3132" s="4">
        <v>6</v>
      </c>
      <c r="E3132" s="4" t="s">
        <v>6639</v>
      </c>
    </row>
    <row r="3133" spans="1:6">
      <c r="A3133" s="4" t="s">
        <v>6640</v>
      </c>
      <c r="B3133" s="6" t="s">
        <v>6638</v>
      </c>
      <c r="C3133" s="4" t="s">
        <v>104</v>
      </c>
      <c r="D3133" s="4">
        <v>10</v>
      </c>
      <c r="E3133" s="4" t="s">
        <v>989</v>
      </c>
      <c r="F3133" s="4" t="s">
        <v>6641</v>
      </c>
    </row>
    <row r="3134" spans="1:6">
      <c r="A3134" s="4" t="s">
        <v>6642</v>
      </c>
      <c r="B3134" s="6" t="s">
        <v>6638</v>
      </c>
      <c r="C3134" s="4" t="s">
        <v>34</v>
      </c>
      <c r="D3134" s="4">
        <v>17</v>
      </c>
      <c r="E3134" s="4" t="s">
        <v>443</v>
      </c>
    </row>
    <row r="3135" spans="1:6">
      <c r="A3135" s="4" t="s">
        <v>6643</v>
      </c>
      <c r="B3135" s="6" t="s">
        <v>6638</v>
      </c>
      <c r="C3135" s="4" t="s">
        <v>104</v>
      </c>
      <c r="D3135" s="4">
        <v>10</v>
      </c>
      <c r="E3135" s="4" t="s">
        <v>989</v>
      </c>
    </row>
    <row r="3136" spans="1:6">
      <c r="A3136" s="4" t="s">
        <v>6644</v>
      </c>
      <c r="B3136" s="6" t="s">
        <v>6645</v>
      </c>
      <c r="C3136" s="4" t="s">
        <v>544</v>
      </c>
      <c r="D3136" s="4">
        <v>18</v>
      </c>
      <c r="E3136" s="4" t="s">
        <v>443</v>
      </c>
    </row>
    <row r="3137" spans="1:6">
      <c r="A3137" s="4" t="s">
        <v>6646</v>
      </c>
      <c r="B3137" s="6" t="s">
        <v>6647</v>
      </c>
      <c r="C3137" s="4" t="s">
        <v>87</v>
      </c>
      <c r="D3137" s="4">
        <v>14</v>
      </c>
      <c r="E3137" s="4" t="s">
        <v>3929</v>
      </c>
      <c r="F3137" s="4" t="s">
        <v>6648</v>
      </c>
    </row>
    <row r="3138" spans="1:6">
      <c r="A3138" s="4" t="s">
        <v>6649</v>
      </c>
      <c r="B3138" s="6" t="s">
        <v>6647</v>
      </c>
      <c r="C3138" s="4" t="s">
        <v>81</v>
      </c>
      <c r="D3138" s="4">
        <v>5</v>
      </c>
      <c r="E3138" s="4" t="s">
        <v>465</v>
      </c>
      <c r="F3138" s="4" t="s">
        <v>6650</v>
      </c>
    </row>
    <row r="3139" spans="1:6">
      <c r="A3139" s="4" t="s">
        <v>6651</v>
      </c>
      <c r="B3139" s="6" t="s">
        <v>6647</v>
      </c>
      <c r="C3139" s="4" t="s">
        <v>860</v>
      </c>
      <c r="D3139" s="4">
        <v>15</v>
      </c>
      <c r="E3139" s="4" t="s">
        <v>3929</v>
      </c>
      <c r="F3139" s="4" t="s">
        <v>6652</v>
      </c>
    </row>
    <row r="3140" spans="1:6">
      <c r="A3140" s="4" t="s">
        <v>6653</v>
      </c>
      <c r="B3140" s="6" t="s">
        <v>6647</v>
      </c>
      <c r="C3140" s="4" t="s">
        <v>427</v>
      </c>
      <c r="D3140" s="4">
        <v>17</v>
      </c>
      <c r="E3140" s="4" t="s">
        <v>3929</v>
      </c>
    </row>
    <row r="3141" spans="1:6">
      <c r="A3141" s="4" t="s">
        <v>6654</v>
      </c>
      <c r="B3141" s="6" t="s">
        <v>6655</v>
      </c>
      <c r="C3141" s="4" t="s">
        <v>121</v>
      </c>
      <c r="D3141" s="4">
        <v>9</v>
      </c>
      <c r="E3141" s="4" t="s">
        <v>6192</v>
      </c>
      <c r="F3141" s="4" t="s">
        <v>6656</v>
      </c>
    </row>
    <row r="3142" spans="1:6">
      <c r="A3142" s="4" t="s">
        <v>6657</v>
      </c>
      <c r="B3142" s="6" t="s">
        <v>6658</v>
      </c>
      <c r="C3142" s="4" t="s">
        <v>1180</v>
      </c>
      <c r="D3142" s="4">
        <v>12</v>
      </c>
      <c r="E3142" s="4" t="s">
        <v>1164</v>
      </c>
      <c r="F3142" s="4" t="s">
        <v>6659</v>
      </c>
    </row>
    <row r="3143" spans="1:6">
      <c r="A3143" s="4" t="s">
        <v>6660</v>
      </c>
      <c r="B3143" s="6" t="s">
        <v>6658</v>
      </c>
      <c r="C3143" s="4" t="s">
        <v>49</v>
      </c>
      <c r="D3143" s="4">
        <v>15</v>
      </c>
      <c r="E3143" s="4" t="s">
        <v>5222</v>
      </c>
    </row>
    <row r="3144" spans="1:6">
      <c r="A3144" s="4" t="s">
        <v>6661</v>
      </c>
      <c r="B3144" s="6" t="s">
        <v>6662</v>
      </c>
      <c r="C3144" s="4" t="s">
        <v>221</v>
      </c>
      <c r="D3144" s="4">
        <v>17</v>
      </c>
      <c r="E3144" s="4" t="s">
        <v>443</v>
      </c>
      <c r="F3144" s="4" t="s">
        <v>6663</v>
      </c>
    </row>
    <row r="3145" spans="1:6">
      <c r="A3145" s="4" t="s">
        <v>6664</v>
      </c>
      <c r="B3145" s="6" t="s">
        <v>6662</v>
      </c>
      <c r="C3145" s="4" t="s">
        <v>458</v>
      </c>
      <c r="D3145" s="4">
        <v>10</v>
      </c>
      <c r="E3145" s="4" t="s">
        <v>989</v>
      </c>
      <c r="F3145" s="4" t="s">
        <v>1391</v>
      </c>
    </row>
    <row r="3146" spans="1:6">
      <c r="A3146" s="4" t="s">
        <v>6665</v>
      </c>
      <c r="B3146" s="6" t="s">
        <v>6662</v>
      </c>
      <c r="C3146" s="4" t="s">
        <v>221</v>
      </c>
      <c r="D3146" s="4">
        <v>24</v>
      </c>
      <c r="E3146" s="4" t="s">
        <v>443</v>
      </c>
      <c r="F3146" s="4" t="s">
        <v>6666</v>
      </c>
    </row>
    <row r="3147" spans="1:6">
      <c r="A3147" s="4" t="s">
        <v>6667</v>
      </c>
      <c r="B3147" s="6" t="s">
        <v>6662</v>
      </c>
      <c r="C3147" s="4" t="s">
        <v>87</v>
      </c>
      <c r="D3147" s="4">
        <v>19</v>
      </c>
      <c r="E3147" s="4" t="s">
        <v>443</v>
      </c>
    </row>
    <row r="3148" spans="1:6">
      <c r="A3148" s="4" t="s">
        <v>6668</v>
      </c>
      <c r="B3148" s="6" t="s">
        <v>6662</v>
      </c>
      <c r="C3148" s="4" t="s">
        <v>14</v>
      </c>
      <c r="D3148" s="4">
        <v>17</v>
      </c>
      <c r="E3148" s="4" t="s">
        <v>443</v>
      </c>
    </row>
    <row r="3149" spans="1:6">
      <c r="A3149" s="4" t="s">
        <v>6669</v>
      </c>
      <c r="B3149" s="6" t="s">
        <v>6670</v>
      </c>
      <c r="C3149" s="4" t="s">
        <v>605</v>
      </c>
      <c r="D3149" s="4">
        <v>14</v>
      </c>
      <c r="E3149" s="4" t="s">
        <v>6192</v>
      </c>
    </row>
    <row r="3150" spans="1:6">
      <c r="A3150" s="4" t="s">
        <v>6671</v>
      </c>
      <c r="B3150" s="6" t="s">
        <v>6672</v>
      </c>
      <c r="C3150" s="4" t="s">
        <v>87</v>
      </c>
      <c r="D3150" s="4">
        <v>10</v>
      </c>
      <c r="E3150" s="4" t="s">
        <v>989</v>
      </c>
      <c r="F3150" s="4" t="s">
        <v>6673</v>
      </c>
    </row>
    <row r="3151" spans="1:6">
      <c r="A3151" s="4" t="s">
        <v>6674</v>
      </c>
      <c r="B3151" s="6" t="s">
        <v>6672</v>
      </c>
      <c r="C3151" s="4" t="s">
        <v>45</v>
      </c>
      <c r="D3151" s="4">
        <v>13</v>
      </c>
      <c r="E3151" s="4" t="s">
        <v>989</v>
      </c>
      <c r="F3151" s="4" t="s">
        <v>4305</v>
      </c>
    </row>
    <row r="3152" spans="1:6">
      <c r="A3152" s="4" t="s">
        <v>6675</v>
      </c>
      <c r="B3152" s="6" t="s">
        <v>6672</v>
      </c>
      <c r="C3152" s="4" t="s">
        <v>45</v>
      </c>
      <c r="D3152" s="4">
        <v>14</v>
      </c>
      <c r="E3152" s="4" t="s">
        <v>989</v>
      </c>
      <c r="F3152" s="4" t="s">
        <v>4305</v>
      </c>
    </row>
    <row r="3153" spans="1:6">
      <c r="A3153" s="4" t="s">
        <v>1431</v>
      </c>
      <c r="B3153" s="6" t="s">
        <v>6676</v>
      </c>
      <c r="C3153" s="4" t="s">
        <v>1431</v>
      </c>
      <c r="D3153" s="4">
        <v>7</v>
      </c>
      <c r="E3153" s="4" t="s">
        <v>6192</v>
      </c>
      <c r="F3153" s="4" t="s">
        <v>6677</v>
      </c>
    </row>
    <row r="3154" spans="1:6">
      <c r="A3154" s="4" t="s">
        <v>6678</v>
      </c>
      <c r="B3154" s="6" t="s">
        <v>6676</v>
      </c>
      <c r="C3154" s="4" t="s">
        <v>49</v>
      </c>
      <c r="D3154" s="4">
        <v>16</v>
      </c>
      <c r="E3154" s="4" t="s">
        <v>6192</v>
      </c>
      <c r="F3154" s="4" t="s">
        <v>6679</v>
      </c>
    </row>
    <row r="3155" spans="1:6">
      <c r="A3155" s="4" t="s">
        <v>6680</v>
      </c>
      <c r="B3155" s="6" t="s">
        <v>6676</v>
      </c>
      <c r="C3155" s="4" t="s">
        <v>1756</v>
      </c>
      <c r="D3155" s="4">
        <v>10</v>
      </c>
      <c r="E3155" s="4" t="s">
        <v>6681</v>
      </c>
    </row>
    <row r="3156" spans="1:6">
      <c r="A3156" s="4" t="s">
        <v>6682</v>
      </c>
      <c r="B3156" s="6" t="s">
        <v>6676</v>
      </c>
      <c r="C3156" s="4" t="s">
        <v>23</v>
      </c>
      <c r="D3156" s="4">
        <v>14</v>
      </c>
      <c r="E3156" s="4" t="s">
        <v>6192</v>
      </c>
    </row>
    <row r="3157" spans="1:6">
      <c r="A3157" s="4" t="s">
        <v>6683</v>
      </c>
      <c r="B3157" s="6" t="s">
        <v>6676</v>
      </c>
      <c r="C3157" s="4" t="s">
        <v>14</v>
      </c>
      <c r="D3157" s="4">
        <v>13</v>
      </c>
      <c r="E3157" s="4" t="s">
        <v>6192</v>
      </c>
      <c r="F3157" s="4" t="s">
        <v>6684</v>
      </c>
    </row>
    <row r="3158" spans="1:6">
      <c r="A3158" s="4" t="s">
        <v>6685</v>
      </c>
      <c r="B3158" s="6" t="s">
        <v>6686</v>
      </c>
      <c r="C3158" s="4" t="s">
        <v>87</v>
      </c>
      <c r="D3158" s="4">
        <v>9</v>
      </c>
      <c r="E3158" s="4" t="s">
        <v>1064</v>
      </c>
      <c r="F3158" s="4" t="s">
        <v>6687</v>
      </c>
    </row>
    <row r="3159" spans="1:6">
      <c r="A3159" s="4" t="s">
        <v>6688</v>
      </c>
      <c r="B3159" s="6" t="s">
        <v>6686</v>
      </c>
      <c r="C3159" s="4" t="s">
        <v>104</v>
      </c>
      <c r="D3159" s="4">
        <v>10</v>
      </c>
      <c r="E3159" s="4" t="s">
        <v>6689</v>
      </c>
      <c r="F3159" s="4" t="s">
        <v>693</v>
      </c>
    </row>
    <row r="3160" spans="1:6">
      <c r="A3160" s="4" t="s">
        <v>6690</v>
      </c>
      <c r="B3160" s="6" t="s">
        <v>6686</v>
      </c>
      <c r="C3160" s="4" t="s">
        <v>87</v>
      </c>
      <c r="D3160" s="4">
        <v>9</v>
      </c>
      <c r="E3160" s="4" t="s">
        <v>983</v>
      </c>
    </row>
    <row r="3161" spans="1:6">
      <c r="A3161" s="4" t="s">
        <v>6691</v>
      </c>
      <c r="B3161" s="6" t="s">
        <v>6692</v>
      </c>
      <c r="C3161" s="4" t="s">
        <v>2111</v>
      </c>
      <c r="D3161" s="4">
        <v>6</v>
      </c>
      <c r="E3161" s="4" t="s">
        <v>443</v>
      </c>
      <c r="F3161" s="4" t="s">
        <v>6693</v>
      </c>
    </row>
    <row r="3162" spans="1:6">
      <c r="A3162" s="4" t="s">
        <v>6694</v>
      </c>
      <c r="B3162" s="6" t="s">
        <v>6695</v>
      </c>
      <c r="C3162" s="4" t="s">
        <v>605</v>
      </c>
      <c r="D3162" s="4">
        <v>6</v>
      </c>
      <c r="E3162" s="4" t="s">
        <v>5222</v>
      </c>
      <c r="F3162" s="4" t="s">
        <v>6696</v>
      </c>
    </row>
    <row r="3163" spans="1:6">
      <c r="A3163" s="4" t="s">
        <v>6697</v>
      </c>
      <c r="B3163" s="6" t="s">
        <v>6695</v>
      </c>
      <c r="C3163" s="4" t="s">
        <v>254</v>
      </c>
      <c r="D3163" s="4">
        <v>16</v>
      </c>
      <c r="E3163" s="4" t="s">
        <v>5222</v>
      </c>
      <c r="F3163" s="4" t="s">
        <v>6698</v>
      </c>
    </row>
    <row r="3164" spans="1:6">
      <c r="A3164" s="4" t="s">
        <v>6699</v>
      </c>
      <c r="B3164" s="6" t="s">
        <v>6695</v>
      </c>
      <c r="C3164" s="4" t="s">
        <v>254</v>
      </c>
      <c r="D3164" s="4">
        <v>8</v>
      </c>
      <c r="E3164" s="4" t="s">
        <v>5222</v>
      </c>
    </row>
    <row r="3165" spans="1:6">
      <c r="A3165" s="4" t="s">
        <v>6700</v>
      </c>
      <c r="B3165" s="6" t="s">
        <v>6701</v>
      </c>
      <c r="C3165" s="4" t="s">
        <v>1679</v>
      </c>
      <c r="D3165" s="4">
        <v>11</v>
      </c>
      <c r="E3165" s="4" t="s">
        <v>1004</v>
      </c>
      <c r="F3165" s="4" t="s">
        <v>5853</v>
      </c>
    </row>
    <row r="3166" spans="1:6">
      <c r="A3166" s="4" t="s">
        <v>6702</v>
      </c>
      <c r="B3166" s="6" t="s">
        <v>6701</v>
      </c>
      <c r="C3166" s="4" t="s">
        <v>1106</v>
      </c>
      <c r="D3166" s="4">
        <v>12</v>
      </c>
      <c r="E3166" s="4" t="s">
        <v>1004</v>
      </c>
      <c r="F3166" s="4" t="s">
        <v>6703</v>
      </c>
    </row>
    <row r="3167" spans="1:6">
      <c r="A3167" s="4" t="s">
        <v>6704</v>
      </c>
      <c r="B3167" s="6" t="s">
        <v>6701</v>
      </c>
      <c r="C3167" s="4" t="s">
        <v>223</v>
      </c>
      <c r="D3167" s="4">
        <v>22</v>
      </c>
      <c r="E3167" s="4" t="s">
        <v>1004</v>
      </c>
      <c r="F3167" s="4" t="s">
        <v>6705</v>
      </c>
    </row>
    <row r="3168" spans="1:6">
      <c r="A3168" s="4" t="s">
        <v>6706</v>
      </c>
      <c r="B3168" s="6" t="s">
        <v>6701</v>
      </c>
      <c r="C3168" s="4" t="s">
        <v>49</v>
      </c>
      <c r="D3168" s="4">
        <v>12</v>
      </c>
      <c r="E3168" s="4" t="s">
        <v>1004</v>
      </c>
      <c r="F3168" s="4" t="s">
        <v>6707</v>
      </c>
    </row>
    <row r="3169" spans="1:6">
      <c r="A3169" s="4" t="s">
        <v>6708</v>
      </c>
      <c r="B3169" s="6" t="s">
        <v>6709</v>
      </c>
      <c r="C3169" s="4" t="s">
        <v>76</v>
      </c>
      <c r="D3169" s="4">
        <v>10</v>
      </c>
      <c r="E3169" s="4" t="s">
        <v>3929</v>
      </c>
      <c r="F3169" s="4" t="s">
        <v>506</v>
      </c>
    </row>
    <row r="3170" spans="1:6">
      <c r="A3170" s="4" t="s">
        <v>6710</v>
      </c>
      <c r="B3170" s="6" t="s">
        <v>6709</v>
      </c>
      <c r="C3170" s="4" t="s">
        <v>14</v>
      </c>
      <c r="D3170" s="4">
        <v>13</v>
      </c>
      <c r="E3170" s="4" t="s">
        <v>3929</v>
      </c>
      <c r="F3170" s="4" t="s">
        <v>2354</v>
      </c>
    </row>
    <row r="3171" spans="1:6">
      <c r="A3171" s="4" t="s">
        <v>6711</v>
      </c>
      <c r="B3171" s="6" t="s">
        <v>6712</v>
      </c>
      <c r="C3171" s="4" t="s">
        <v>254</v>
      </c>
      <c r="D3171" s="4">
        <v>13</v>
      </c>
      <c r="E3171" s="4" t="s">
        <v>6192</v>
      </c>
    </row>
    <row r="3172" spans="1:6">
      <c r="A3172" s="4" t="s">
        <v>6713</v>
      </c>
      <c r="B3172" s="6" t="s">
        <v>6712</v>
      </c>
      <c r="C3172" s="4" t="s">
        <v>27</v>
      </c>
      <c r="D3172" s="4">
        <v>14</v>
      </c>
      <c r="E3172" s="4" t="s">
        <v>6714</v>
      </c>
      <c r="F3172" s="4" t="s">
        <v>6715</v>
      </c>
    </row>
    <row r="3173" spans="1:6">
      <c r="A3173" s="4" t="s">
        <v>6716</v>
      </c>
      <c r="B3173" s="6" t="s">
        <v>6712</v>
      </c>
      <c r="C3173" s="4" t="s">
        <v>81</v>
      </c>
      <c r="D3173" s="4">
        <v>14</v>
      </c>
      <c r="E3173" s="4" t="s">
        <v>6515</v>
      </c>
      <c r="F3173" s="4" t="s">
        <v>6717</v>
      </c>
    </row>
    <row r="3174" spans="1:6">
      <c r="A3174" s="4" t="s">
        <v>6718</v>
      </c>
      <c r="B3174" s="6" t="s">
        <v>6712</v>
      </c>
      <c r="C3174" s="4" t="s">
        <v>23</v>
      </c>
      <c r="D3174" s="4">
        <v>22</v>
      </c>
      <c r="F3174" s="4" t="s">
        <v>6719</v>
      </c>
    </row>
    <row r="3175" spans="1:6">
      <c r="A3175" s="4" t="s">
        <v>6720</v>
      </c>
      <c r="B3175" s="6" t="s">
        <v>6721</v>
      </c>
      <c r="C3175" s="4" t="s">
        <v>271</v>
      </c>
      <c r="D3175" s="4">
        <v>9</v>
      </c>
      <c r="E3175" s="4" t="s">
        <v>6722</v>
      </c>
      <c r="F3175" s="4" t="s">
        <v>5632</v>
      </c>
    </row>
    <row r="3176" spans="1:6">
      <c r="A3176" s="4" t="s">
        <v>6723</v>
      </c>
      <c r="B3176" s="6" t="s">
        <v>6724</v>
      </c>
      <c r="C3176" s="4" t="s">
        <v>27</v>
      </c>
      <c r="D3176" s="4">
        <v>13</v>
      </c>
      <c r="E3176" s="4" t="s">
        <v>6725</v>
      </c>
      <c r="F3176" s="4" t="s">
        <v>6726</v>
      </c>
    </row>
    <row r="3177" spans="1:6">
      <c r="A3177" s="4" t="s">
        <v>6727</v>
      </c>
      <c r="B3177" s="6" t="s">
        <v>6728</v>
      </c>
      <c r="C3177" s="4" t="s">
        <v>427</v>
      </c>
      <c r="D3177" s="4">
        <v>10</v>
      </c>
      <c r="E3177" s="4" t="s">
        <v>6183</v>
      </c>
      <c r="F3177" s="4" t="s">
        <v>6550</v>
      </c>
    </row>
    <row r="3178" spans="1:6">
      <c r="A3178" s="4" t="s">
        <v>6729</v>
      </c>
      <c r="B3178" s="6" t="s">
        <v>6730</v>
      </c>
      <c r="C3178" s="4" t="s">
        <v>104</v>
      </c>
      <c r="D3178" s="4">
        <v>11</v>
      </c>
      <c r="E3178" s="4" t="s">
        <v>6731</v>
      </c>
    </row>
    <row r="3179" spans="1:6">
      <c r="A3179" s="4" t="s">
        <v>6732</v>
      </c>
      <c r="B3179" s="6" t="s">
        <v>6730</v>
      </c>
      <c r="C3179" s="4" t="s">
        <v>104</v>
      </c>
      <c r="D3179" s="4">
        <v>12</v>
      </c>
      <c r="E3179" s="4" t="s">
        <v>6731</v>
      </c>
    </row>
    <row r="3180" spans="1:6">
      <c r="A3180" s="4" t="s">
        <v>6733</v>
      </c>
      <c r="B3180" s="6" t="s">
        <v>6730</v>
      </c>
      <c r="C3180" s="4" t="s">
        <v>23</v>
      </c>
      <c r="D3180" s="4">
        <v>14</v>
      </c>
      <c r="E3180" s="4" t="s">
        <v>6734</v>
      </c>
    </row>
    <row r="3181" spans="1:6">
      <c r="A3181" s="4" t="s">
        <v>6735</v>
      </c>
      <c r="B3181" s="6" t="s">
        <v>6736</v>
      </c>
      <c r="C3181" s="4" t="s">
        <v>453</v>
      </c>
      <c r="D3181" s="4">
        <v>13</v>
      </c>
      <c r="E3181" s="4" t="s">
        <v>6737</v>
      </c>
    </row>
    <row r="3182" spans="1:6">
      <c r="A3182" s="4" t="s">
        <v>6738</v>
      </c>
      <c r="B3182" s="6" t="s">
        <v>6739</v>
      </c>
      <c r="C3182" s="4" t="s">
        <v>453</v>
      </c>
      <c r="D3182" s="4">
        <v>18</v>
      </c>
      <c r="E3182" s="4" t="s">
        <v>6515</v>
      </c>
      <c r="F3182" s="4" t="s">
        <v>6740</v>
      </c>
    </row>
    <row r="3183" spans="1:6">
      <c r="A3183" s="4" t="s">
        <v>6741</v>
      </c>
      <c r="B3183" s="6" t="s">
        <v>6742</v>
      </c>
      <c r="C3183" s="4" t="s">
        <v>76</v>
      </c>
      <c r="D3183" s="4">
        <v>13</v>
      </c>
      <c r="E3183" s="4" t="s">
        <v>391</v>
      </c>
      <c r="F3183" s="4" t="s">
        <v>6743</v>
      </c>
    </row>
    <row r="3184" spans="1:6">
      <c r="A3184" s="4" t="s">
        <v>6744</v>
      </c>
      <c r="B3184" s="6" t="s">
        <v>6742</v>
      </c>
      <c r="C3184" s="4" t="s">
        <v>6745</v>
      </c>
      <c r="D3184" s="4">
        <v>21</v>
      </c>
      <c r="E3184" s="4" t="s">
        <v>6746</v>
      </c>
      <c r="F3184" s="4" t="s">
        <v>6747</v>
      </c>
    </row>
    <row r="3185" spans="1:6">
      <c r="A3185" s="4" t="s">
        <v>6748</v>
      </c>
      <c r="B3185" s="6" t="s">
        <v>6742</v>
      </c>
      <c r="C3185" s="4" t="s">
        <v>95</v>
      </c>
      <c r="D3185" s="4">
        <v>14</v>
      </c>
      <c r="E3185" s="4" t="s">
        <v>1047</v>
      </c>
    </row>
    <row r="3186" spans="1:6">
      <c r="A3186" s="4" t="s">
        <v>6749</v>
      </c>
      <c r="B3186" s="6" t="s">
        <v>6742</v>
      </c>
      <c r="C3186" s="4" t="s">
        <v>23</v>
      </c>
      <c r="D3186" s="4">
        <v>15</v>
      </c>
      <c r="E3186" s="4" t="s">
        <v>6750</v>
      </c>
      <c r="F3186" s="4" t="s">
        <v>6751</v>
      </c>
    </row>
    <row r="3187" spans="1:6">
      <c r="A3187" s="4" t="s">
        <v>6752</v>
      </c>
      <c r="B3187" s="6" t="s">
        <v>6742</v>
      </c>
      <c r="C3187" s="4" t="s">
        <v>605</v>
      </c>
      <c r="D3187" s="4">
        <v>12</v>
      </c>
      <c r="E3187" s="4" t="s">
        <v>6245</v>
      </c>
    </row>
    <row r="3188" spans="1:6">
      <c r="A3188" s="4" t="s">
        <v>6753</v>
      </c>
      <c r="B3188" s="6" t="s">
        <v>6754</v>
      </c>
      <c r="C3188" s="4" t="s">
        <v>34</v>
      </c>
      <c r="D3188" s="4">
        <v>15</v>
      </c>
      <c r="E3188" s="4" t="s">
        <v>6755</v>
      </c>
    </row>
    <row r="3189" spans="1:6">
      <c r="A3189" s="4" t="s">
        <v>6756</v>
      </c>
      <c r="B3189" s="6" t="s">
        <v>6757</v>
      </c>
      <c r="C3189" s="4" t="s">
        <v>87</v>
      </c>
      <c r="D3189" s="4">
        <v>11</v>
      </c>
      <c r="E3189" s="4" t="s">
        <v>6245</v>
      </c>
      <c r="F3189" s="4" t="s">
        <v>6758</v>
      </c>
    </row>
    <row r="3190" spans="1:6">
      <c r="A3190" s="4" t="s">
        <v>6759</v>
      </c>
      <c r="B3190" s="6" t="s">
        <v>6757</v>
      </c>
      <c r="C3190" s="4" t="s">
        <v>461</v>
      </c>
      <c r="D3190" s="4">
        <v>11</v>
      </c>
      <c r="E3190" s="4" t="s">
        <v>6245</v>
      </c>
      <c r="F3190" s="4" t="s">
        <v>6760</v>
      </c>
    </row>
    <row r="3191" spans="1:6">
      <c r="A3191" s="4" t="s">
        <v>6761</v>
      </c>
      <c r="B3191" s="6" t="s">
        <v>6757</v>
      </c>
      <c r="C3191" s="4" t="s">
        <v>301</v>
      </c>
      <c r="D3191" s="4">
        <v>11</v>
      </c>
      <c r="E3191" s="4" t="s">
        <v>6635</v>
      </c>
      <c r="F3191" s="4" t="s">
        <v>6762</v>
      </c>
    </row>
    <row r="3192" spans="1:6">
      <c r="A3192" s="4" t="s">
        <v>6763</v>
      </c>
      <c r="B3192" s="6" t="s">
        <v>6757</v>
      </c>
      <c r="C3192" s="4" t="s">
        <v>19</v>
      </c>
      <c r="D3192" s="4">
        <v>14</v>
      </c>
      <c r="E3192" s="4" t="s">
        <v>6245</v>
      </c>
      <c r="F3192" s="4" t="s">
        <v>6764</v>
      </c>
    </row>
    <row r="3193" spans="1:6">
      <c r="A3193" s="4" t="s">
        <v>6765</v>
      </c>
      <c r="B3193" s="6" t="s">
        <v>6757</v>
      </c>
      <c r="C3193" s="4" t="s">
        <v>14</v>
      </c>
      <c r="D3193" s="4">
        <v>12</v>
      </c>
      <c r="E3193" s="4" t="s">
        <v>1043</v>
      </c>
      <c r="F3193" s="4" t="s">
        <v>6766</v>
      </c>
    </row>
    <row r="3194" spans="1:6">
      <c r="A3194" s="4" t="s">
        <v>6767</v>
      </c>
      <c r="B3194" s="6" t="s">
        <v>6757</v>
      </c>
      <c r="C3194" s="4" t="s">
        <v>49</v>
      </c>
      <c r="D3194" s="4">
        <v>15</v>
      </c>
      <c r="E3194" s="4" t="s">
        <v>6768</v>
      </c>
    </row>
    <row r="3195" spans="1:6">
      <c r="A3195" s="4" t="s">
        <v>6769</v>
      </c>
      <c r="B3195" s="6" t="s">
        <v>6757</v>
      </c>
      <c r="C3195" s="4" t="s">
        <v>27</v>
      </c>
      <c r="D3195" s="4">
        <v>12</v>
      </c>
      <c r="E3195" s="4" t="s">
        <v>1043</v>
      </c>
    </row>
    <row r="3196" spans="1:6">
      <c r="A3196" s="4" t="s">
        <v>6745</v>
      </c>
      <c r="B3196" s="6" t="s">
        <v>6770</v>
      </c>
      <c r="C3196" s="4" t="s">
        <v>6745</v>
      </c>
      <c r="D3196" s="4">
        <v>8</v>
      </c>
      <c r="E3196" s="4" t="s">
        <v>6635</v>
      </c>
      <c r="F3196" s="4" t="s">
        <v>6771</v>
      </c>
    </row>
    <row r="3197" spans="1:6">
      <c r="A3197" s="4" t="s">
        <v>6772</v>
      </c>
      <c r="B3197" s="6" t="s">
        <v>6770</v>
      </c>
      <c r="C3197" s="4" t="s">
        <v>254</v>
      </c>
      <c r="D3197" s="4">
        <v>16</v>
      </c>
      <c r="E3197" s="4" t="s">
        <v>6635</v>
      </c>
    </row>
    <row r="3198" spans="1:6">
      <c r="A3198" s="4" t="s">
        <v>6773</v>
      </c>
      <c r="B3198" s="6" t="s">
        <v>6774</v>
      </c>
      <c r="C3198" s="4" t="s">
        <v>45</v>
      </c>
      <c r="D3198" s="4">
        <v>10</v>
      </c>
      <c r="E3198" s="4" t="s">
        <v>6245</v>
      </c>
    </row>
    <row r="3199" spans="1:6">
      <c r="A3199" s="4" t="s">
        <v>6775</v>
      </c>
      <c r="B3199" s="6" t="s">
        <v>6774</v>
      </c>
      <c r="C3199" s="4" t="s">
        <v>254</v>
      </c>
      <c r="D3199" s="4">
        <v>5</v>
      </c>
      <c r="E3199" s="4" t="s">
        <v>1047</v>
      </c>
      <c r="F3199" s="4" t="s">
        <v>5273</v>
      </c>
    </row>
    <row r="3200" spans="1:6">
      <c r="A3200" s="4" t="s">
        <v>6776</v>
      </c>
      <c r="B3200" s="6" t="s">
        <v>6777</v>
      </c>
      <c r="C3200" s="4" t="s">
        <v>34</v>
      </c>
      <c r="D3200" s="4">
        <v>17</v>
      </c>
      <c r="E3200" s="4" t="s">
        <v>6778</v>
      </c>
    </row>
    <row r="3201" spans="1:6">
      <c r="A3201" s="4" t="s">
        <v>6779</v>
      </c>
      <c r="B3201" s="6" t="s">
        <v>6780</v>
      </c>
      <c r="C3201" s="4" t="s">
        <v>271</v>
      </c>
      <c r="D3201" s="4">
        <v>10</v>
      </c>
      <c r="E3201" s="4" t="s">
        <v>6534</v>
      </c>
    </row>
    <row r="3202" spans="1:6">
      <c r="A3202" s="4" t="s">
        <v>6781</v>
      </c>
      <c r="B3202" s="6" t="s">
        <v>6780</v>
      </c>
      <c r="C3202" s="4" t="s">
        <v>271</v>
      </c>
      <c r="D3202" s="4">
        <v>16</v>
      </c>
      <c r="E3202" s="4" t="s">
        <v>6534</v>
      </c>
    </row>
    <row r="3203" spans="1:6">
      <c r="A3203" s="4" t="s">
        <v>6782</v>
      </c>
      <c r="B3203" s="6" t="s">
        <v>6783</v>
      </c>
      <c r="C3203" s="4" t="s">
        <v>238</v>
      </c>
      <c r="D3203" s="4">
        <v>15</v>
      </c>
      <c r="E3203" s="4" t="s">
        <v>498</v>
      </c>
      <c r="F3203" s="4" t="s">
        <v>6784</v>
      </c>
    </row>
    <row r="3204" spans="1:6">
      <c r="A3204" s="4" t="s">
        <v>6785</v>
      </c>
      <c r="B3204" s="6" t="s">
        <v>6783</v>
      </c>
      <c r="C3204" s="4" t="s">
        <v>558</v>
      </c>
      <c r="D3204" s="4">
        <v>15</v>
      </c>
      <c r="E3204" s="4" t="s">
        <v>498</v>
      </c>
    </row>
    <row r="3205" spans="1:6">
      <c r="A3205" s="4" t="s">
        <v>6786</v>
      </c>
      <c r="B3205" s="6" t="s">
        <v>6783</v>
      </c>
      <c r="C3205" s="4" t="s">
        <v>414</v>
      </c>
      <c r="D3205" s="4">
        <v>12</v>
      </c>
      <c r="E3205" s="4" t="s">
        <v>498</v>
      </c>
    </row>
    <row r="3206" spans="1:6">
      <c r="A3206" s="4" t="s">
        <v>6787</v>
      </c>
      <c r="B3206" s="6" t="s">
        <v>6783</v>
      </c>
      <c r="C3206" s="4" t="s">
        <v>414</v>
      </c>
      <c r="D3206" s="4">
        <v>18</v>
      </c>
      <c r="E3206" s="4" t="s">
        <v>498</v>
      </c>
    </row>
    <row r="3207" spans="1:6">
      <c r="A3207" s="4" t="s">
        <v>6788</v>
      </c>
      <c r="B3207" s="6" t="s">
        <v>6783</v>
      </c>
      <c r="C3207" s="4" t="s">
        <v>238</v>
      </c>
      <c r="D3207" s="4">
        <v>15</v>
      </c>
      <c r="E3207" s="4" t="s">
        <v>498</v>
      </c>
      <c r="F3207" s="4" t="s">
        <v>6784</v>
      </c>
    </row>
    <row r="3208" spans="1:6">
      <c r="A3208" s="4" t="s">
        <v>6789</v>
      </c>
      <c r="B3208" s="6" t="s">
        <v>6790</v>
      </c>
      <c r="C3208" s="4" t="s">
        <v>254</v>
      </c>
      <c r="D3208" s="4">
        <v>5</v>
      </c>
      <c r="E3208" s="4" t="s">
        <v>1904</v>
      </c>
      <c r="F3208" s="4" t="s">
        <v>6791</v>
      </c>
    </row>
    <row r="3209" spans="1:6">
      <c r="A3209" s="4" t="s">
        <v>6792</v>
      </c>
      <c r="B3209" s="6" t="s">
        <v>6790</v>
      </c>
      <c r="C3209" s="4" t="s">
        <v>45</v>
      </c>
      <c r="D3209" s="4">
        <v>5</v>
      </c>
      <c r="E3209" s="4" t="s">
        <v>1942</v>
      </c>
    </row>
    <row r="3210" spans="1:6">
      <c r="A3210" s="4" t="s">
        <v>6793</v>
      </c>
      <c r="B3210" s="6" t="s">
        <v>6794</v>
      </c>
      <c r="C3210" s="4" t="s">
        <v>354</v>
      </c>
      <c r="D3210" s="4">
        <v>9</v>
      </c>
      <c r="E3210" s="4" t="s">
        <v>1922</v>
      </c>
    </row>
    <row r="3211" spans="1:6">
      <c r="A3211" s="4" t="s">
        <v>6795</v>
      </c>
      <c r="B3211" s="6" t="s">
        <v>6796</v>
      </c>
      <c r="C3211" s="4" t="s">
        <v>453</v>
      </c>
      <c r="D3211" s="4">
        <v>11</v>
      </c>
      <c r="E3211" s="4" t="s">
        <v>6797</v>
      </c>
      <c r="F3211" s="4" t="s">
        <v>6798</v>
      </c>
    </row>
    <row r="3212" spans="1:6">
      <c r="A3212" s="4" t="s">
        <v>6799</v>
      </c>
      <c r="B3212" s="6" t="s">
        <v>6800</v>
      </c>
      <c r="C3212" s="4" t="s">
        <v>3715</v>
      </c>
      <c r="D3212" s="4">
        <v>8</v>
      </c>
      <c r="E3212" s="4" t="s">
        <v>6183</v>
      </c>
      <c r="F3212" s="4" t="s">
        <v>6801</v>
      </c>
    </row>
    <row r="3213" spans="1:6">
      <c r="A3213" s="4" t="s">
        <v>6802</v>
      </c>
      <c r="B3213" s="6" t="s">
        <v>6800</v>
      </c>
      <c r="C3213" s="4" t="s">
        <v>3715</v>
      </c>
      <c r="D3213" s="4">
        <v>11</v>
      </c>
      <c r="E3213" s="4" t="s">
        <v>6183</v>
      </c>
    </row>
    <row r="3214" spans="1:6">
      <c r="A3214" s="4" t="s">
        <v>6803</v>
      </c>
      <c r="B3214" s="6" t="s">
        <v>6804</v>
      </c>
      <c r="C3214" s="4" t="s">
        <v>34</v>
      </c>
      <c r="D3214" s="4">
        <v>22</v>
      </c>
      <c r="E3214" s="4" t="s">
        <v>1908</v>
      </c>
    </row>
    <row r="3215" spans="1:6">
      <c r="A3215" s="4" t="s">
        <v>6805</v>
      </c>
      <c r="B3215" s="6" t="s">
        <v>6806</v>
      </c>
      <c r="C3215" s="4" t="s">
        <v>87</v>
      </c>
      <c r="D3215" s="4">
        <v>12</v>
      </c>
      <c r="E3215" s="4" t="s">
        <v>979</v>
      </c>
      <c r="F3215" s="4" t="s">
        <v>6807</v>
      </c>
    </row>
    <row r="3216" spans="1:6">
      <c r="A3216" s="4" t="s">
        <v>6808</v>
      </c>
      <c r="B3216" s="6" t="s">
        <v>6809</v>
      </c>
      <c r="C3216" s="4" t="s">
        <v>87</v>
      </c>
      <c r="D3216" s="4">
        <v>11</v>
      </c>
      <c r="E3216" s="4" t="s">
        <v>1114</v>
      </c>
      <c r="F3216" s="4" t="s">
        <v>6810</v>
      </c>
    </row>
    <row r="3217" spans="1:6">
      <c r="A3217" s="4" t="s">
        <v>6811</v>
      </c>
      <c r="B3217" s="6" t="s">
        <v>6809</v>
      </c>
      <c r="C3217" s="4" t="s">
        <v>6811</v>
      </c>
      <c r="D3217" s="4">
        <v>8</v>
      </c>
      <c r="E3217" s="4" t="s">
        <v>1114</v>
      </c>
      <c r="F3217" s="4" t="s">
        <v>6812</v>
      </c>
    </row>
    <row r="3218" spans="1:6">
      <c r="A3218" s="4" t="s">
        <v>6813</v>
      </c>
      <c r="B3218" s="6" t="s">
        <v>6809</v>
      </c>
      <c r="C3218" s="4" t="s">
        <v>2506</v>
      </c>
      <c r="D3218" s="4">
        <v>7</v>
      </c>
      <c r="E3218" s="4" t="s">
        <v>1110</v>
      </c>
      <c r="F3218" s="4" t="s">
        <v>6814</v>
      </c>
    </row>
    <row r="3219" spans="1:6">
      <c r="A3219" s="4" t="s">
        <v>6815</v>
      </c>
      <c r="B3219" s="6" t="s">
        <v>6816</v>
      </c>
      <c r="C3219" s="4" t="s">
        <v>81</v>
      </c>
      <c r="D3219" s="4">
        <v>16</v>
      </c>
      <c r="E3219" s="4" t="s">
        <v>6192</v>
      </c>
    </row>
    <row r="3220" spans="1:6">
      <c r="A3220" s="4" t="s">
        <v>6817</v>
      </c>
      <c r="B3220" s="6" t="s">
        <v>6816</v>
      </c>
      <c r="C3220" s="4" t="s">
        <v>23</v>
      </c>
      <c r="D3220" s="4">
        <v>5</v>
      </c>
      <c r="E3220" s="4" t="s">
        <v>979</v>
      </c>
    </row>
    <row r="3221" spans="1:6">
      <c r="A3221" s="4" t="s">
        <v>6818</v>
      </c>
      <c r="B3221" s="6" t="s">
        <v>6819</v>
      </c>
      <c r="C3221" s="4" t="s">
        <v>34</v>
      </c>
      <c r="D3221" s="4">
        <v>16</v>
      </c>
      <c r="E3221" s="4" t="s">
        <v>6192</v>
      </c>
      <c r="F3221" s="4" t="s">
        <v>6820</v>
      </c>
    </row>
    <row r="3222" spans="1:6">
      <c r="A3222" s="4" t="s">
        <v>6821</v>
      </c>
      <c r="B3222" s="6" t="s">
        <v>6822</v>
      </c>
      <c r="C3222" s="4" t="s">
        <v>37</v>
      </c>
      <c r="D3222" s="4">
        <v>10</v>
      </c>
      <c r="E3222" s="4" t="s">
        <v>6211</v>
      </c>
    </row>
    <row r="3223" spans="1:6">
      <c r="A3223" s="4" t="s">
        <v>6823</v>
      </c>
      <c r="B3223" s="6" t="s">
        <v>6822</v>
      </c>
      <c r="C3223" s="4" t="s">
        <v>315</v>
      </c>
      <c r="D3223" s="4">
        <v>16</v>
      </c>
      <c r="E3223" s="4" t="s">
        <v>6207</v>
      </c>
    </row>
    <row r="3224" spans="1:6">
      <c r="A3224" s="4" t="s">
        <v>6824</v>
      </c>
      <c r="B3224" s="6" t="s">
        <v>6822</v>
      </c>
      <c r="C3224" s="4" t="s">
        <v>34</v>
      </c>
      <c r="D3224" s="4">
        <v>8</v>
      </c>
      <c r="E3224" s="4" t="s">
        <v>6825</v>
      </c>
      <c r="F3224" s="4" t="s">
        <v>5756</v>
      </c>
    </row>
    <row r="3225" spans="1:6">
      <c r="A3225" s="4" t="s">
        <v>6826</v>
      </c>
      <c r="B3225" s="6" t="s">
        <v>6822</v>
      </c>
      <c r="C3225" s="4" t="s">
        <v>34</v>
      </c>
      <c r="D3225" s="4">
        <v>6</v>
      </c>
      <c r="E3225" s="4" t="s">
        <v>6211</v>
      </c>
    </row>
    <row r="3226" spans="1:6">
      <c r="A3226" s="4" t="s">
        <v>6827</v>
      </c>
      <c r="B3226" s="6" t="s">
        <v>6822</v>
      </c>
      <c r="C3226" s="4" t="s">
        <v>53</v>
      </c>
      <c r="D3226" s="4">
        <v>9</v>
      </c>
      <c r="E3226" s="4" t="s">
        <v>6211</v>
      </c>
    </row>
    <row r="3227" spans="1:6">
      <c r="A3227" s="4" t="s">
        <v>6828</v>
      </c>
      <c r="B3227" s="6" t="s">
        <v>6829</v>
      </c>
      <c r="C3227" s="4" t="s">
        <v>87</v>
      </c>
      <c r="D3227" s="4">
        <v>10</v>
      </c>
      <c r="E3227" s="4" t="s">
        <v>1922</v>
      </c>
    </row>
    <row r="3228" spans="1:6">
      <c r="A3228" s="4" t="s">
        <v>6830</v>
      </c>
      <c r="B3228" s="6" t="s">
        <v>6829</v>
      </c>
      <c r="C3228" s="4" t="s">
        <v>49</v>
      </c>
      <c r="D3228" s="4">
        <v>11</v>
      </c>
      <c r="E3228" s="4" t="s">
        <v>6245</v>
      </c>
      <c r="F3228" s="4" t="s">
        <v>1548</v>
      </c>
    </row>
    <row r="3229" spans="1:6">
      <c r="A3229" s="4" t="s">
        <v>6831</v>
      </c>
      <c r="B3229" s="6" t="s">
        <v>6829</v>
      </c>
      <c r="C3229" s="4" t="s">
        <v>121</v>
      </c>
      <c r="D3229" s="4">
        <v>4</v>
      </c>
      <c r="E3229" s="4" t="s">
        <v>6832</v>
      </c>
      <c r="F3229" s="4" t="s">
        <v>6833</v>
      </c>
    </row>
    <row r="3230" spans="1:6">
      <c r="A3230" s="4" t="s">
        <v>6834</v>
      </c>
      <c r="B3230" s="6" t="s">
        <v>6829</v>
      </c>
      <c r="C3230" s="4" t="s">
        <v>81</v>
      </c>
      <c r="D3230" s="4">
        <v>14</v>
      </c>
      <c r="E3230" s="4" t="s">
        <v>1922</v>
      </c>
      <c r="F3230" s="4" t="s">
        <v>6835</v>
      </c>
    </row>
    <row r="3231" spans="1:6">
      <c r="A3231" s="4" t="s">
        <v>6836</v>
      </c>
      <c r="B3231" s="6" t="s">
        <v>6837</v>
      </c>
      <c r="C3231" s="4" t="s">
        <v>143</v>
      </c>
      <c r="D3231" s="4">
        <v>11</v>
      </c>
      <c r="E3231" s="4" t="s">
        <v>6245</v>
      </c>
      <c r="F3231" s="4" t="s">
        <v>6838</v>
      </c>
    </row>
    <row r="3232" spans="1:6">
      <c r="A3232" s="4" t="s">
        <v>6839</v>
      </c>
      <c r="B3232" s="6" t="s">
        <v>6837</v>
      </c>
      <c r="C3232" s="4" t="s">
        <v>87</v>
      </c>
      <c r="D3232" s="4">
        <v>7</v>
      </c>
      <c r="E3232" s="4" t="s">
        <v>6832</v>
      </c>
    </row>
    <row r="3233" spans="1:6">
      <c r="A3233" s="4" t="s">
        <v>6840</v>
      </c>
      <c r="B3233" s="6" t="s">
        <v>6841</v>
      </c>
      <c r="C3233" s="4" t="s">
        <v>34</v>
      </c>
      <c r="D3233" s="4">
        <v>11</v>
      </c>
      <c r="E3233" s="4" t="s">
        <v>1908</v>
      </c>
      <c r="F3233" s="4" t="s">
        <v>6842</v>
      </c>
    </row>
    <row r="3234" spans="1:6">
      <c r="A3234" s="4" t="s">
        <v>6843</v>
      </c>
      <c r="B3234" s="6" t="s">
        <v>6844</v>
      </c>
      <c r="C3234" s="4" t="s">
        <v>23</v>
      </c>
      <c r="D3234" s="4">
        <v>13</v>
      </c>
      <c r="E3234" s="4" t="s">
        <v>1908</v>
      </c>
      <c r="F3234" s="4" t="s">
        <v>6845</v>
      </c>
    </row>
    <row r="3235" spans="1:6">
      <c r="A3235" s="4" t="s">
        <v>6846</v>
      </c>
      <c r="B3235" s="6" t="s">
        <v>6844</v>
      </c>
      <c r="C3235" s="4" t="s">
        <v>686</v>
      </c>
      <c r="D3235" s="4">
        <v>9</v>
      </c>
      <c r="E3235" s="4" t="s">
        <v>1908</v>
      </c>
      <c r="F3235" s="4" t="s">
        <v>4621</v>
      </c>
    </row>
    <row r="3236" spans="1:6">
      <c r="A3236" s="4" t="s">
        <v>6847</v>
      </c>
      <c r="B3236" s="6" t="s">
        <v>6844</v>
      </c>
      <c r="C3236" s="4" t="s">
        <v>31</v>
      </c>
      <c r="D3236" s="4">
        <v>14</v>
      </c>
      <c r="E3236" s="4" t="s">
        <v>1908</v>
      </c>
      <c r="F3236" s="4" t="s">
        <v>6845</v>
      </c>
    </row>
    <row r="3237" spans="1:6">
      <c r="A3237" s="4" t="s">
        <v>6848</v>
      </c>
      <c r="B3237" s="6" t="s">
        <v>6849</v>
      </c>
      <c r="C3237" s="4" t="s">
        <v>1282</v>
      </c>
      <c r="D3237" s="4">
        <v>13</v>
      </c>
      <c r="E3237" s="4" t="s">
        <v>1110</v>
      </c>
      <c r="F3237" s="4" t="s">
        <v>6850</v>
      </c>
    </row>
    <row r="3238" spans="1:6">
      <c r="A3238" s="4" t="s">
        <v>6851</v>
      </c>
      <c r="B3238" s="6" t="s">
        <v>6852</v>
      </c>
      <c r="C3238" s="4" t="s">
        <v>81</v>
      </c>
      <c r="D3238" s="4">
        <v>14</v>
      </c>
      <c r="E3238" s="4" t="s">
        <v>6714</v>
      </c>
    </row>
    <row r="3239" spans="1:6">
      <c r="A3239" s="4" t="s">
        <v>6853</v>
      </c>
      <c r="B3239" s="6" t="s">
        <v>6854</v>
      </c>
      <c r="C3239" s="4" t="s">
        <v>27</v>
      </c>
      <c r="D3239" s="4">
        <v>12</v>
      </c>
      <c r="E3239" s="4" t="s">
        <v>979</v>
      </c>
    </row>
    <row r="3240" spans="1:6">
      <c r="A3240" s="4" t="s">
        <v>6855</v>
      </c>
      <c r="B3240" s="6" t="s">
        <v>6854</v>
      </c>
      <c r="C3240" s="4" t="s">
        <v>34</v>
      </c>
      <c r="D3240" s="4">
        <v>10</v>
      </c>
      <c r="E3240" s="4" t="s">
        <v>6192</v>
      </c>
      <c r="F3240" s="4" t="s">
        <v>6175</v>
      </c>
    </row>
    <row r="3241" spans="1:6">
      <c r="A3241" s="4" t="s">
        <v>6856</v>
      </c>
      <c r="B3241" s="6" t="s">
        <v>6854</v>
      </c>
      <c r="C3241" s="4" t="s">
        <v>34</v>
      </c>
      <c r="D3241" s="4">
        <v>13</v>
      </c>
      <c r="E3241" s="4" t="s">
        <v>979</v>
      </c>
    </row>
    <row r="3242" spans="1:6">
      <c r="A3242" s="4" t="s">
        <v>6857</v>
      </c>
      <c r="B3242" s="6" t="s">
        <v>6854</v>
      </c>
      <c r="C3242" s="4" t="s">
        <v>53</v>
      </c>
      <c r="D3242" s="4">
        <v>14</v>
      </c>
      <c r="E3242" s="4" t="s">
        <v>979</v>
      </c>
    </row>
    <row r="3243" spans="1:6">
      <c r="A3243" s="4" t="s">
        <v>6858</v>
      </c>
      <c r="B3243" s="6" t="s">
        <v>6859</v>
      </c>
      <c r="C3243" s="4" t="s">
        <v>37</v>
      </c>
      <c r="D3243" s="4">
        <v>13</v>
      </c>
      <c r="E3243" s="4" t="s">
        <v>1043</v>
      </c>
      <c r="F3243" s="4" t="s">
        <v>6860</v>
      </c>
    </row>
    <row r="3244" spans="1:6">
      <c r="A3244" s="4" t="s">
        <v>6861</v>
      </c>
      <c r="B3244" s="6" t="s">
        <v>6859</v>
      </c>
      <c r="C3244" s="4" t="s">
        <v>27</v>
      </c>
      <c r="D3244" s="4">
        <v>9</v>
      </c>
      <c r="E3244" s="4" t="s">
        <v>6862</v>
      </c>
      <c r="F3244" s="4" t="s">
        <v>6863</v>
      </c>
    </row>
    <row r="3245" spans="1:6">
      <c r="A3245" s="4" t="s">
        <v>6864</v>
      </c>
      <c r="B3245" s="6" t="s">
        <v>6859</v>
      </c>
      <c r="C3245" s="4" t="s">
        <v>1078</v>
      </c>
      <c r="D3245" s="4">
        <v>6</v>
      </c>
      <c r="E3245" s="4" t="s">
        <v>6862</v>
      </c>
      <c r="F3245" s="4" t="s">
        <v>6865</v>
      </c>
    </row>
    <row r="3246" spans="1:6">
      <c r="A3246" s="4" t="s">
        <v>6866</v>
      </c>
      <c r="B3246" s="6" t="s">
        <v>6859</v>
      </c>
      <c r="C3246" s="4" t="s">
        <v>104</v>
      </c>
      <c r="D3246" s="4">
        <v>11</v>
      </c>
      <c r="E3246" s="4" t="s">
        <v>1043</v>
      </c>
    </row>
    <row r="3247" spans="1:6">
      <c r="A3247" s="4" t="s">
        <v>6867</v>
      </c>
      <c r="B3247" s="6" t="s">
        <v>6868</v>
      </c>
      <c r="C3247" s="4" t="s">
        <v>448</v>
      </c>
      <c r="D3247" s="4">
        <v>5</v>
      </c>
      <c r="E3247" s="4" t="s">
        <v>6375</v>
      </c>
      <c r="F3247" s="4" t="s">
        <v>6869</v>
      </c>
    </row>
    <row r="3248" spans="1:6">
      <c r="A3248" s="4" t="s">
        <v>6870</v>
      </c>
      <c r="B3248" s="6" t="s">
        <v>6871</v>
      </c>
      <c r="C3248" s="4" t="s">
        <v>453</v>
      </c>
      <c r="D3248" s="4">
        <v>12</v>
      </c>
      <c r="E3248" s="4" t="s">
        <v>1922</v>
      </c>
      <c r="F3248" s="4" t="s">
        <v>6872</v>
      </c>
    </row>
    <row r="3249" spans="1:6">
      <c r="A3249" s="4" t="s">
        <v>6873</v>
      </c>
      <c r="B3249" s="6" t="s">
        <v>6871</v>
      </c>
      <c r="C3249" s="4" t="s">
        <v>285</v>
      </c>
      <c r="D3249" s="4">
        <v>8</v>
      </c>
      <c r="E3249" s="4" t="s">
        <v>2024</v>
      </c>
    </row>
    <row r="3250" spans="1:6">
      <c r="A3250" s="4" t="s">
        <v>6874</v>
      </c>
      <c r="B3250" s="6" t="s">
        <v>6875</v>
      </c>
      <c r="C3250" s="4" t="s">
        <v>34</v>
      </c>
      <c r="D3250" s="4">
        <v>11</v>
      </c>
      <c r="E3250" s="4" t="s">
        <v>6245</v>
      </c>
      <c r="F3250" s="4" t="s">
        <v>1023</v>
      </c>
    </row>
    <row r="3251" spans="1:6">
      <c r="A3251" s="4" t="s">
        <v>6876</v>
      </c>
      <c r="B3251" s="6" t="s">
        <v>6875</v>
      </c>
      <c r="C3251" s="4" t="s">
        <v>6877</v>
      </c>
      <c r="D3251" s="4">
        <v>8</v>
      </c>
      <c r="E3251" s="4" t="s">
        <v>6245</v>
      </c>
    </row>
    <row r="3252" spans="1:6">
      <c r="A3252" s="4" t="s">
        <v>6878</v>
      </c>
      <c r="B3252" s="6" t="s">
        <v>6879</v>
      </c>
      <c r="C3252" s="4" t="s">
        <v>81</v>
      </c>
      <c r="D3252" s="4">
        <v>11</v>
      </c>
      <c r="E3252" s="4" t="s">
        <v>6546</v>
      </c>
      <c r="F3252" s="4" t="s">
        <v>6880</v>
      </c>
    </row>
    <row r="3253" spans="1:6">
      <c r="A3253" s="4" t="s">
        <v>6881</v>
      </c>
      <c r="B3253" s="6" t="s">
        <v>6879</v>
      </c>
      <c r="C3253" s="4" t="s">
        <v>81</v>
      </c>
      <c r="D3253" s="4">
        <v>14</v>
      </c>
      <c r="E3253" s="4" t="s">
        <v>6546</v>
      </c>
      <c r="F3253" s="4" t="s">
        <v>6880</v>
      </c>
    </row>
    <row r="3254" spans="1:6">
      <c r="A3254" s="4" t="s">
        <v>6882</v>
      </c>
      <c r="B3254" s="6" t="s">
        <v>6879</v>
      </c>
      <c r="C3254" s="4" t="s">
        <v>945</v>
      </c>
      <c r="D3254" s="4">
        <v>12</v>
      </c>
      <c r="E3254" s="4" t="s">
        <v>1908</v>
      </c>
    </row>
    <row r="3255" spans="1:6">
      <c r="A3255" s="4" t="s">
        <v>6883</v>
      </c>
      <c r="B3255" s="6" t="s">
        <v>6884</v>
      </c>
      <c r="C3255" s="4" t="s">
        <v>27</v>
      </c>
      <c r="D3255" s="4">
        <v>8</v>
      </c>
      <c r="E3255" s="4" t="s">
        <v>1908</v>
      </c>
    </row>
    <row r="3256" spans="1:6">
      <c r="A3256" s="4" t="s">
        <v>6885</v>
      </c>
      <c r="B3256" s="6" t="s">
        <v>6886</v>
      </c>
      <c r="C3256" s="4" t="s">
        <v>49</v>
      </c>
      <c r="D3256" s="4">
        <v>9</v>
      </c>
      <c r="E3256" s="4" t="s">
        <v>6192</v>
      </c>
      <c r="F3256" s="4" t="s">
        <v>6887</v>
      </c>
    </row>
    <row r="3257" spans="1:6">
      <c r="A3257" s="4" t="s">
        <v>6888</v>
      </c>
      <c r="B3257" s="6" t="s">
        <v>6886</v>
      </c>
      <c r="C3257" s="4" t="s">
        <v>37</v>
      </c>
      <c r="D3257" s="4">
        <v>10</v>
      </c>
      <c r="E3257" s="4" t="s">
        <v>1747</v>
      </c>
      <c r="F3257" s="4" t="s">
        <v>1986</v>
      </c>
    </row>
    <row r="3258" spans="1:6">
      <c r="A3258" s="4" t="s">
        <v>485</v>
      </c>
      <c r="B3258" s="6" t="s">
        <v>6889</v>
      </c>
      <c r="C3258" s="4" t="s">
        <v>485</v>
      </c>
      <c r="D3258" s="4">
        <v>5</v>
      </c>
      <c r="E3258" s="4" t="s">
        <v>6890</v>
      </c>
      <c r="F3258" s="4" t="s">
        <v>6891</v>
      </c>
    </row>
    <row r="3259" spans="1:6">
      <c r="A3259" s="4" t="s">
        <v>6892</v>
      </c>
      <c r="B3259" s="6" t="s">
        <v>6893</v>
      </c>
      <c r="C3259" s="4" t="s">
        <v>87</v>
      </c>
      <c r="D3259" s="4">
        <v>11</v>
      </c>
      <c r="E3259" s="4" t="s">
        <v>989</v>
      </c>
      <c r="F3259" s="4" t="s">
        <v>6894</v>
      </c>
    </row>
    <row r="3260" spans="1:6">
      <c r="A3260" s="4" t="s">
        <v>6895</v>
      </c>
      <c r="B3260" s="6" t="s">
        <v>6896</v>
      </c>
      <c r="C3260" s="4" t="s">
        <v>301</v>
      </c>
      <c r="D3260" s="4">
        <v>11</v>
      </c>
      <c r="E3260" s="4" t="s">
        <v>989</v>
      </c>
    </row>
    <row r="3261" spans="1:6">
      <c r="A3261" s="4" t="s">
        <v>6897</v>
      </c>
      <c r="B3261" s="6" t="s">
        <v>6896</v>
      </c>
      <c r="C3261" s="4" t="s">
        <v>2568</v>
      </c>
      <c r="D3261" s="4">
        <v>16</v>
      </c>
      <c r="E3261" s="4" t="s">
        <v>989</v>
      </c>
      <c r="F3261" s="4" t="s">
        <v>6898</v>
      </c>
    </row>
    <row r="3262" spans="1:6">
      <c r="A3262" s="4" t="s">
        <v>1403</v>
      </c>
      <c r="B3262" s="6" t="s">
        <v>6896</v>
      </c>
      <c r="C3262" s="4" t="s">
        <v>1403</v>
      </c>
      <c r="D3262" s="4">
        <v>7</v>
      </c>
      <c r="E3262" s="4" t="s">
        <v>989</v>
      </c>
      <c r="F3262" s="4" t="s">
        <v>6899</v>
      </c>
    </row>
    <row r="3263" spans="1:6">
      <c r="A3263" s="4" t="s">
        <v>6900</v>
      </c>
      <c r="B3263" s="6" t="s">
        <v>6896</v>
      </c>
      <c r="C3263" s="4" t="s">
        <v>254</v>
      </c>
      <c r="D3263" s="4">
        <v>7</v>
      </c>
      <c r="E3263" s="4" t="s">
        <v>989</v>
      </c>
      <c r="F3263" s="4" t="s">
        <v>1639</v>
      </c>
    </row>
    <row r="3264" spans="1:6">
      <c r="A3264" s="4" t="s">
        <v>6901</v>
      </c>
      <c r="B3264" s="6" t="s">
        <v>6896</v>
      </c>
      <c r="C3264" s="4" t="s">
        <v>420</v>
      </c>
      <c r="D3264" s="4">
        <v>5</v>
      </c>
      <c r="E3264" s="4" t="s">
        <v>989</v>
      </c>
      <c r="F3264" s="4" t="s">
        <v>6902</v>
      </c>
    </row>
    <row r="3265" spans="1:6">
      <c r="A3265" s="4" t="s">
        <v>6903</v>
      </c>
      <c r="B3265" s="6" t="s">
        <v>6896</v>
      </c>
      <c r="C3265" s="4" t="s">
        <v>34</v>
      </c>
      <c r="D3265" s="4">
        <v>8</v>
      </c>
      <c r="E3265" s="4" t="s">
        <v>989</v>
      </c>
    </row>
    <row r="3266" spans="1:6">
      <c r="A3266" s="4" t="s">
        <v>6904</v>
      </c>
      <c r="B3266" s="6" t="s">
        <v>6896</v>
      </c>
      <c r="C3266" s="4" t="s">
        <v>23</v>
      </c>
      <c r="D3266" s="4">
        <v>8</v>
      </c>
      <c r="E3266" s="4" t="s">
        <v>989</v>
      </c>
      <c r="F3266" s="4" t="s">
        <v>6905</v>
      </c>
    </row>
    <row r="3267" spans="1:6">
      <c r="A3267" s="4" t="s">
        <v>6906</v>
      </c>
      <c r="B3267" s="6" t="s">
        <v>6907</v>
      </c>
      <c r="C3267" s="4" t="s">
        <v>574</v>
      </c>
      <c r="D3267" s="4">
        <v>16</v>
      </c>
      <c r="E3267" s="4" t="s">
        <v>1736</v>
      </c>
    </row>
    <row r="3268" spans="1:6">
      <c r="A3268" s="4" t="s">
        <v>6908</v>
      </c>
      <c r="B3268" s="6" t="s">
        <v>6909</v>
      </c>
      <c r="C3268" s="4" t="s">
        <v>87</v>
      </c>
      <c r="D3268" s="4">
        <v>7</v>
      </c>
      <c r="E3268" s="4" t="s">
        <v>1047</v>
      </c>
      <c r="F3268" s="4" t="s">
        <v>6910</v>
      </c>
    </row>
    <row r="3269" spans="1:6">
      <c r="A3269" s="4" t="s">
        <v>6911</v>
      </c>
      <c r="B3269" s="6" t="s">
        <v>6912</v>
      </c>
      <c r="C3269" s="4" t="s">
        <v>87</v>
      </c>
      <c r="D3269" s="4">
        <v>12</v>
      </c>
      <c r="E3269" s="4" t="s">
        <v>1022</v>
      </c>
      <c r="F3269" s="4" t="s">
        <v>6913</v>
      </c>
    </row>
    <row r="3270" spans="1:6">
      <c r="A3270" s="4" t="s">
        <v>6914</v>
      </c>
      <c r="B3270" s="6" t="s">
        <v>6915</v>
      </c>
      <c r="C3270" s="4" t="s">
        <v>448</v>
      </c>
      <c r="D3270" s="4">
        <v>2</v>
      </c>
      <c r="E3270" s="4" t="s">
        <v>6916</v>
      </c>
      <c r="F3270" s="4" t="s">
        <v>6917</v>
      </c>
    </row>
    <row r="3271" spans="1:6">
      <c r="A3271" s="4" t="s">
        <v>6918</v>
      </c>
      <c r="B3271" s="6" t="s">
        <v>6915</v>
      </c>
      <c r="C3271" s="4" t="s">
        <v>2818</v>
      </c>
      <c r="D3271" s="4">
        <v>5</v>
      </c>
      <c r="E3271" s="4" t="s">
        <v>6919</v>
      </c>
    </row>
    <row r="3272" spans="1:6">
      <c r="A3272" s="4" t="s">
        <v>6920</v>
      </c>
      <c r="B3272" s="6" t="s">
        <v>6915</v>
      </c>
      <c r="C3272" s="4" t="s">
        <v>45</v>
      </c>
      <c r="D3272" s="4">
        <v>9</v>
      </c>
      <c r="E3272" s="4" t="s">
        <v>3929</v>
      </c>
      <c r="F3272" s="4" t="s">
        <v>6921</v>
      </c>
    </row>
    <row r="3273" spans="1:6">
      <c r="A3273" s="4" t="s">
        <v>6922</v>
      </c>
      <c r="B3273" s="6" t="s">
        <v>6915</v>
      </c>
      <c r="C3273" s="4" t="s">
        <v>121</v>
      </c>
      <c r="D3273" s="4">
        <v>5</v>
      </c>
      <c r="E3273" s="4" t="s">
        <v>3929</v>
      </c>
      <c r="F3273" s="4" t="s">
        <v>6923</v>
      </c>
    </row>
    <row r="3274" spans="1:6">
      <c r="A3274" s="4" t="s">
        <v>6924</v>
      </c>
      <c r="B3274" s="6" t="s">
        <v>6925</v>
      </c>
      <c r="C3274" s="4" t="s">
        <v>275</v>
      </c>
      <c r="D3274" s="4">
        <v>10</v>
      </c>
      <c r="E3274" s="4" t="s">
        <v>979</v>
      </c>
      <c r="F3274" s="4" t="s">
        <v>6926</v>
      </c>
    </row>
    <row r="3275" spans="1:6">
      <c r="A3275" s="4" t="s">
        <v>6927</v>
      </c>
      <c r="B3275" s="6" t="s">
        <v>6928</v>
      </c>
      <c r="C3275" s="4" t="s">
        <v>81</v>
      </c>
      <c r="D3275" s="4">
        <v>7</v>
      </c>
      <c r="E3275" s="4" t="s">
        <v>989</v>
      </c>
    </row>
    <row r="3276" spans="1:6">
      <c r="A3276" s="4" t="s">
        <v>6929</v>
      </c>
      <c r="B3276" s="6" t="s">
        <v>6928</v>
      </c>
      <c r="C3276" s="4" t="s">
        <v>53</v>
      </c>
      <c r="D3276" s="4">
        <v>13</v>
      </c>
      <c r="E3276" s="4" t="s">
        <v>6930</v>
      </c>
    </row>
    <row r="3277" spans="1:6">
      <c r="A3277" s="4" t="s">
        <v>6931</v>
      </c>
      <c r="B3277" s="6" t="s">
        <v>6932</v>
      </c>
      <c r="C3277" s="4" t="s">
        <v>461</v>
      </c>
      <c r="D3277" s="4">
        <v>9</v>
      </c>
      <c r="E3277" s="4" t="s">
        <v>989</v>
      </c>
      <c r="F3277" s="4" t="s">
        <v>6933</v>
      </c>
    </row>
    <row r="3278" spans="1:6">
      <c r="A3278" s="4" t="s">
        <v>4015</v>
      </c>
      <c r="B3278" s="6" t="s">
        <v>6932</v>
      </c>
      <c r="C3278" s="4" t="s">
        <v>4015</v>
      </c>
      <c r="D3278" s="4">
        <v>7</v>
      </c>
      <c r="E3278" s="4" t="s">
        <v>6934</v>
      </c>
      <c r="F3278" s="4" t="s">
        <v>6935</v>
      </c>
    </row>
    <row r="3279" spans="1:6">
      <c r="A3279" s="4" t="s">
        <v>6936</v>
      </c>
      <c r="B3279" s="6" t="s">
        <v>6932</v>
      </c>
      <c r="C3279" s="4" t="s">
        <v>23</v>
      </c>
      <c r="D3279" s="4">
        <v>10</v>
      </c>
      <c r="E3279" s="4" t="s">
        <v>989</v>
      </c>
      <c r="F3279" s="4" t="s">
        <v>6937</v>
      </c>
    </row>
    <row r="3280" spans="1:6">
      <c r="A3280" s="4" t="s">
        <v>6938</v>
      </c>
      <c r="B3280" s="6" t="s">
        <v>6932</v>
      </c>
      <c r="C3280" s="4" t="s">
        <v>14</v>
      </c>
      <c r="D3280" s="4">
        <v>10</v>
      </c>
      <c r="E3280" s="4" t="s">
        <v>989</v>
      </c>
      <c r="F3280" s="4" t="s">
        <v>1901</v>
      </c>
    </row>
    <row r="3281" spans="1:6">
      <c r="A3281" s="4" t="s">
        <v>6939</v>
      </c>
      <c r="B3281" s="6" t="s">
        <v>6940</v>
      </c>
      <c r="C3281" s="4" t="s">
        <v>53</v>
      </c>
      <c r="D3281" s="4">
        <v>13</v>
      </c>
      <c r="F3281" s="4" t="s">
        <v>6941</v>
      </c>
    </row>
    <row r="3282" spans="1:6">
      <c r="A3282" s="4" t="s">
        <v>6942</v>
      </c>
      <c r="B3282" s="6" t="s">
        <v>6932</v>
      </c>
      <c r="C3282" s="4" t="s">
        <v>104</v>
      </c>
      <c r="D3282" s="4">
        <v>11</v>
      </c>
      <c r="E3282" s="4" t="s">
        <v>989</v>
      </c>
      <c r="F3282" s="4" t="s">
        <v>6943</v>
      </c>
    </row>
    <row r="3283" spans="1:6">
      <c r="A3283" s="4" t="s">
        <v>6944</v>
      </c>
      <c r="B3283" s="6" t="s">
        <v>6932</v>
      </c>
      <c r="C3283" s="4" t="s">
        <v>45</v>
      </c>
      <c r="D3283" s="4">
        <v>10</v>
      </c>
      <c r="E3283" s="4" t="s">
        <v>989</v>
      </c>
    </row>
    <row r="3284" spans="1:6">
      <c r="A3284" s="4" t="s">
        <v>6945</v>
      </c>
      <c r="B3284" s="6" t="s">
        <v>6946</v>
      </c>
      <c r="C3284" s="4" t="s">
        <v>45</v>
      </c>
      <c r="D3284" s="4">
        <v>15</v>
      </c>
      <c r="E3284" s="4" t="s">
        <v>989</v>
      </c>
      <c r="F3284" s="4" t="s">
        <v>6947</v>
      </c>
    </row>
    <row r="3285" spans="1:6">
      <c r="A3285" s="4" t="s">
        <v>6948</v>
      </c>
      <c r="B3285" s="6" t="s">
        <v>6949</v>
      </c>
      <c r="C3285" s="4" t="s">
        <v>23</v>
      </c>
      <c r="D3285" s="4">
        <v>9</v>
      </c>
      <c r="E3285" s="4" t="s">
        <v>989</v>
      </c>
    </row>
    <row r="3286" spans="1:6">
      <c r="A3286" s="4" t="s">
        <v>6950</v>
      </c>
      <c r="B3286" s="6" t="s">
        <v>6951</v>
      </c>
      <c r="C3286" s="4" t="s">
        <v>729</v>
      </c>
      <c r="D3286" s="4">
        <v>9</v>
      </c>
      <c r="E3286" s="4" t="s">
        <v>5222</v>
      </c>
      <c r="F3286" s="4" t="s">
        <v>6952</v>
      </c>
    </row>
    <row r="3287" spans="1:6">
      <c r="A3287" s="4" t="s">
        <v>6953</v>
      </c>
      <c r="B3287" s="6" t="s">
        <v>6954</v>
      </c>
      <c r="C3287" s="4" t="s">
        <v>81</v>
      </c>
      <c r="D3287" s="4">
        <v>13</v>
      </c>
      <c r="E3287" s="4" t="s">
        <v>989</v>
      </c>
      <c r="F3287" s="4" t="s">
        <v>952</v>
      </c>
    </row>
    <row r="3288" spans="1:6">
      <c r="A3288" s="4" t="s">
        <v>6955</v>
      </c>
      <c r="B3288" s="6" t="s">
        <v>6954</v>
      </c>
      <c r="C3288" s="4" t="s">
        <v>81</v>
      </c>
      <c r="D3288" s="4">
        <v>13</v>
      </c>
      <c r="E3288" s="4" t="s">
        <v>989</v>
      </c>
      <c r="F3288" s="4" t="s">
        <v>952</v>
      </c>
    </row>
    <row r="3289" spans="1:6">
      <c r="A3289" s="4" t="s">
        <v>6956</v>
      </c>
      <c r="B3289" s="6" t="s">
        <v>6954</v>
      </c>
      <c r="C3289" s="4" t="s">
        <v>860</v>
      </c>
      <c r="D3289" s="4">
        <v>13</v>
      </c>
      <c r="E3289" s="4" t="s">
        <v>6639</v>
      </c>
    </row>
    <row r="3290" spans="1:6">
      <c r="A3290" s="4" t="s">
        <v>263</v>
      </c>
      <c r="B3290" s="6" t="s">
        <v>6957</v>
      </c>
      <c r="C3290" s="4" t="s">
        <v>263</v>
      </c>
      <c r="D3290" s="4">
        <v>2</v>
      </c>
      <c r="E3290" s="4" t="s">
        <v>6958</v>
      </c>
      <c r="F3290" s="4" t="s">
        <v>6959</v>
      </c>
    </row>
    <row r="3291" spans="1:6">
      <c r="A3291" s="4" t="s">
        <v>6960</v>
      </c>
      <c r="B3291" s="6" t="s">
        <v>6957</v>
      </c>
      <c r="C3291" s="4" t="s">
        <v>34</v>
      </c>
      <c r="D3291" s="4">
        <v>9</v>
      </c>
      <c r="E3291" s="4" t="s">
        <v>752</v>
      </c>
      <c r="F3291" s="4" t="s">
        <v>6961</v>
      </c>
    </row>
    <row r="3292" spans="1:6">
      <c r="A3292" s="4" t="s">
        <v>6962</v>
      </c>
      <c r="B3292" s="6" t="s">
        <v>6957</v>
      </c>
      <c r="C3292" s="4" t="s">
        <v>254</v>
      </c>
      <c r="D3292" s="4">
        <v>4</v>
      </c>
      <c r="E3292" s="4" t="s">
        <v>6963</v>
      </c>
    </row>
    <row r="3293" spans="1:6">
      <c r="A3293" s="4" t="s">
        <v>6964</v>
      </c>
      <c r="B3293" s="6" t="s">
        <v>6965</v>
      </c>
      <c r="C3293" s="4" t="s">
        <v>263</v>
      </c>
      <c r="D3293" s="4">
        <v>4</v>
      </c>
      <c r="E3293" s="4" t="s">
        <v>1069</v>
      </c>
      <c r="F3293" s="4" t="s">
        <v>6966</v>
      </c>
    </row>
    <row r="3294" spans="1:6">
      <c r="A3294" s="4" t="s">
        <v>6967</v>
      </c>
      <c r="B3294" s="6" t="s">
        <v>6965</v>
      </c>
      <c r="C3294" s="4" t="s">
        <v>104</v>
      </c>
      <c r="D3294" s="4">
        <v>8</v>
      </c>
      <c r="E3294" s="4" t="s">
        <v>1069</v>
      </c>
      <c r="F3294" s="4" t="s">
        <v>2093</v>
      </c>
    </row>
    <row r="3295" spans="1:6">
      <c r="A3295" s="4" t="s">
        <v>6968</v>
      </c>
      <c r="B3295" s="6" t="s">
        <v>6969</v>
      </c>
      <c r="C3295" s="4" t="s">
        <v>705</v>
      </c>
      <c r="D3295" s="4">
        <v>12</v>
      </c>
      <c r="E3295" s="4" t="s">
        <v>1069</v>
      </c>
      <c r="F3295" s="4" t="s">
        <v>6970</v>
      </c>
    </row>
    <row r="3296" spans="1:6">
      <c r="A3296" s="4" t="s">
        <v>6971</v>
      </c>
      <c r="B3296" s="6" t="s">
        <v>6972</v>
      </c>
      <c r="C3296" s="4" t="s">
        <v>301</v>
      </c>
      <c r="D3296" s="4">
        <v>15</v>
      </c>
      <c r="E3296" s="4" t="s">
        <v>1253</v>
      </c>
      <c r="F3296" s="4" t="s">
        <v>6973</v>
      </c>
    </row>
    <row r="3297" spans="1:6">
      <c r="A3297" s="4" t="s">
        <v>6974</v>
      </c>
      <c r="B3297" s="6" t="s">
        <v>6975</v>
      </c>
      <c r="C3297" s="4" t="s">
        <v>271</v>
      </c>
      <c r="D3297" s="4">
        <v>11</v>
      </c>
      <c r="E3297" s="4" t="s">
        <v>1253</v>
      </c>
    </row>
    <row r="3298" spans="1:6">
      <c r="A3298" s="4" t="s">
        <v>6976</v>
      </c>
      <c r="B3298" s="6" t="s">
        <v>6975</v>
      </c>
      <c r="C3298" s="4" t="s">
        <v>271</v>
      </c>
      <c r="D3298" s="4">
        <v>12</v>
      </c>
      <c r="E3298" s="4" t="s">
        <v>1253</v>
      </c>
    </row>
    <row r="3299" spans="1:6">
      <c r="A3299" s="4" t="s">
        <v>6977</v>
      </c>
      <c r="B3299" s="6" t="s">
        <v>6978</v>
      </c>
      <c r="C3299" s="4" t="s">
        <v>14</v>
      </c>
      <c r="D3299" s="4">
        <v>8</v>
      </c>
      <c r="E3299" s="4" t="s">
        <v>6635</v>
      </c>
      <c r="F3299" s="4" t="s">
        <v>6979</v>
      </c>
    </row>
    <row r="3300" spans="1:6">
      <c r="A3300" s="4" t="s">
        <v>6980</v>
      </c>
      <c r="B3300" s="6" t="s">
        <v>6978</v>
      </c>
      <c r="C3300" s="4" t="s">
        <v>81</v>
      </c>
      <c r="D3300" s="4">
        <v>11</v>
      </c>
      <c r="E3300" s="4" t="s">
        <v>1043</v>
      </c>
    </row>
    <row r="3301" spans="1:6">
      <c r="A3301" s="4" t="s">
        <v>6981</v>
      </c>
      <c r="B3301" s="6" t="s">
        <v>6978</v>
      </c>
      <c r="C3301" s="4" t="s">
        <v>53</v>
      </c>
      <c r="D3301" s="4">
        <v>12</v>
      </c>
      <c r="E3301" s="4" t="s">
        <v>1043</v>
      </c>
      <c r="F3301" s="4" t="s">
        <v>6758</v>
      </c>
    </row>
    <row r="3302" spans="1:6">
      <c r="A3302" s="4" t="s">
        <v>6982</v>
      </c>
      <c r="B3302" s="6" t="s">
        <v>6978</v>
      </c>
      <c r="C3302" s="4" t="s">
        <v>53</v>
      </c>
      <c r="D3302" s="4">
        <v>10</v>
      </c>
      <c r="E3302" s="4" t="s">
        <v>1043</v>
      </c>
    </row>
    <row r="3303" spans="1:6">
      <c r="A3303" s="4" t="s">
        <v>6983</v>
      </c>
      <c r="B3303" s="6" t="s">
        <v>6978</v>
      </c>
      <c r="C3303" s="4" t="s">
        <v>53</v>
      </c>
      <c r="D3303" s="4">
        <v>11</v>
      </c>
      <c r="E3303" s="4" t="s">
        <v>2122</v>
      </c>
    </row>
    <row r="3304" spans="1:6">
      <c r="A3304" s="4" t="s">
        <v>6984</v>
      </c>
      <c r="B3304" s="6" t="s">
        <v>6978</v>
      </c>
      <c r="C3304" s="4" t="s">
        <v>470</v>
      </c>
      <c r="D3304" s="4">
        <v>10</v>
      </c>
      <c r="E3304" s="4" t="s">
        <v>1043</v>
      </c>
      <c r="F3304" s="4" t="s">
        <v>6985</v>
      </c>
    </row>
    <row r="3305" spans="1:6">
      <c r="A3305" s="4" t="s">
        <v>6986</v>
      </c>
      <c r="B3305" s="6" t="s">
        <v>6978</v>
      </c>
      <c r="C3305" s="4" t="s">
        <v>87</v>
      </c>
      <c r="D3305" s="4">
        <v>11</v>
      </c>
      <c r="E3305" s="4" t="s">
        <v>1043</v>
      </c>
      <c r="F3305" s="4" t="s">
        <v>6985</v>
      </c>
    </row>
    <row r="3306" spans="1:6">
      <c r="A3306" s="4" t="s">
        <v>6987</v>
      </c>
      <c r="B3306" s="6" t="s">
        <v>6988</v>
      </c>
      <c r="C3306" s="4" t="s">
        <v>705</v>
      </c>
      <c r="D3306" s="4">
        <v>13</v>
      </c>
      <c r="E3306" s="4" t="s">
        <v>1043</v>
      </c>
      <c r="F3306" s="4" t="s">
        <v>6989</v>
      </c>
    </row>
    <row r="3307" spans="1:6">
      <c r="A3307" s="4" t="s">
        <v>6990</v>
      </c>
      <c r="B3307" s="6" t="s">
        <v>6988</v>
      </c>
      <c r="C3307" s="4" t="s">
        <v>448</v>
      </c>
      <c r="D3307" s="4">
        <v>5</v>
      </c>
      <c r="E3307" s="4" t="s">
        <v>6991</v>
      </c>
      <c r="F3307" s="4" t="s">
        <v>6992</v>
      </c>
    </row>
    <row r="3308" spans="1:6">
      <c r="A3308" s="4" t="s">
        <v>6993</v>
      </c>
      <c r="B3308" s="6" t="s">
        <v>6988</v>
      </c>
      <c r="C3308" s="4" t="s">
        <v>766</v>
      </c>
      <c r="D3308" s="4">
        <v>12</v>
      </c>
      <c r="E3308" s="4" t="s">
        <v>1922</v>
      </c>
      <c r="F3308" s="4" t="s">
        <v>6994</v>
      </c>
    </row>
    <row r="3309" spans="1:6">
      <c r="A3309" s="4" t="s">
        <v>6995</v>
      </c>
      <c r="B3309" s="6" t="s">
        <v>6988</v>
      </c>
      <c r="C3309" s="4" t="s">
        <v>87</v>
      </c>
      <c r="D3309" s="4">
        <v>10</v>
      </c>
      <c r="E3309" s="4" t="s">
        <v>2122</v>
      </c>
    </row>
    <row r="3310" spans="1:6">
      <c r="A3310" s="4" t="s">
        <v>6996</v>
      </c>
      <c r="B3310" s="6" t="s">
        <v>6997</v>
      </c>
      <c r="C3310" s="4" t="s">
        <v>254</v>
      </c>
      <c r="D3310" s="4">
        <v>7</v>
      </c>
      <c r="E3310" s="4" t="s">
        <v>2018</v>
      </c>
      <c r="F3310" s="4" t="s">
        <v>6998</v>
      </c>
    </row>
    <row r="3311" spans="1:6">
      <c r="A3311" s="4" t="s">
        <v>6999</v>
      </c>
      <c r="B3311" s="6" t="s">
        <v>6997</v>
      </c>
      <c r="C3311" s="4" t="s">
        <v>1403</v>
      </c>
      <c r="D3311" s="4">
        <v>12</v>
      </c>
      <c r="E3311" s="4" t="s">
        <v>2018</v>
      </c>
      <c r="F3311" s="4" t="s">
        <v>6998</v>
      </c>
    </row>
    <row r="3312" spans="1:6">
      <c r="A3312" s="4" t="s">
        <v>7000</v>
      </c>
      <c r="B3312" s="6" t="s">
        <v>7001</v>
      </c>
      <c r="C3312" s="4" t="s">
        <v>37</v>
      </c>
      <c r="D3312" s="4">
        <v>14</v>
      </c>
      <c r="E3312" s="4" t="s">
        <v>1043</v>
      </c>
      <c r="F3312" s="4" t="s">
        <v>7002</v>
      </c>
    </row>
    <row r="3313" spans="1:6">
      <c r="A3313" s="4" t="s">
        <v>7003</v>
      </c>
      <c r="B3313" s="6" t="s">
        <v>7001</v>
      </c>
      <c r="C3313" s="4" t="s">
        <v>275</v>
      </c>
      <c r="D3313" s="4">
        <v>10</v>
      </c>
      <c r="E3313" s="4" t="s">
        <v>1043</v>
      </c>
      <c r="F3313" s="4" t="s">
        <v>7004</v>
      </c>
    </row>
    <row r="3314" spans="1:6">
      <c r="A3314" s="4" t="s">
        <v>7005</v>
      </c>
      <c r="B3314" s="6" t="s">
        <v>7006</v>
      </c>
      <c r="C3314" s="4" t="s">
        <v>37</v>
      </c>
      <c r="D3314" s="4">
        <v>13</v>
      </c>
      <c r="E3314" s="4" t="s">
        <v>1047</v>
      </c>
    </row>
    <row r="3315" spans="1:6">
      <c r="A3315" s="4" t="s">
        <v>7007</v>
      </c>
      <c r="B3315" s="6" t="s">
        <v>7006</v>
      </c>
      <c r="C3315" s="4" t="s">
        <v>605</v>
      </c>
      <c r="D3315" s="4">
        <v>9</v>
      </c>
      <c r="E3315" s="4" t="s">
        <v>1047</v>
      </c>
      <c r="F3315" s="4" t="s">
        <v>7008</v>
      </c>
    </row>
    <row r="3316" spans="1:6">
      <c r="A3316" s="4" t="s">
        <v>7009</v>
      </c>
      <c r="B3316" s="6" t="s">
        <v>7010</v>
      </c>
      <c r="C3316" s="4" t="s">
        <v>296</v>
      </c>
      <c r="D3316" s="4">
        <v>9</v>
      </c>
      <c r="E3316" s="4" t="s">
        <v>7011</v>
      </c>
      <c r="F3316" s="4" t="s">
        <v>7012</v>
      </c>
    </row>
    <row r="3317" spans="1:6">
      <c r="A3317" s="4" t="s">
        <v>7013</v>
      </c>
      <c r="B3317" s="6" t="s">
        <v>7014</v>
      </c>
      <c r="C3317" s="4" t="s">
        <v>87</v>
      </c>
      <c r="D3317" s="4">
        <v>11</v>
      </c>
      <c r="E3317" s="4" t="s">
        <v>1183</v>
      </c>
      <c r="F3317" s="4" t="s">
        <v>7015</v>
      </c>
    </row>
    <row r="3318" spans="1:6">
      <c r="A3318" s="4" t="s">
        <v>7016</v>
      </c>
      <c r="B3318" s="6" t="s">
        <v>7014</v>
      </c>
      <c r="C3318" s="4" t="s">
        <v>403</v>
      </c>
      <c r="D3318" s="4">
        <v>23</v>
      </c>
      <c r="E3318" s="4" t="s">
        <v>1064</v>
      </c>
      <c r="F3318" s="4" t="s">
        <v>7017</v>
      </c>
    </row>
    <row r="3319" spans="1:6">
      <c r="A3319" s="4" t="s">
        <v>7018</v>
      </c>
      <c r="B3319" s="6" t="s">
        <v>7014</v>
      </c>
      <c r="C3319" s="4" t="s">
        <v>254</v>
      </c>
      <c r="D3319" s="4">
        <v>13</v>
      </c>
      <c r="E3319" s="4" t="s">
        <v>2887</v>
      </c>
    </row>
    <row r="3320" spans="1:6">
      <c r="A3320" s="4" t="s">
        <v>7019</v>
      </c>
      <c r="B3320" s="6" t="s">
        <v>7014</v>
      </c>
      <c r="C3320" s="4" t="s">
        <v>14</v>
      </c>
      <c r="D3320" s="4">
        <v>20</v>
      </c>
      <c r="E3320" s="4" t="s">
        <v>1064</v>
      </c>
    </row>
    <row r="3321" spans="1:6">
      <c r="A3321" s="4" t="s">
        <v>7020</v>
      </c>
      <c r="B3321" s="6" t="s">
        <v>7021</v>
      </c>
      <c r="C3321" s="4" t="s">
        <v>275</v>
      </c>
      <c r="D3321" s="4">
        <v>15</v>
      </c>
      <c r="E3321" s="4" t="s">
        <v>1064</v>
      </c>
    </row>
    <row r="3322" spans="1:6">
      <c r="A3322" s="4" t="s">
        <v>7022</v>
      </c>
      <c r="B3322" s="6" t="s">
        <v>7021</v>
      </c>
      <c r="C3322" s="4" t="s">
        <v>254</v>
      </c>
      <c r="D3322" s="4">
        <v>11</v>
      </c>
      <c r="E3322" s="4" t="s">
        <v>514</v>
      </c>
      <c r="F3322" s="4" t="s">
        <v>7023</v>
      </c>
    </row>
    <row r="3323" spans="1:6">
      <c r="A3323" s="4" t="s">
        <v>7024</v>
      </c>
      <c r="B3323" s="6" t="s">
        <v>7021</v>
      </c>
      <c r="C3323" s="4" t="s">
        <v>263</v>
      </c>
      <c r="D3323" s="4">
        <v>3</v>
      </c>
      <c r="E3323" s="4" t="s">
        <v>1064</v>
      </c>
      <c r="F3323" s="4" t="s">
        <v>3254</v>
      </c>
    </row>
    <row r="3324" spans="1:6">
      <c r="A3324" s="4" t="s">
        <v>7025</v>
      </c>
      <c r="B3324" s="6" t="s">
        <v>7021</v>
      </c>
      <c r="C3324" s="4" t="s">
        <v>121</v>
      </c>
      <c r="D3324" s="4">
        <v>4</v>
      </c>
      <c r="E3324" s="4" t="s">
        <v>1183</v>
      </c>
      <c r="F3324" s="4" t="s">
        <v>7026</v>
      </c>
    </row>
    <row r="3325" spans="1:6">
      <c r="A3325" s="4" t="s">
        <v>7027</v>
      </c>
      <c r="B3325" s="6" t="s">
        <v>7021</v>
      </c>
      <c r="C3325" s="4" t="s">
        <v>403</v>
      </c>
      <c r="D3325" s="4">
        <v>15</v>
      </c>
      <c r="E3325" s="4" t="s">
        <v>514</v>
      </c>
    </row>
    <row r="3326" spans="1:6">
      <c r="A3326" s="4" t="s">
        <v>7028</v>
      </c>
      <c r="B3326" s="6" t="s">
        <v>7021</v>
      </c>
      <c r="C3326" s="4" t="s">
        <v>254</v>
      </c>
      <c r="D3326" s="4">
        <v>5</v>
      </c>
      <c r="E3326" s="4" t="s">
        <v>1064</v>
      </c>
    </row>
    <row r="3327" spans="1:6">
      <c r="A3327" s="4" t="s">
        <v>7029</v>
      </c>
      <c r="B3327" s="6" t="s">
        <v>7030</v>
      </c>
      <c r="C3327" s="4" t="s">
        <v>686</v>
      </c>
      <c r="D3327" s="4">
        <v>12</v>
      </c>
      <c r="E3327" s="4" t="s">
        <v>1069</v>
      </c>
      <c r="F3327" s="4" t="s">
        <v>7031</v>
      </c>
    </row>
    <row r="3328" spans="1:6">
      <c r="A3328" s="4" t="s">
        <v>7032</v>
      </c>
      <c r="B3328" s="6" t="s">
        <v>7033</v>
      </c>
      <c r="C3328" s="4" t="s">
        <v>34</v>
      </c>
      <c r="D3328" s="4">
        <v>9</v>
      </c>
      <c r="E3328" s="4" t="s">
        <v>2234</v>
      </c>
      <c r="F3328" s="4" t="s">
        <v>7034</v>
      </c>
    </row>
    <row r="3329" spans="1:6">
      <c r="A3329" s="4" t="s">
        <v>7035</v>
      </c>
      <c r="B3329" s="6" t="s">
        <v>7036</v>
      </c>
      <c r="C3329" s="4" t="s">
        <v>49</v>
      </c>
      <c r="D3329" s="4">
        <v>9</v>
      </c>
      <c r="E3329" s="4" t="s">
        <v>1064</v>
      </c>
      <c r="F3329" s="4" t="s">
        <v>7037</v>
      </c>
    </row>
    <row r="3330" spans="1:6">
      <c r="A3330" s="4" t="s">
        <v>7038</v>
      </c>
      <c r="B3330" s="6" t="s">
        <v>7036</v>
      </c>
      <c r="C3330" s="4" t="s">
        <v>254</v>
      </c>
      <c r="D3330" s="4">
        <v>10</v>
      </c>
      <c r="E3330" s="4" t="s">
        <v>1064</v>
      </c>
    </row>
    <row r="3331" spans="1:6">
      <c r="A3331" s="4" t="s">
        <v>7039</v>
      </c>
      <c r="B3331" s="6" t="s">
        <v>7040</v>
      </c>
      <c r="C3331" s="4" t="s">
        <v>14</v>
      </c>
      <c r="D3331" s="4">
        <v>8</v>
      </c>
      <c r="E3331" s="4" t="s">
        <v>1069</v>
      </c>
      <c r="F3331" s="4" t="s">
        <v>7041</v>
      </c>
    </row>
    <row r="3332" spans="1:6">
      <c r="A3332" s="4" t="s">
        <v>7042</v>
      </c>
      <c r="B3332" s="6" t="s">
        <v>7040</v>
      </c>
      <c r="C3332" s="4" t="s">
        <v>238</v>
      </c>
      <c r="D3332" s="4">
        <v>8</v>
      </c>
      <c r="E3332" s="4" t="s">
        <v>2168</v>
      </c>
    </row>
    <row r="3333" spans="1:6">
      <c r="A3333" s="4" t="s">
        <v>7043</v>
      </c>
      <c r="B3333" s="6" t="s">
        <v>7044</v>
      </c>
      <c r="C3333" s="4" t="s">
        <v>1425</v>
      </c>
      <c r="D3333" s="4">
        <v>9</v>
      </c>
      <c r="E3333" s="4" t="s">
        <v>1187</v>
      </c>
    </row>
    <row r="3334" spans="1:6">
      <c r="A3334" s="4" t="s">
        <v>7045</v>
      </c>
      <c r="B3334" s="6" t="s">
        <v>7044</v>
      </c>
      <c r="C3334" s="4" t="s">
        <v>37</v>
      </c>
      <c r="D3334" s="4">
        <v>11</v>
      </c>
      <c r="E3334" s="4" t="s">
        <v>1187</v>
      </c>
      <c r="F3334" s="4" t="s">
        <v>7046</v>
      </c>
    </row>
    <row r="3335" spans="1:6">
      <c r="A3335" s="4" t="s">
        <v>7047</v>
      </c>
      <c r="B3335" s="6" t="s">
        <v>7044</v>
      </c>
      <c r="C3335" s="4" t="s">
        <v>315</v>
      </c>
      <c r="D3335" s="4">
        <v>13</v>
      </c>
      <c r="E3335" s="4" t="s">
        <v>1101</v>
      </c>
      <c r="F3335" s="4" t="s">
        <v>7048</v>
      </c>
    </row>
    <row r="3336" spans="1:6">
      <c r="A3336" s="4" t="s">
        <v>7049</v>
      </c>
      <c r="B3336" s="6" t="s">
        <v>7044</v>
      </c>
      <c r="C3336" s="4" t="s">
        <v>271</v>
      </c>
      <c r="D3336" s="4">
        <v>4</v>
      </c>
      <c r="E3336" s="4" t="s">
        <v>7050</v>
      </c>
      <c r="F3336" s="4" t="s">
        <v>7051</v>
      </c>
    </row>
    <row r="3337" spans="1:6">
      <c r="A3337" s="4" t="s">
        <v>7052</v>
      </c>
      <c r="B3337" s="6" t="s">
        <v>7053</v>
      </c>
      <c r="C3337" s="4" t="s">
        <v>995</v>
      </c>
      <c r="D3337" s="4">
        <v>11</v>
      </c>
      <c r="E3337" s="4" t="s">
        <v>2161</v>
      </c>
      <c r="F3337" s="4" t="s">
        <v>7054</v>
      </c>
    </row>
    <row r="3338" spans="1:6">
      <c r="A3338" s="4" t="s">
        <v>7055</v>
      </c>
      <c r="B3338" s="6" t="s">
        <v>7056</v>
      </c>
      <c r="C3338" s="4" t="s">
        <v>2474</v>
      </c>
      <c r="D3338" s="4">
        <v>4</v>
      </c>
      <c r="E3338" s="4" t="s">
        <v>1069</v>
      </c>
      <c r="F3338" s="4" t="s">
        <v>7057</v>
      </c>
    </row>
    <row r="3339" spans="1:6">
      <c r="A3339" s="4" t="s">
        <v>7058</v>
      </c>
      <c r="B3339" s="6" t="s">
        <v>7059</v>
      </c>
      <c r="C3339" s="4" t="s">
        <v>427</v>
      </c>
      <c r="D3339" s="4">
        <v>19</v>
      </c>
      <c r="E3339" s="4" t="s">
        <v>1064</v>
      </c>
    </row>
    <row r="3340" spans="1:6">
      <c r="A3340" s="4" t="s">
        <v>7060</v>
      </c>
      <c r="B3340" s="6" t="s">
        <v>7061</v>
      </c>
      <c r="C3340" s="4" t="s">
        <v>461</v>
      </c>
      <c r="D3340" s="4">
        <v>13</v>
      </c>
      <c r="E3340" s="4" t="s">
        <v>5300</v>
      </c>
    </row>
    <row r="3341" spans="1:6">
      <c r="A3341" s="4" t="s">
        <v>7062</v>
      </c>
      <c r="B3341" s="6" t="s">
        <v>7063</v>
      </c>
      <c r="C3341" s="4" t="s">
        <v>81</v>
      </c>
      <c r="D3341" s="4">
        <v>8</v>
      </c>
      <c r="E3341" s="4" t="s">
        <v>1183</v>
      </c>
      <c r="F3341" s="4" t="s">
        <v>7064</v>
      </c>
    </row>
    <row r="3342" spans="1:6">
      <c r="A3342" s="4" t="s">
        <v>7065</v>
      </c>
      <c r="B3342" s="6" t="s">
        <v>7066</v>
      </c>
      <c r="C3342" s="4" t="s">
        <v>87</v>
      </c>
      <c r="D3342" s="4">
        <v>9</v>
      </c>
      <c r="E3342" s="4" t="s">
        <v>1064</v>
      </c>
      <c r="F3342" s="4" t="s">
        <v>7067</v>
      </c>
    </row>
    <row r="3343" spans="1:6">
      <c r="A3343" s="4" t="s">
        <v>7068</v>
      </c>
      <c r="B3343" s="6" t="s">
        <v>7069</v>
      </c>
      <c r="C3343" s="4" t="s">
        <v>81</v>
      </c>
      <c r="D3343" s="4">
        <v>12</v>
      </c>
      <c r="E3343" s="4" t="s">
        <v>1004</v>
      </c>
    </row>
    <row r="3344" spans="1:6">
      <c r="A3344" s="4" t="s">
        <v>7070</v>
      </c>
      <c r="B3344" s="6" t="s">
        <v>7071</v>
      </c>
      <c r="C3344" s="4" t="s">
        <v>301</v>
      </c>
      <c r="D3344" s="4">
        <v>18</v>
      </c>
      <c r="E3344" s="4" t="s">
        <v>5300</v>
      </c>
      <c r="F3344" s="4" t="s">
        <v>7072</v>
      </c>
    </row>
    <row r="3345" spans="1:6">
      <c r="A3345" s="4" t="s">
        <v>7073</v>
      </c>
      <c r="B3345" s="6" t="s">
        <v>7071</v>
      </c>
      <c r="C3345" s="4" t="s">
        <v>23</v>
      </c>
      <c r="D3345" s="4">
        <v>12</v>
      </c>
      <c r="E3345" s="4" t="s">
        <v>5300</v>
      </c>
      <c r="F3345" s="4" t="s">
        <v>4342</v>
      </c>
    </row>
    <row r="3346" spans="1:6">
      <c r="A3346" s="4" t="s">
        <v>7074</v>
      </c>
      <c r="B3346" s="6" t="s">
        <v>7071</v>
      </c>
      <c r="C3346" s="4" t="s">
        <v>34</v>
      </c>
      <c r="D3346" s="4">
        <v>16</v>
      </c>
      <c r="E3346" s="4" t="s">
        <v>1064</v>
      </c>
    </row>
    <row r="3347" spans="1:6">
      <c r="A3347" s="4" t="s">
        <v>7075</v>
      </c>
      <c r="B3347" s="6" t="s">
        <v>7071</v>
      </c>
      <c r="C3347" s="4" t="s">
        <v>354</v>
      </c>
      <c r="D3347" s="4">
        <v>16</v>
      </c>
      <c r="E3347" s="4" t="s">
        <v>5300</v>
      </c>
    </row>
    <row r="3348" spans="1:6">
      <c r="A3348" s="4" t="s">
        <v>7076</v>
      </c>
      <c r="B3348" s="6" t="s">
        <v>7077</v>
      </c>
      <c r="C3348" s="4" t="s">
        <v>87</v>
      </c>
      <c r="D3348" s="4">
        <v>11</v>
      </c>
      <c r="E3348" s="4" t="s">
        <v>1069</v>
      </c>
      <c r="F3348" s="4" t="s">
        <v>2429</v>
      </c>
    </row>
    <row r="3349" spans="1:6">
      <c r="A3349" s="4" t="s">
        <v>6019</v>
      </c>
      <c r="B3349" s="6" t="s">
        <v>7078</v>
      </c>
      <c r="C3349" s="4" t="s">
        <v>6019</v>
      </c>
      <c r="D3349" s="4">
        <v>6</v>
      </c>
      <c r="E3349" s="4" t="s">
        <v>7079</v>
      </c>
      <c r="F3349" s="4" t="s">
        <v>7080</v>
      </c>
    </row>
    <row r="3350" spans="1:6">
      <c r="A3350" s="4" t="s">
        <v>7081</v>
      </c>
      <c r="B3350" s="6" t="s">
        <v>7082</v>
      </c>
      <c r="C3350" s="4" t="s">
        <v>301</v>
      </c>
      <c r="D3350" s="4">
        <v>11</v>
      </c>
      <c r="E3350" s="4" t="s">
        <v>1069</v>
      </c>
    </row>
    <row r="3351" spans="1:6">
      <c r="A3351" s="4" t="s">
        <v>7083</v>
      </c>
      <c r="B3351" s="6" t="s">
        <v>7082</v>
      </c>
      <c r="C3351" s="4" t="s">
        <v>705</v>
      </c>
      <c r="D3351" s="4">
        <v>7</v>
      </c>
      <c r="E3351" s="4" t="s">
        <v>1069</v>
      </c>
    </row>
    <row r="3352" spans="1:6">
      <c r="A3352" s="4" t="s">
        <v>7084</v>
      </c>
      <c r="B3352" s="6" t="s">
        <v>7085</v>
      </c>
      <c r="C3352" s="4" t="s">
        <v>37</v>
      </c>
      <c r="D3352" s="4">
        <v>13</v>
      </c>
      <c r="E3352" s="4" t="s">
        <v>1047</v>
      </c>
      <c r="F3352" s="4" t="s">
        <v>7086</v>
      </c>
    </row>
    <row r="3353" spans="1:6">
      <c r="A3353" s="4" t="s">
        <v>7087</v>
      </c>
      <c r="B3353" s="6" t="s">
        <v>7085</v>
      </c>
      <c r="C3353" s="4" t="s">
        <v>37</v>
      </c>
      <c r="D3353" s="4">
        <v>20</v>
      </c>
      <c r="E3353" s="4" t="s">
        <v>391</v>
      </c>
      <c r="F3353" s="4" t="s">
        <v>7088</v>
      </c>
    </row>
    <row r="3354" spans="1:6">
      <c r="A3354" s="4" t="s">
        <v>7089</v>
      </c>
      <c r="B3354" s="6" t="s">
        <v>7085</v>
      </c>
      <c r="C3354" s="4" t="s">
        <v>23</v>
      </c>
      <c r="D3354" s="4">
        <v>12</v>
      </c>
      <c r="E3354" s="4" t="s">
        <v>1047</v>
      </c>
      <c r="F3354" s="4" t="s">
        <v>1127</v>
      </c>
    </row>
    <row r="3355" spans="1:6">
      <c r="A3355" s="4" t="s">
        <v>7090</v>
      </c>
      <c r="B3355" s="6" t="s">
        <v>7091</v>
      </c>
      <c r="C3355" s="4" t="s">
        <v>271</v>
      </c>
      <c r="D3355" s="4">
        <v>9</v>
      </c>
      <c r="E3355" s="4" t="s">
        <v>2122</v>
      </c>
      <c r="F3355" s="4" t="s">
        <v>7092</v>
      </c>
    </row>
    <row r="3356" spans="1:6">
      <c r="A3356" s="4" t="s">
        <v>7093</v>
      </c>
      <c r="B3356" s="6" t="s">
        <v>7094</v>
      </c>
      <c r="C3356" s="4" t="s">
        <v>1603</v>
      </c>
      <c r="D3356" s="4">
        <v>12</v>
      </c>
      <c r="E3356" s="4" t="s">
        <v>7095</v>
      </c>
    </row>
    <row r="3357" spans="1:6">
      <c r="A3357" s="4" t="s">
        <v>7096</v>
      </c>
      <c r="B3357" s="6" t="s">
        <v>7097</v>
      </c>
      <c r="C3357" s="4" t="s">
        <v>275</v>
      </c>
      <c r="D3357" s="4">
        <v>14</v>
      </c>
      <c r="E3357" s="4" t="s">
        <v>1705</v>
      </c>
    </row>
    <row r="3358" spans="1:6">
      <c r="A3358" s="4" t="s">
        <v>7098</v>
      </c>
      <c r="B3358" s="6" t="s">
        <v>7097</v>
      </c>
      <c r="C3358" s="4" t="s">
        <v>7099</v>
      </c>
      <c r="D3358" s="4">
        <v>11</v>
      </c>
      <c r="E3358" s="4" t="s">
        <v>7100</v>
      </c>
    </row>
    <row r="3359" spans="1:6">
      <c r="A3359" s="4" t="s">
        <v>7101</v>
      </c>
      <c r="B3359" s="6" t="s">
        <v>7097</v>
      </c>
      <c r="C3359" s="4" t="s">
        <v>271</v>
      </c>
      <c r="D3359" s="4">
        <v>8</v>
      </c>
      <c r="E3359" s="4" t="s">
        <v>1047</v>
      </c>
      <c r="F3359" s="4" t="s">
        <v>7102</v>
      </c>
    </row>
    <row r="3360" spans="1:6">
      <c r="A3360" s="4" t="s">
        <v>7103</v>
      </c>
      <c r="B3360" s="6" t="s">
        <v>7097</v>
      </c>
      <c r="C3360" s="4" t="s">
        <v>1078</v>
      </c>
      <c r="D3360" s="4">
        <v>11</v>
      </c>
      <c r="E3360" s="4" t="s">
        <v>1107</v>
      </c>
    </row>
    <row r="3361" spans="1:6">
      <c r="A3361" s="4" t="s">
        <v>7104</v>
      </c>
      <c r="B3361" s="6" t="s">
        <v>7097</v>
      </c>
      <c r="C3361" s="4" t="s">
        <v>53</v>
      </c>
      <c r="D3361" s="4">
        <v>6</v>
      </c>
      <c r="E3361" s="4" t="s">
        <v>1047</v>
      </c>
    </row>
    <row r="3362" spans="1:6">
      <c r="A3362" s="4" t="s">
        <v>7105</v>
      </c>
      <c r="B3362" s="6" t="s">
        <v>7097</v>
      </c>
      <c r="C3362" s="4" t="s">
        <v>427</v>
      </c>
      <c r="D3362" s="4">
        <v>17</v>
      </c>
      <c r="E3362" s="4" t="s">
        <v>1107</v>
      </c>
    </row>
    <row r="3363" spans="1:6">
      <c r="A3363" s="4" t="s">
        <v>7106</v>
      </c>
      <c r="B3363" s="6" t="s">
        <v>7107</v>
      </c>
      <c r="C3363" s="4" t="s">
        <v>1282</v>
      </c>
      <c r="D3363" s="4">
        <v>17</v>
      </c>
      <c r="E3363" s="4" t="s">
        <v>2161</v>
      </c>
      <c r="F3363" s="4" t="s">
        <v>2952</v>
      </c>
    </row>
    <row r="3364" spans="1:6">
      <c r="A3364" s="4" t="s">
        <v>7108</v>
      </c>
      <c r="B3364" s="6" t="s">
        <v>7107</v>
      </c>
      <c r="C3364" s="4" t="s">
        <v>23</v>
      </c>
      <c r="D3364" s="4">
        <v>7</v>
      </c>
      <c r="E3364" s="4" t="s">
        <v>877</v>
      </c>
    </row>
    <row r="3365" spans="1:6">
      <c r="A3365" s="4" t="s">
        <v>7109</v>
      </c>
      <c r="B3365" s="6" t="s">
        <v>7110</v>
      </c>
      <c r="C3365" s="4" t="s">
        <v>27</v>
      </c>
      <c r="D3365" s="4">
        <v>13</v>
      </c>
      <c r="E3365" s="4" t="s">
        <v>7111</v>
      </c>
      <c r="F3365" s="4" t="s">
        <v>7112</v>
      </c>
    </row>
    <row r="3366" spans="1:6">
      <c r="A3366" s="4" t="s">
        <v>5369</v>
      </c>
      <c r="B3366" s="6" t="s">
        <v>7113</v>
      </c>
      <c r="C3366" s="4" t="s">
        <v>5369</v>
      </c>
      <c r="D3366" s="4">
        <v>7</v>
      </c>
      <c r="E3366" s="4" t="s">
        <v>989</v>
      </c>
      <c r="F3366" s="4" t="s">
        <v>7114</v>
      </c>
    </row>
    <row r="3367" spans="1:6">
      <c r="A3367" s="4" t="s">
        <v>1433</v>
      </c>
      <c r="B3367" s="6" t="s">
        <v>7115</v>
      </c>
      <c r="C3367" s="4" t="s">
        <v>1433</v>
      </c>
      <c r="D3367" s="4">
        <v>5</v>
      </c>
      <c r="E3367" s="4" t="s">
        <v>7116</v>
      </c>
    </row>
    <row r="3368" spans="1:6">
      <c r="A3368" s="4" t="s">
        <v>7117</v>
      </c>
      <c r="B3368" s="6" t="s">
        <v>7115</v>
      </c>
      <c r="C3368" s="4" t="s">
        <v>6019</v>
      </c>
      <c r="D3368" s="4">
        <v>10</v>
      </c>
      <c r="E3368" s="4" t="s">
        <v>6340</v>
      </c>
      <c r="F3368" s="4" t="s">
        <v>7118</v>
      </c>
    </row>
    <row r="3369" spans="1:6">
      <c r="A3369" s="4" t="s">
        <v>7119</v>
      </c>
      <c r="B3369" s="6" t="s">
        <v>7115</v>
      </c>
      <c r="C3369" s="4" t="s">
        <v>605</v>
      </c>
      <c r="D3369" s="4">
        <v>9</v>
      </c>
      <c r="E3369" s="4" t="s">
        <v>7120</v>
      </c>
    </row>
    <row r="3370" spans="1:6">
      <c r="A3370" s="4" t="s">
        <v>7121</v>
      </c>
      <c r="B3370" s="6" t="s">
        <v>7115</v>
      </c>
      <c r="C3370" s="4" t="s">
        <v>464</v>
      </c>
      <c r="D3370" s="4">
        <v>6</v>
      </c>
      <c r="E3370" s="4" t="s">
        <v>1047</v>
      </c>
      <c r="F3370" s="4" t="s">
        <v>7122</v>
      </c>
    </row>
    <row r="3371" spans="1:6">
      <c r="A3371" s="4" t="s">
        <v>7123</v>
      </c>
      <c r="B3371" s="6" t="s">
        <v>7124</v>
      </c>
      <c r="C3371" s="4" t="s">
        <v>37</v>
      </c>
      <c r="D3371" s="4">
        <v>15</v>
      </c>
      <c r="E3371" s="4" t="s">
        <v>1110</v>
      </c>
      <c r="F3371" s="4" t="s">
        <v>7125</v>
      </c>
    </row>
    <row r="3372" spans="1:6">
      <c r="A3372" s="4" t="s">
        <v>1581</v>
      </c>
      <c r="B3372" s="6" t="s">
        <v>7126</v>
      </c>
      <c r="C3372" s="4" t="s">
        <v>1581</v>
      </c>
      <c r="D3372" s="4">
        <v>4</v>
      </c>
      <c r="E3372" s="4" t="s">
        <v>1047</v>
      </c>
      <c r="F3372" s="4" t="s">
        <v>7127</v>
      </c>
    </row>
    <row r="3373" spans="1:6">
      <c r="A3373" s="4" t="s">
        <v>461</v>
      </c>
      <c r="B3373" s="6" t="s">
        <v>7126</v>
      </c>
      <c r="C3373" s="4" t="s">
        <v>461</v>
      </c>
      <c r="D3373" s="4">
        <v>5</v>
      </c>
      <c r="E3373" s="4" t="s">
        <v>6340</v>
      </c>
      <c r="F3373" s="4" t="s">
        <v>7128</v>
      </c>
    </row>
    <row r="3374" spans="1:6">
      <c r="A3374" s="4" t="s">
        <v>7129</v>
      </c>
      <c r="B3374" s="6" t="s">
        <v>7126</v>
      </c>
      <c r="C3374" s="4" t="s">
        <v>461</v>
      </c>
      <c r="D3374" s="4">
        <v>11</v>
      </c>
      <c r="E3374" s="4" t="s">
        <v>1047</v>
      </c>
    </row>
    <row r="3375" spans="1:6">
      <c r="A3375" s="4" t="s">
        <v>7130</v>
      </c>
      <c r="B3375" s="6" t="s">
        <v>7126</v>
      </c>
      <c r="C3375" s="4" t="s">
        <v>238</v>
      </c>
      <c r="D3375" s="4">
        <v>5</v>
      </c>
      <c r="E3375" s="4" t="s">
        <v>1047</v>
      </c>
      <c r="F3375" s="4" t="s">
        <v>7131</v>
      </c>
    </row>
    <row r="3376" spans="1:6">
      <c r="A3376" s="4" t="s">
        <v>7132</v>
      </c>
      <c r="B3376" s="6" t="s">
        <v>7126</v>
      </c>
      <c r="C3376" s="4" t="s">
        <v>254</v>
      </c>
      <c r="D3376" s="4">
        <v>8</v>
      </c>
      <c r="E3376" s="4" t="s">
        <v>7111</v>
      </c>
      <c r="F3376" s="4" t="s">
        <v>7133</v>
      </c>
    </row>
    <row r="3377" spans="1:6">
      <c r="A3377" s="4" t="s">
        <v>7134</v>
      </c>
      <c r="B3377" s="6" t="s">
        <v>7126</v>
      </c>
      <c r="C3377" s="4" t="s">
        <v>104</v>
      </c>
      <c r="D3377" s="4">
        <v>9</v>
      </c>
      <c r="E3377" s="4" t="s">
        <v>7135</v>
      </c>
      <c r="F3377" s="4" t="s">
        <v>7136</v>
      </c>
    </row>
    <row r="3378" spans="1:6">
      <c r="A3378" s="4" t="s">
        <v>7137</v>
      </c>
      <c r="B3378" s="6" t="s">
        <v>7126</v>
      </c>
      <c r="C3378" s="4" t="s">
        <v>81</v>
      </c>
      <c r="D3378" s="4">
        <v>9</v>
      </c>
      <c r="E3378" s="4" t="s">
        <v>5512</v>
      </c>
      <c r="F3378" s="4" t="s">
        <v>3989</v>
      </c>
    </row>
    <row r="3379" spans="1:6">
      <c r="A3379" s="4" t="s">
        <v>7138</v>
      </c>
      <c r="B3379" s="6" t="s">
        <v>7126</v>
      </c>
      <c r="C3379" s="4" t="s">
        <v>53</v>
      </c>
      <c r="D3379" s="4">
        <v>9</v>
      </c>
      <c r="E3379" s="4" t="s">
        <v>6340</v>
      </c>
      <c r="F3379" s="4" t="s">
        <v>7139</v>
      </c>
    </row>
    <row r="3380" spans="1:6">
      <c r="A3380" s="4" t="s">
        <v>7140</v>
      </c>
      <c r="B3380" s="6" t="s">
        <v>7126</v>
      </c>
      <c r="C3380" s="4" t="s">
        <v>23</v>
      </c>
      <c r="D3380" s="4">
        <v>13</v>
      </c>
      <c r="E3380" s="4" t="s">
        <v>6340</v>
      </c>
      <c r="F3380" s="4" t="s">
        <v>7141</v>
      </c>
    </row>
    <row r="3381" spans="1:6">
      <c r="A3381" s="4" t="s">
        <v>7142</v>
      </c>
      <c r="B3381" s="6" t="s">
        <v>7126</v>
      </c>
      <c r="C3381" s="4" t="s">
        <v>238</v>
      </c>
      <c r="D3381" s="4">
        <v>7</v>
      </c>
      <c r="E3381" s="4" t="s">
        <v>1047</v>
      </c>
      <c r="F3381" s="4" t="s">
        <v>1119</v>
      </c>
    </row>
    <row r="3382" spans="1:6">
      <c r="A3382" s="4" t="s">
        <v>7143</v>
      </c>
      <c r="B3382" s="6" t="s">
        <v>7144</v>
      </c>
    </row>
    <row r="3383" spans="1:6">
      <c r="A3383" s="4" t="s">
        <v>7145</v>
      </c>
      <c r="B3383" s="6" t="s">
        <v>7146</v>
      </c>
      <c r="C3383" s="4" t="s">
        <v>342</v>
      </c>
      <c r="D3383" s="4">
        <v>11</v>
      </c>
      <c r="E3383" s="4" t="s">
        <v>6862</v>
      </c>
      <c r="F3383" s="4" t="s">
        <v>7147</v>
      </c>
    </row>
    <row r="3384" spans="1:6">
      <c r="A3384" s="4" t="s">
        <v>7148</v>
      </c>
      <c r="B3384" s="6" t="s">
        <v>7149</v>
      </c>
      <c r="C3384" s="4" t="s">
        <v>49</v>
      </c>
      <c r="D3384" s="4">
        <v>12</v>
      </c>
      <c r="E3384" s="4" t="s">
        <v>1004</v>
      </c>
      <c r="F3384" s="4" t="s">
        <v>7150</v>
      </c>
    </row>
    <row r="3385" spans="1:6">
      <c r="A3385" s="4" t="s">
        <v>7151</v>
      </c>
      <c r="B3385" s="6" t="s">
        <v>7152</v>
      </c>
      <c r="C3385" s="4" t="s">
        <v>53</v>
      </c>
      <c r="D3385" s="4">
        <v>11</v>
      </c>
      <c r="E3385" s="4" t="s">
        <v>2769</v>
      </c>
    </row>
    <row r="3386" spans="1:6">
      <c r="A3386" s="4" t="s">
        <v>7153</v>
      </c>
      <c r="B3386" s="6" t="s">
        <v>7154</v>
      </c>
      <c r="C3386" s="4" t="s">
        <v>81</v>
      </c>
      <c r="D3386" s="4">
        <v>10</v>
      </c>
      <c r="E3386" s="4" t="s">
        <v>7155</v>
      </c>
    </row>
    <row r="3387" spans="1:6">
      <c r="A3387" s="4" t="s">
        <v>7156</v>
      </c>
      <c r="B3387" s="6" t="s">
        <v>7157</v>
      </c>
      <c r="C3387" s="4" t="s">
        <v>520</v>
      </c>
      <c r="D3387" s="4">
        <v>11</v>
      </c>
      <c r="E3387" s="4" t="s">
        <v>7158</v>
      </c>
    </row>
    <row r="3388" spans="1:6">
      <c r="A3388" s="4" t="s">
        <v>7159</v>
      </c>
      <c r="B3388" s="6" t="s">
        <v>7160</v>
      </c>
      <c r="C3388" s="4" t="s">
        <v>275</v>
      </c>
      <c r="D3388" s="4">
        <v>9</v>
      </c>
      <c r="E3388" s="4" t="s">
        <v>7161</v>
      </c>
      <c r="F3388" s="4" t="s">
        <v>7162</v>
      </c>
    </row>
    <row r="3389" spans="1:6">
      <c r="A3389" s="4" t="s">
        <v>7163</v>
      </c>
      <c r="B3389" s="6" t="s">
        <v>7164</v>
      </c>
      <c r="C3389" s="4" t="s">
        <v>1624</v>
      </c>
      <c r="D3389" s="4">
        <v>9</v>
      </c>
      <c r="E3389" s="4" t="s">
        <v>1908</v>
      </c>
    </row>
    <row r="3390" spans="1:6">
      <c r="A3390" s="4" t="s">
        <v>7165</v>
      </c>
      <c r="B3390" s="6" t="s">
        <v>7166</v>
      </c>
      <c r="C3390" s="4" t="s">
        <v>354</v>
      </c>
      <c r="D3390" s="4">
        <v>11</v>
      </c>
      <c r="E3390" s="4" t="s">
        <v>2313</v>
      </c>
      <c r="F3390" s="4" t="s">
        <v>7167</v>
      </c>
    </row>
    <row r="3391" spans="1:6">
      <c r="A3391" s="4" t="s">
        <v>7168</v>
      </c>
      <c r="B3391" s="6" t="s">
        <v>7169</v>
      </c>
      <c r="C3391" s="4" t="s">
        <v>37</v>
      </c>
      <c r="D3391" s="4">
        <v>13</v>
      </c>
      <c r="E3391" s="4" t="s">
        <v>7170</v>
      </c>
      <c r="F3391" s="4" t="s">
        <v>7171</v>
      </c>
    </row>
    <row r="3392" spans="1:6">
      <c r="A3392" s="4" t="s">
        <v>7172</v>
      </c>
      <c r="B3392" s="6" t="s">
        <v>7173</v>
      </c>
      <c r="C3392" s="4" t="s">
        <v>23</v>
      </c>
      <c r="D3392" s="4">
        <v>11</v>
      </c>
      <c r="E3392" s="4" t="s">
        <v>1989</v>
      </c>
      <c r="F3392" s="4" t="s">
        <v>7174</v>
      </c>
    </row>
    <row r="3393" spans="1:6">
      <c r="A3393" s="4" t="s">
        <v>7175</v>
      </c>
      <c r="B3393" s="6" t="s">
        <v>7176</v>
      </c>
      <c r="C3393" s="4" t="s">
        <v>14</v>
      </c>
      <c r="D3393" s="4">
        <v>7</v>
      </c>
      <c r="E3393" s="4" t="s">
        <v>1989</v>
      </c>
    </row>
    <row r="3394" spans="1:6">
      <c r="A3394" s="4" t="s">
        <v>7177</v>
      </c>
      <c r="B3394" s="6" t="s">
        <v>7176</v>
      </c>
      <c r="C3394" s="4" t="s">
        <v>53</v>
      </c>
      <c r="D3394" s="4">
        <v>16</v>
      </c>
      <c r="E3394" s="4" t="s">
        <v>1989</v>
      </c>
    </row>
    <row r="3395" spans="1:6">
      <c r="A3395" s="4" t="s">
        <v>7178</v>
      </c>
      <c r="B3395" s="6" t="s">
        <v>7179</v>
      </c>
      <c r="C3395" s="4" t="s">
        <v>1180</v>
      </c>
      <c r="D3395" s="4">
        <v>7</v>
      </c>
      <c r="E3395" s="4" t="s">
        <v>5331</v>
      </c>
      <c r="F3395" s="4" t="s">
        <v>7180</v>
      </c>
    </row>
    <row r="3396" spans="1:6">
      <c r="A3396" s="4" t="s">
        <v>7181</v>
      </c>
      <c r="B3396" s="6" t="s">
        <v>7179</v>
      </c>
      <c r="C3396" s="4" t="s">
        <v>254</v>
      </c>
      <c r="D3396" s="4">
        <v>16</v>
      </c>
      <c r="E3396" s="4" t="s">
        <v>1161</v>
      </c>
    </row>
    <row r="3397" spans="1:6">
      <c r="A3397" s="4" t="s">
        <v>7182</v>
      </c>
      <c r="B3397" s="6" t="s">
        <v>7179</v>
      </c>
      <c r="C3397" s="4" t="s">
        <v>2506</v>
      </c>
      <c r="D3397" s="4">
        <v>14</v>
      </c>
      <c r="E3397" s="4" t="s">
        <v>5331</v>
      </c>
      <c r="F3397" s="4" t="s">
        <v>7180</v>
      </c>
    </row>
    <row r="3398" spans="1:6">
      <c r="A3398" s="4" t="s">
        <v>7183</v>
      </c>
      <c r="B3398" s="6" t="s">
        <v>7184</v>
      </c>
      <c r="C3398" s="4" t="s">
        <v>1211</v>
      </c>
      <c r="D3398" s="4">
        <v>11</v>
      </c>
      <c r="E3398" s="4" t="s">
        <v>1148</v>
      </c>
      <c r="F3398" s="4" t="s">
        <v>7185</v>
      </c>
    </row>
    <row r="3399" spans="1:6">
      <c r="A3399" s="4" t="s">
        <v>7186</v>
      </c>
      <c r="B3399" s="6" t="s">
        <v>7187</v>
      </c>
      <c r="C3399" s="4" t="s">
        <v>254</v>
      </c>
      <c r="D3399" s="4">
        <v>13</v>
      </c>
      <c r="E3399" s="4" t="s">
        <v>6245</v>
      </c>
      <c r="F3399" s="4" t="s">
        <v>7188</v>
      </c>
    </row>
    <row r="3400" spans="1:6">
      <c r="A3400" s="4" t="s">
        <v>7189</v>
      </c>
      <c r="B3400" s="6" t="s">
        <v>7187</v>
      </c>
      <c r="C3400" s="4" t="s">
        <v>285</v>
      </c>
      <c r="D3400" s="4">
        <v>11</v>
      </c>
      <c r="E3400" s="4" t="s">
        <v>6245</v>
      </c>
    </row>
    <row r="3401" spans="1:6">
      <c r="A3401" s="4" t="s">
        <v>7190</v>
      </c>
      <c r="B3401" s="6" t="s">
        <v>7191</v>
      </c>
      <c r="C3401" s="4" t="s">
        <v>53</v>
      </c>
      <c r="D3401" s="4">
        <v>7</v>
      </c>
      <c r="E3401" s="4" t="s">
        <v>2387</v>
      </c>
      <c r="F3401" s="4" t="s">
        <v>181</v>
      </c>
    </row>
    <row r="3402" spans="1:6">
      <c r="A3402" s="4" t="s">
        <v>7192</v>
      </c>
      <c r="B3402" s="6" t="s">
        <v>7191</v>
      </c>
      <c r="C3402" s="4" t="s">
        <v>23</v>
      </c>
      <c r="D3402" s="4">
        <v>7</v>
      </c>
      <c r="E3402" s="4" t="s">
        <v>2446</v>
      </c>
      <c r="F3402" s="4" t="s">
        <v>196</v>
      </c>
    </row>
    <row r="3403" spans="1:6">
      <c r="A3403" s="4" t="s">
        <v>7193</v>
      </c>
      <c r="B3403" s="6" t="s">
        <v>7194</v>
      </c>
      <c r="C3403" s="4" t="s">
        <v>275</v>
      </c>
      <c r="D3403" s="4">
        <v>10</v>
      </c>
      <c r="E3403" s="4" t="s">
        <v>7195</v>
      </c>
      <c r="F3403" s="4" t="s">
        <v>7196</v>
      </c>
    </row>
    <row r="3404" spans="1:6">
      <c r="A3404" s="4" t="s">
        <v>7197</v>
      </c>
      <c r="B3404" s="6" t="s">
        <v>7194</v>
      </c>
      <c r="C3404" s="4" t="s">
        <v>1282</v>
      </c>
      <c r="D3404" s="4">
        <v>14</v>
      </c>
      <c r="E3404" s="4" t="s">
        <v>6192</v>
      </c>
      <c r="F3404" s="4" t="s">
        <v>4578</v>
      </c>
    </row>
    <row r="3405" spans="1:6">
      <c r="A3405" s="4" t="s">
        <v>7198</v>
      </c>
      <c r="B3405" s="6" t="s">
        <v>7194</v>
      </c>
      <c r="C3405" s="4" t="s">
        <v>81</v>
      </c>
      <c r="D3405" s="4">
        <v>12</v>
      </c>
      <c r="E3405" s="4" t="s">
        <v>6192</v>
      </c>
    </row>
    <row r="3406" spans="1:6">
      <c r="A3406" s="4" t="s">
        <v>7199</v>
      </c>
      <c r="B3406" s="6" t="s">
        <v>7194</v>
      </c>
      <c r="C3406" s="4" t="s">
        <v>49</v>
      </c>
      <c r="D3406" s="4">
        <v>12</v>
      </c>
      <c r="E3406" s="4" t="s">
        <v>6192</v>
      </c>
      <c r="F3406" s="4" t="s">
        <v>7200</v>
      </c>
    </row>
    <row r="3407" spans="1:6">
      <c r="A3407" s="4" t="s">
        <v>7201</v>
      </c>
      <c r="B3407" s="6" t="s">
        <v>7194</v>
      </c>
      <c r="C3407" s="4" t="s">
        <v>243</v>
      </c>
      <c r="D3407" s="4">
        <v>5</v>
      </c>
      <c r="E3407" s="4" t="s">
        <v>7202</v>
      </c>
    </row>
    <row r="3408" spans="1:6">
      <c r="A3408" s="4" t="s">
        <v>7203</v>
      </c>
      <c r="B3408" s="6" t="s">
        <v>7204</v>
      </c>
      <c r="C3408" s="4" t="s">
        <v>34</v>
      </c>
      <c r="D3408" s="4">
        <v>11</v>
      </c>
      <c r="E3408" s="4" t="s">
        <v>1148</v>
      </c>
      <c r="F3408" s="4" t="s">
        <v>793</v>
      </c>
    </row>
    <row r="3409" spans="1:6">
      <c r="A3409" s="4" t="s">
        <v>7205</v>
      </c>
      <c r="B3409" s="6" t="s">
        <v>7204</v>
      </c>
      <c r="C3409" s="4" t="s">
        <v>1262</v>
      </c>
      <c r="D3409" s="4">
        <v>15</v>
      </c>
      <c r="E3409" s="4" t="s">
        <v>7206</v>
      </c>
    </row>
    <row r="3410" spans="1:6">
      <c r="A3410" s="4" t="s">
        <v>7207</v>
      </c>
      <c r="B3410" s="6" t="s">
        <v>7204</v>
      </c>
      <c r="C3410" s="4" t="s">
        <v>963</v>
      </c>
      <c r="D3410" s="4">
        <v>7</v>
      </c>
      <c r="E3410" s="4" t="s">
        <v>2353</v>
      </c>
      <c r="F3410" s="4" t="s">
        <v>7208</v>
      </c>
    </row>
    <row r="3411" spans="1:6">
      <c r="A3411" s="4" t="s">
        <v>7209</v>
      </c>
      <c r="B3411" s="6" t="s">
        <v>7204</v>
      </c>
      <c r="C3411" s="4" t="s">
        <v>976</v>
      </c>
      <c r="D3411" s="4">
        <v>9</v>
      </c>
      <c r="E3411" s="4" t="s">
        <v>2353</v>
      </c>
      <c r="F3411" s="4" t="s">
        <v>7208</v>
      </c>
    </row>
    <row r="3412" spans="1:6">
      <c r="A3412" s="4" t="s">
        <v>7210</v>
      </c>
      <c r="B3412" s="6" t="s">
        <v>7211</v>
      </c>
      <c r="C3412" s="4" t="s">
        <v>254</v>
      </c>
      <c r="D3412" s="4">
        <v>6</v>
      </c>
      <c r="E3412" s="4" t="s">
        <v>6245</v>
      </c>
      <c r="F3412" s="4" t="s">
        <v>7212</v>
      </c>
    </row>
    <row r="3413" spans="1:6">
      <c r="A3413" s="4" t="s">
        <v>7213</v>
      </c>
      <c r="B3413" s="6" t="s">
        <v>7211</v>
      </c>
      <c r="C3413" s="4" t="s">
        <v>254</v>
      </c>
      <c r="D3413" s="4">
        <v>10</v>
      </c>
      <c r="E3413" s="4" t="s">
        <v>6245</v>
      </c>
      <c r="F3413" s="4" t="s">
        <v>7212</v>
      </c>
    </row>
    <row r="3414" spans="1:6">
      <c r="A3414" s="4" t="s">
        <v>1180</v>
      </c>
      <c r="B3414" s="6" t="s">
        <v>7214</v>
      </c>
      <c r="C3414" s="4" t="s">
        <v>1180</v>
      </c>
      <c r="D3414" s="4">
        <v>3</v>
      </c>
      <c r="E3414" s="4" t="s">
        <v>7215</v>
      </c>
    </row>
    <row r="3415" spans="1:6">
      <c r="A3415" s="4" t="s">
        <v>7216</v>
      </c>
      <c r="B3415" s="6" t="s">
        <v>7214</v>
      </c>
      <c r="C3415" s="4" t="s">
        <v>223</v>
      </c>
      <c r="D3415" s="4">
        <v>15</v>
      </c>
      <c r="E3415" s="4" t="s">
        <v>1922</v>
      </c>
      <c r="F3415" s="4" t="s">
        <v>7217</v>
      </c>
    </row>
    <row r="3416" spans="1:6">
      <c r="A3416" s="4" t="s">
        <v>7218</v>
      </c>
      <c r="B3416" s="6" t="s">
        <v>7214</v>
      </c>
      <c r="C3416" s="4" t="s">
        <v>23</v>
      </c>
      <c r="D3416" s="4">
        <v>6</v>
      </c>
      <c r="E3416" s="4" t="s">
        <v>979</v>
      </c>
    </row>
    <row r="3417" spans="1:6">
      <c r="A3417" s="4" t="s">
        <v>7219</v>
      </c>
      <c r="B3417" s="6" t="s">
        <v>7220</v>
      </c>
      <c r="C3417" s="4" t="s">
        <v>76</v>
      </c>
      <c r="D3417" s="4">
        <v>12</v>
      </c>
      <c r="E3417" s="4" t="s">
        <v>7221</v>
      </c>
      <c r="F3417" s="4" t="s">
        <v>7222</v>
      </c>
    </row>
    <row r="3418" spans="1:6">
      <c r="A3418" s="4" t="s">
        <v>7223</v>
      </c>
      <c r="B3418" s="6" t="s">
        <v>7220</v>
      </c>
      <c r="C3418" s="4" t="s">
        <v>301</v>
      </c>
      <c r="D3418" s="4">
        <v>11</v>
      </c>
      <c r="E3418" s="4" t="s">
        <v>979</v>
      </c>
      <c r="F3418" s="4" t="s">
        <v>7224</v>
      </c>
    </row>
    <row r="3419" spans="1:6">
      <c r="A3419" s="4" t="s">
        <v>7225</v>
      </c>
      <c r="B3419" s="6" t="s">
        <v>7220</v>
      </c>
      <c r="C3419" s="4" t="s">
        <v>254</v>
      </c>
      <c r="D3419" s="4">
        <v>11</v>
      </c>
      <c r="E3419" s="4" t="s">
        <v>6681</v>
      </c>
    </row>
    <row r="3420" spans="1:6">
      <c r="A3420" s="4" t="s">
        <v>7226</v>
      </c>
      <c r="B3420" s="6" t="s">
        <v>7227</v>
      </c>
      <c r="C3420" s="4" t="s">
        <v>23</v>
      </c>
      <c r="D3420" s="4">
        <v>6</v>
      </c>
      <c r="E3420" s="4" t="s">
        <v>2353</v>
      </c>
      <c r="F3420" s="4" t="s">
        <v>4418</v>
      </c>
    </row>
    <row r="3421" spans="1:6">
      <c r="A3421" s="4" t="s">
        <v>27</v>
      </c>
      <c r="B3421" s="6" t="s">
        <v>7227</v>
      </c>
      <c r="C3421" s="4" t="s">
        <v>27</v>
      </c>
      <c r="D3421" s="4">
        <v>3</v>
      </c>
      <c r="E3421" s="4" t="s">
        <v>7228</v>
      </c>
      <c r="F3421" s="4" t="s">
        <v>1224</v>
      </c>
    </row>
    <row r="3422" spans="1:6">
      <c r="A3422" s="4" t="s">
        <v>7229</v>
      </c>
      <c r="B3422" s="6" t="s">
        <v>7230</v>
      </c>
      <c r="C3422" s="4" t="s">
        <v>81</v>
      </c>
      <c r="D3422" s="4">
        <v>6</v>
      </c>
      <c r="E3422" s="4" t="s">
        <v>2387</v>
      </c>
    </row>
    <row r="3423" spans="1:6">
      <c r="A3423" s="4" t="s">
        <v>7231</v>
      </c>
      <c r="B3423" s="6" t="s">
        <v>7232</v>
      </c>
      <c r="C3423" s="4" t="s">
        <v>104</v>
      </c>
      <c r="D3423" s="4">
        <v>10</v>
      </c>
      <c r="E3423" s="4" t="s">
        <v>7111</v>
      </c>
      <c r="F3423" s="4" t="s">
        <v>7233</v>
      </c>
    </row>
    <row r="3424" spans="1:6">
      <c r="A3424" s="4" t="s">
        <v>7234</v>
      </c>
      <c r="B3424" s="6" t="s">
        <v>7235</v>
      </c>
      <c r="C3424" s="4" t="s">
        <v>458</v>
      </c>
      <c r="D3424" s="4">
        <v>9</v>
      </c>
      <c r="E3424" s="4" t="s">
        <v>1004</v>
      </c>
      <c r="F3424" s="4" t="s">
        <v>7236</v>
      </c>
    </row>
    <row r="3425" spans="1:6">
      <c r="A3425" s="4" t="s">
        <v>7237</v>
      </c>
      <c r="B3425" s="6" t="s">
        <v>7235</v>
      </c>
      <c r="C3425" s="4" t="s">
        <v>1328</v>
      </c>
      <c r="D3425" s="4">
        <v>6</v>
      </c>
      <c r="E3425" s="4" t="s">
        <v>1004</v>
      </c>
      <c r="F3425" s="4" t="s">
        <v>7238</v>
      </c>
    </row>
    <row r="3426" spans="1:6">
      <c r="A3426" s="4" t="s">
        <v>7239</v>
      </c>
      <c r="B3426" s="6" t="s">
        <v>7235</v>
      </c>
      <c r="C3426" s="4" t="s">
        <v>53</v>
      </c>
      <c r="D3426" s="4">
        <v>13</v>
      </c>
      <c r="E3426" s="4" t="s">
        <v>1004</v>
      </c>
      <c r="F3426" s="4" t="s">
        <v>7240</v>
      </c>
    </row>
    <row r="3427" spans="1:6">
      <c r="A3427" s="4" t="s">
        <v>7241</v>
      </c>
      <c r="B3427" s="6" t="s">
        <v>7235</v>
      </c>
      <c r="C3427" s="4" t="s">
        <v>23</v>
      </c>
      <c r="D3427" s="4">
        <v>12</v>
      </c>
      <c r="E3427" s="4" t="s">
        <v>1004</v>
      </c>
      <c r="F3427" s="4" t="s">
        <v>2141</v>
      </c>
    </row>
    <row r="3428" spans="1:6">
      <c r="A3428" s="4" t="s">
        <v>7242</v>
      </c>
      <c r="B3428" s="6" t="s">
        <v>7243</v>
      </c>
      <c r="C3428" s="4" t="s">
        <v>1756</v>
      </c>
      <c r="D3428" s="4">
        <v>5</v>
      </c>
      <c r="E3428" s="4" t="s">
        <v>1004</v>
      </c>
      <c r="F3428" s="4" t="s">
        <v>7238</v>
      </c>
    </row>
    <row r="3429" spans="1:6">
      <c r="A3429" s="4" t="s">
        <v>7244</v>
      </c>
      <c r="B3429" s="6" t="s">
        <v>7245</v>
      </c>
      <c r="C3429" s="4" t="s">
        <v>995</v>
      </c>
      <c r="D3429" s="4">
        <v>18</v>
      </c>
      <c r="E3429" s="4" t="s">
        <v>7158</v>
      </c>
      <c r="F3429" s="4" t="s">
        <v>7246</v>
      </c>
    </row>
    <row r="3430" spans="1:6">
      <c r="A3430" s="4" t="s">
        <v>7247</v>
      </c>
      <c r="B3430" s="6" t="s">
        <v>7248</v>
      </c>
      <c r="C3430" s="4" t="s">
        <v>301</v>
      </c>
      <c r="D3430" s="4">
        <v>10</v>
      </c>
      <c r="E3430" s="4" t="s">
        <v>1164</v>
      </c>
    </row>
    <row r="3431" spans="1:6">
      <c r="A3431" s="4" t="s">
        <v>7249</v>
      </c>
      <c r="B3431" s="6" t="s">
        <v>7248</v>
      </c>
      <c r="C3431" s="4" t="s">
        <v>87</v>
      </c>
      <c r="D3431" s="4">
        <v>11</v>
      </c>
      <c r="E3431" s="4" t="s">
        <v>1164</v>
      </c>
    </row>
    <row r="3432" spans="1:6">
      <c r="A3432" s="4" t="s">
        <v>7250</v>
      </c>
      <c r="B3432" s="6" t="s">
        <v>7248</v>
      </c>
      <c r="C3432" s="4" t="s">
        <v>132</v>
      </c>
      <c r="D3432" s="4">
        <v>19</v>
      </c>
      <c r="E3432" s="4" t="s">
        <v>7251</v>
      </c>
      <c r="F3432" s="4" t="s">
        <v>7252</v>
      </c>
    </row>
    <row r="3433" spans="1:6">
      <c r="A3433" s="4" t="s">
        <v>7253</v>
      </c>
      <c r="B3433" s="6" t="s">
        <v>7248</v>
      </c>
      <c r="C3433" s="4" t="s">
        <v>268</v>
      </c>
      <c r="D3433" s="4">
        <v>13</v>
      </c>
      <c r="E3433" s="4" t="s">
        <v>1164</v>
      </c>
      <c r="F3433" s="4" t="s">
        <v>7254</v>
      </c>
    </row>
    <row r="3434" spans="1:6">
      <c r="A3434" s="4" t="s">
        <v>7255</v>
      </c>
      <c r="B3434" s="6" t="s">
        <v>7248</v>
      </c>
      <c r="C3434" s="4" t="s">
        <v>1262</v>
      </c>
      <c r="D3434" s="4">
        <v>15</v>
      </c>
      <c r="E3434" s="4" t="s">
        <v>7256</v>
      </c>
    </row>
    <row r="3435" spans="1:6">
      <c r="A3435" s="4" t="s">
        <v>7257</v>
      </c>
      <c r="B3435" s="6" t="s">
        <v>7258</v>
      </c>
      <c r="C3435" s="4" t="s">
        <v>995</v>
      </c>
      <c r="D3435" s="4">
        <v>9</v>
      </c>
      <c r="E3435" s="4" t="s">
        <v>7259</v>
      </c>
      <c r="F3435" s="4" t="s">
        <v>7260</v>
      </c>
    </row>
    <row r="3436" spans="1:6">
      <c r="A3436" s="4" t="s">
        <v>7261</v>
      </c>
      <c r="B3436" s="6" t="s">
        <v>7258</v>
      </c>
      <c r="C3436" s="4" t="s">
        <v>53</v>
      </c>
      <c r="D3436" s="4">
        <v>13</v>
      </c>
      <c r="E3436" s="4" t="s">
        <v>1164</v>
      </c>
    </row>
    <row r="3437" spans="1:6">
      <c r="A3437" s="4" t="s">
        <v>7262</v>
      </c>
      <c r="B3437" s="6" t="s">
        <v>7263</v>
      </c>
      <c r="C3437" s="4" t="s">
        <v>221</v>
      </c>
      <c r="D3437" s="4">
        <v>12</v>
      </c>
      <c r="E3437" s="4" t="s">
        <v>1164</v>
      </c>
    </row>
    <row r="3438" spans="1:6">
      <c r="A3438" s="4" t="s">
        <v>7264</v>
      </c>
      <c r="B3438" s="6" t="s">
        <v>7265</v>
      </c>
      <c r="C3438" s="4" t="s">
        <v>275</v>
      </c>
      <c r="D3438" s="4">
        <v>8</v>
      </c>
      <c r="E3438" s="4" t="s">
        <v>7266</v>
      </c>
      <c r="F3438" s="4" t="s">
        <v>7267</v>
      </c>
    </row>
    <row r="3439" spans="1:6">
      <c r="A3439" s="4" t="s">
        <v>7268</v>
      </c>
      <c r="B3439" s="6" t="s">
        <v>7265</v>
      </c>
      <c r="C3439" s="4" t="s">
        <v>1420</v>
      </c>
      <c r="D3439" s="4">
        <v>11</v>
      </c>
      <c r="E3439" s="4" t="s">
        <v>7266</v>
      </c>
      <c r="F3439" s="4" t="s">
        <v>7269</v>
      </c>
    </row>
    <row r="3440" spans="1:6">
      <c r="A3440" s="4" t="s">
        <v>7270</v>
      </c>
      <c r="B3440" s="6" t="s">
        <v>7271</v>
      </c>
      <c r="C3440" s="4" t="s">
        <v>53</v>
      </c>
      <c r="D3440" s="4">
        <v>5</v>
      </c>
      <c r="E3440" s="4" t="s">
        <v>7266</v>
      </c>
      <c r="F3440" s="4" t="s">
        <v>7272</v>
      </c>
    </row>
    <row r="3441" spans="1:6">
      <c r="A3441" s="4" t="s">
        <v>7273</v>
      </c>
      <c r="B3441" s="6" t="s">
        <v>7274</v>
      </c>
      <c r="C3441" s="4" t="s">
        <v>458</v>
      </c>
      <c r="D3441" s="4">
        <v>12</v>
      </c>
      <c r="E3441" s="4" t="s">
        <v>7275</v>
      </c>
    </row>
    <row r="3442" spans="1:6">
      <c r="A3442" s="4" t="s">
        <v>7276</v>
      </c>
      <c r="B3442" s="6" t="s">
        <v>7277</v>
      </c>
      <c r="C3442" s="4" t="s">
        <v>945</v>
      </c>
      <c r="D3442" s="4">
        <v>12</v>
      </c>
      <c r="E3442" s="4" t="s">
        <v>5348</v>
      </c>
    </row>
    <row r="3443" spans="1:6">
      <c r="A3443" s="4" t="s">
        <v>7278</v>
      </c>
      <c r="B3443" s="6" t="s">
        <v>7279</v>
      </c>
      <c r="C3443" s="4" t="s">
        <v>605</v>
      </c>
      <c r="D3443" s="4">
        <v>12</v>
      </c>
      <c r="E3443" s="4" t="s">
        <v>6737</v>
      </c>
    </row>
    <row r="3444" spans="1:6">
      <c r="A3444" s="4" t="s">
        <v>7280</v>
      </c>
      <c r="B3444" s="6" t="s">
        <v>7279</v>
      </c>
      <c r="C3444" s="4" t="s">
        <v>605</v>
      </c>
      <c r="D3444" s="4">
        <v>21</v>
      </c>
      <c r="E3444" s="4" t="s">
        <v>6737</v>
      </c>
    </row>
    <row r="3445" spans="1:6">
      <c r="A3445" s="4" t="s">
        <v>7281</v>
      </c>
      <c r="B3445" s="6" t="s">
        <v>7282</v>
      </c>
      <c r="C3445" s="4" t="s">
        <v>76</v>
      </c>
      <c r="D3445" s="4">
        <v>11</v>
      </c>
      <c r="E3445" s="4" t="s">
        <v>1064</v>
      </c>
    </row>
    <row r="3446" spans="1:6">
      <c r="A3446" s="4" t="s">
        <v>7283</v>
      </c>
      <c r="B3446" s="6" t="s">
        <v>7282</v>
      </c>
      <c r="C3446" s="4" t="s">
        <v>315</v>
      </c>
      <c r="D3446" s="4">
        <v>14</v>
      </c>
      <c r="E3446" s="4" t="s">
        <v>1064</v>
      </c>
    </row>
    <row r="3447" spans="1:6">
      <c r="A3447" s="4" t="s">
        <v>7284</v>
      </c>
      <c r="B3447" s="6" t="s">
        <v>7285</v>
      </c>
      <c r="C3447" s="4" t="s">
        <v>37</v>
      </c>
      <c r="D3447" s="4">
        <v>14</v>
      </c>
      <c r="E3447" s="4" t="s">
        <v>7286</v>
      </c>
      <c r="F3447" s="4" t="s">
        <v>7287</v>
      </c>
    </row>
    <row r="3448" spans="1:6">
      <c r="A3448" s="4" t="s">
        <v>7288</v>
      </c>
      <c r="B3448" s="6" t="s">
        <v>7289</v>
      </c>
      <c r="C3448" s="4" t="s">
        <v>231</v>
      </c>
      <c r="D3448" s="4">
        <v>11</v>
      </c>
      <c r="E3448" s="4" t="s">
        <v>1064</v>
      </c>
      <c r="F3448" s="4" t="s">
        <v>7290</v>
      </c>
    </row>
    <row r="3449" spans="1:6">
      <c r="A3449" s="4" t="s">
        <v>7291</v>
      </c>
      <c r="B3449" s="6" t="s">
        <v>7292</v>
      </c>
      <c r="C3449" s="4" t="s">
        <v>14</v>
      </c>
      <c r="D3449" s="4">
        <v>15</v>
      </c>
      <c r="E3449" s="4" t="s">
        <v>1064</v>
      </c>
    </row>
    <row r="3450" spans="1:6">
      <c r="A3450" s="4" t="s">
        <v>7293</v>
      </c>
      <c r="B3450" s="6" t="s">
        <v>7294</v>
      </c>
      <c r="C3450" s="4" t="s">
        <v>1248</v>
      </c>
      <c r="D3450" s="4">
        <v>9</v>
      </c>
      <c r="E3450" s="4" t="s">
        <v>1157</v>
      </c>
      <c r="F3450" s="4" t="s">
        <v>7295</v>
      </c>
    </row>
    <row r="3451" spans="1:6">
      <c r="A3451" s="4" t="s">
        <v>7296</v>
      </c>
      <c r="B3451" s="6" t="s">
        <v>7294</v>
      </c>
      <c r="C3451" s="4" t="s">
        <v>1248</v>
      </c>
      <c r="D3451" s="4">
        <v>16</v>
      </c>
      <c r="E3451" s="4" t="s">
        <v>1019</v>
      </c>
      <c r="F3451" s="4" t="s">
        <v>7297</v>
      </c>
    </row>
    <row r="3452" spans="1:6">
      <c r="A3452" s="4" t="s">
        <v>7298</v>
      </c>
      <c r="B3452" s="6" t="s">
        <v>7294</v>
      </c>
      <c r="C3452" s="4" t="s">
        <v>1431</v>
      </c>
      <c r="D3452" s="4">
        <v>15</v>
      </c>
      <c r="E3452" s="4" t="s">
        <v>1157</v>
      </c>
      <c r="F3452" s="4" t="s">
        <v>7299</v>
      </c>
    </row>
    <row r="3453" spans="1:6">
      <c r="A3453" s="4" t="s">
        <v>7300</v>
      </c>
      <c r="B3453" s="6" t="s">
        <v>7294</v>
      </c>
      <c r="C3453" s="4" t="s">
        <v>1078</v>
      </c>
      <c r="D3453" s="4">
        <v>6</v>
      </c>
      <c r="E3453" s="4" t="s">
        <v>7301</v>
      </c>
    </row>
    <row r="3454" spans="1:6">
      <c r="A3454" s="4" t="s">
        <v>7302</v>
      </c>
      <c r="B3454" s="6" t="s">
        <v>7294</v>
      </c>
      <c r="C3454" s="4" t="s">
        <v>14</v>
      </c>
      <c r="D3454" s="4">
        <v>11</v>
      </c>
      <c r="E3454" s="4" t="s">
        <v>1227</v>
      </c>
    </row>
    <row r="3455" spans="1:6">
      <c r="A3455" s="4" t="s">
        <v>7303</v>
      </c>
      <c r="B3455" s="6" t="s">
        <v>7294</v>
      </c>
      <c r="C3455" s="4" t="s">
        <v>14</v>
      </c>
      <c r="D3455" s="4">
        <v>11</v>
      </c>
      <c r="E3455" s="4" t="s">
        <v>1007</v>
      </c>
      <c r="F3455" s="4" t="s">
        <v>7304</v>
      </c>
    </row>
    <row r="3456" spans="1:6">
      <c r="A3456" s="4" t="s">
        <v>7305</v>
      </c>
      <c r="B3456" s="6" t="s">
        <v>7306</v>
      </c>
      <c r="C3456" s="4" t="s">
        <v>53</v>
      </c>
      <c r="D3456" s="4">
        <v>7</v>
      </c>
      <c r="E3456" s="4" t="s">
        <v>6722</v>
      </c>
      <c r="F3456" s="4" t="s">
        <v>7307</v>
      </c>
    </row>
    <row r="3457" spans="1:6">
      <c r="A3457" s="4" t="s">
        <v>7308</v>
      </c>
      <c r="B3457" s="6" t="s">
        <v>7306</v>
      </c>
      <c r="C3457" s="4" t="s">
        <v>1756</v>
      </c>
      <c r="D3457" s="4">
        <v>8</v>
      </c>
      <c r="E3457" s="4" t="s">
        <v>1205</v>
      </c>
    </row>
    <row r="3458" spans="1:6">
      <c r="A3458" s="4" t="s">
        <v>7309</v>
      </c>
      <c r="B3458" s="6" t="s">
        <v>7310</v>
      </c>
      <c r="C3458" s="4" t="s">
        <v>1679</v>
      </c>
      <c r="D3458" s="4">
        <v>14</v>
      </c>
      <c r="E3458" s="4" t="s">
        <v>6397</v>
      </c>
      <c r="F3458" s="4" t="s">
        <v>4325</v>
      </c>
    </row>
    <row r="3459" spans="1:6">
      <c r="A3459" s="4" t="s">
        <v>7311</v>
      </c>
      <c r="B3459" s="6" t="s">
        <v>7312</v>
      </c>
      <c r="C3459" s="4" t="s">
        <v>1262</v>
      </c>
      <c r="D3459" s="4">
        <v>13</v>
      </c>
      <c r="E3459" s="4" t="s">
        <v>1004</v>
      </c>
      <c r="F3459" s="4" t="s">
        <v>7313</v>
      </c>
    </row>
    <row r="3460" spans="1:6">
      <c r="A3460" s="4" t="s">
        <v>7314</v>
      </c>
      <c r="B3460" s="6" t="s">
        <v>7312</v>
      </c>
      <c r="C3460" s="4" t="s">
        <v>544</v>
      </c>
      <c r="D3460" s="4">
        <v>10</v>
      </c>
      <c r="E3460" s="4" t="s">
        <v>1157</v>
      </c>
      <c r="F3460" s="4" t="s">
        <v>7315</v>
      </c>
    </row>
    <row r="3461" spans="1:6">
      <c r="A3461" s="4" t="s">
        <v>163</v>
      </c>
      <c r="B3461" s="6" t="s">
        <v>7312</v>
      </c>
      <c r="C3461" s="4" t="s">
        <v>163</v>
      </c>
      <c r="D3461" s="4">
        <v>4</v>
      </c>
      <c r="E3461" s="4" t="s">
        <v>7316</v>
      </c>
      <c r="F3461" s="4" t="s">
        <v>4571</v>
      </c>
    </row>
    <row r="3462" spans="1:6">
      <c r="A3462" s="4" t="s">
        <v>7317</v>
      </c>
      <c r="B3462" s="6" t="s">
        <v>7312</v>
      </c>
      <c r="C3462" s="4" t="s">
        <v>37</v>
      </c>
      <c r="D3462" s="4">
        <v>23</v>
      </c>
      <c r="E3462" s="4" t="s">
        <v>1004</v>
      </c>
    </row>
    <row r="3463" spans="1:6">
      <c r="A3463" s="4" t="s">
        <v>7318</v>
      </c>
      <c r="B3463" s="6" t="s">
        <v>7312</v>
      </c>
      <c r="C3463" s="4" t="s">
        <v>37</v>
      </c>
      <c r="D3463" s="4">
        <v>23</v>
      </c>
      <c r="E3463" s="4" t="s">
        <v>1004</v>
      </c>
    </row>
    <row r="3464" spans="1:6">
      <c r="A3464" s="4" t="s">
        <v>7319</v>
      </c>
      <c r="B3464" s="6" t="s">
        <v>7320</v>
      </c>
      <c r="C3464" s="4" t="s">
        <v>87</v>
      </c>
      <c r="D3464" s="4">
        <v>9</v>
      </c>
      <c r="E3464" s="4" t="s">
        <v>1157</v>
      </c>
    </row>
    <row r="3465" spans="1:6">
      <c r="A3465" s="4" t="s">
        <v>7321</v>
      </c>
      <c r="B3465" s="6" t="s">
        <v>7322</v>
      </c>
      <c r="C3465" s="4" t="s">
        <v>27</v>
      </c>
      <c r="D3465" s="4">
        <v>8</v>
      </c>
      <c r="E3465" s="4" t="s">
        <v>6397</v>
      </c>
      <c r="F3465" s="4" t="s">
        <v>7323</v>
      </c>
    </row>
    <row r="3466" spans="1:6">
      <c r="A3466" s="4" t="s">
        <v>7324</v>
      </c>
      <c r="B3466" s="6" t="s">
        <v>7322</v>
      </c>
      <c r="C3466" s="4" t="s">
        <v>37</v>
      </c>
      <c r="D3466" s="4">
        <v>15</v>
      </c>
      <c r="E3466" s="4" t="s">
        <v>6397</v>
      </c>
      <c r="F3466" s="4" t="s">
        <v>7325</v>
      </c>
    </row>
    <row r="3467" spans="1:6">
      <c r="A3467" s="4" t="s">
        <v>7326</v>
      </c>
      <c r="B3467" s="6" t="s">
        <v>7322</v>
      </c>
      <c r="C3467" s="4" t="s">
        <v>34</v>
      </c>
      <c r="D3467" s="4">
        <v>11</v>
      </c>
      <c r="E3467" s="4" t="s">
        <v>6397</v>
      </c>
    </row>
    <row r="3468" spans="1:6">
      <c r="A3468" s="4" t="s">
        <v>7327</v>
      </c>
      <c r="B3468" s="6" t="s">
        <v>7322</v>
      </c>
      <c r="C3468" s="4" t="s">
        <v>27</v>
      </c>
      <c r="D3468" s="4">
        <v>10</v>
      </c>
      <c r="E3468" s="4" t="s">
        <v>6397</v>
      </c>
      <c r="F3468" s="4" t="s">
        <v>7323</v>
      </c>
    </row>
    <row r="3469" spans="1:6">
      <c r="A3469" s="4" t="s">
        <v>7328</v>
      </c>
      <c r="B3469" s="6" t="s">
        <v>7329</v>
      </c>
      <c r="C3469" s="4" t="s">
        <v>1756</v>
      </c>
      <c r="D3469" s="4">
        <v>8</v>
      </c>
      <c r="E3469" s="4" t="s">
        <v>1157</v>
      </c>
      <c r="F3469" s="4" t="s">
        <v>1023</v>
      </c>
    </row>
    <row r="3470" spans="1:6">
      <c r="A3470" s="4" t="s">
        <v>7330</v>
      </c>
      <c r="B3470" s="6" t="s">
        <v>7329</v>
      </c>
      <c r="C3470" s="4" t="s">
        <v>7330</v>
      </c>
      <c r="D3470" s="4">
        <v>9</v>
      </c>
      <c r="E3470" s="4" t="s">
        <v>1157</v>
      </c>
      <c r="F3470" s="4" t="s">
        <v>7331</v>
      </c>
    </row>
    <row r="3471" spans="1:6">
      <c r="A3471" s="4" t="s">
        <v>7332</v>
      </c>
      <c r="B3471" s="6" t="s">
        <v>7329</v>
      </c>
      <c r="C3471" s="4" t="s">
        <v>45</v>
      </c>
      <c r="D3471" s="4">
        <v>6</v>
      </c>
      <c r="E3471" s="4" t="s">
        <v>1227</v>
      </c>
      <c r="F3471" s="4" t="s">
        <v>3190</v>
      </c>
    </row>
    <row r="3472" spans="1:6">
      <c r="A3472" s="4" t="s">
        <v>34</v>
      </c>
      <c r="B3472" s="6" t="s">
        <v>7329</v>
      </c>
      <c r="C3472" s="4" t="s">
        <v>34</v>
      </c>
      <c r="D3472" s="4">
        <v>4</v>
      </c>
      <c r="E3472" s="4" t="s">
        <v>1157</v>
      </c>
      <c r="F3472" s="4" t="s">
        <v>7333</v>
      </c>
    </row>
    <row r="3473" spans="1:6">
      <c r="A3473" s="4" t="s">
        <v>87</v>
      </c>
      <c r="B3473" s="6" t="s">
        <v>7334</v>
      </c>
      <c r="C3473" s="4" t="s">
        <v>87</v>
      </c>
      <c r="D3473" s="4">
        <v>4</v>
      </c>
      <c r="E3473" s="4" t="s">
        <v>6397</v>
      </c>
      <c r="F3473" s="4" t="s">
        <v>7335</v>
      </c>
    </row>
    <row r="3474" spans="1:6">
      <c r="A3474" s="4" t="s">
        <v>7336</v>
      </c>
      <c r="B3474" s="6" t="s">
        <v>7334</v>
      </c>
      <c r="C3474" s="4" t="s">
        <v>14</v>
      </c>
      <c r="D3474" s="4">
        <v>8</v>
      </c>
      <c r="E3474" s="4" t="s">
        <v>1047</v>
      </c>
      <c r="F3474" s="4" t="s">
        <v>7337</v>
      </c>
    </row>
    <row r="3475" spans="1:6">
      <c r="A3475" s="4" t="s">
        <v>7338</v>
      </c>
      <c r="B3475" s="6" t="s">
        <v>7339</v>
      </c>
      <c r="C3475" s="4" t="s">
        <v>354</v>
      </c>
      <c r="D3475" s="4">
        <v>13</v>
      </c>
      <c r="E3475" s="4" t="s">
        <v>1234</v>
      </c>
      <c r="F3475" s="4" t="s">
        <v>7340</v>
      </c>
    </row>
    <row r="3476" spans="1:6">
      <c r="A3476" s="4" t="s">
        <v>7341</v>
      </c>
      <c r="B3476" s="6" t="s">
        <v>7342</v>
      </c>
      <c r="C3476" s="4" t="s">
        <v>53</v>
      </c>
      <c r="D3476" s="4">
        <v>16</v>
      </c>
      <c r="E3476" s="4" t="s">
        <v>5331</v>
      </c>
      <c r="F3476" s="4" t="s">
        <v>3036</v>
      </c>
    </row>
    <row r="3477" spans="1:6">
      <c r="A3477" s="4" t="s">
        <v>7343</v>
      </c>
      <c r="B3477" s="6" t="s">
        <v>7342</v>
      </c>
      <c r="C3477" s="4" t="s">
        <v>301</v>
      </c>
      <c r="D3477" s="4">
        <v>14</v>
      </c>
      <c r="E3477" s="4" t="s">
        <v>5331</v>
      </c>
    </row>
    <row r="3478" spans="1:6">
      <c r="A3478" s="4" t="s">
        <v>7344</v>
      </c>
      <c r="B3478" s="6" t="s">
        <v>7342</v>
      </c>
      <c r="C3478" s="4" t="s">
        <v>23</v>
      </c>
      <c r="D3478" s="4">
        <v>11</v>
      </c>
      <c r="E3478" s="4" t="s">
        <v>1004</v>
      </c>
    </row>
    <row r="3479" spans="1:6">
      <c r="A3479" s="4" t="s">
        <v>7345</v>
      </c>
      <c r="B3479" s="6" t="s">
        <v>7342</v>
      </c>
      <c r="C3479" s="4" t="s">
        <v>41</v>
      </c>
      <c r="D3479" s="4">
        <v>15</v>
      </c>
      <c r="E3479" s="4" t="s">
        <v>1161</v>
      </c>
      <c r="F3479" s="4" t="s">
        <v>7346</v>
      </c>
    </row>
    <row r="3480" spans="1:6">
      <c r="A3480" s="4" t="s">
        <v>7347</v>
      </c>
      <c r="B3480" s="6" t="s">
        <v>7348</v>
      </c>
      <c r="C3480" s="4" t="s">
        <v>1756</v>
      </c>
      <c r="D3480" s="4">
        <v>8</v>
      </c>
      <c r="E3480" s="4" t="s">
        <v>5331</v>
      </c>
      <c r="F3480" s="4" t="s">
        <v>7349</v>
      </c>
    </row>
    <row r="3481" spans="1:6">
      <c r="A3481" s="4" t="s">
        <v>7350</v>
      </c>
      <c r="B3481" s="6" t="s">
        <v>7348</v>
      </c>
      <c r="C3481" s="4" t="s">
        <v>34</v>
      </c>
      <c r="D3481" s="4">
        <v>11</v>
      </c>
      <c r="E3481" s="4" t="s">
        <v>5331</v>
      </c>
      <c r="F3481" s="4" t="s">
        <v>7351</v>
      </c>
    </row>
    <row r="3482" spans="1:6">
      <c r="A3482" s="4" t="s">
        <v>7352</v>
      </c>
      <c r="B3482" s="6" t="s">
        <v>7353</v>
      </c>
      <c r="C3482" s="4" t="s">
        <v>87</v>
      </c>
      <c r="D3482" s="4">
        <v>11</v>
      </c>
      <c r="E3482" s="4" t="s">
        <v>1205</v>
      </c>
    </row>
    <row r="3483" spans="1:6">
      <c r="A3483" s="4" t="s">
        <v>7354</v>
      </c>
      <c r="B3483" s="6" t="s">
        <v>7353</v>
      </c>
      <c r="C3483" s="4" t="s">
        <v>686</v>
      </c>
      <c r="D3483" s="4">
        <v>15</v>
      </c>
      <c r="E3483" s="4" t="s">
        <v>7355</v>
      </c>
      <c r="F3483" s="4" t="s">
        <v>7356</v>
      </c>
    </row>
    <row r="3484" spans="1:6">
      <c r="A3484" s="4" t="s">
        <v>7357</v>
      </c>
      <c r="B3484" s="6" t="s">
        <v>7353</v>
      </c>
      <c r="C3484" s="4" t="s">
        <v>27</v>
      </c>
      <c r="D3484" s="4">
        <v>14</v>
      </c>
      <c r="E3484" s="4" t="s">
        <v>7355</v>
      </c>
    </row>
    <row r="3485" spans="1:6">
      <c r="A3485" s="4" t="s">
        <v>7358</v>
      </c>
      <c r="B3485" s="6" t="s">
        <v>7353</v>
      </c>
      <c r="C3485" s="4" t="s">
        <v>427</v>
      </c>
      <c r="D3485" s="4">
        <v>13</v>
      </c>
      <c r="E3485" s="4" t="s">
        <v>7359</v>
      </c>
    </row>
    <row r="3486" spans="1:6">
      <c r="A3486" s="4" t="s">
        <v>7360</v>
      </c>
      <c r="B3486" s="6" t="s">
        <v>7353</v>
      </c>
      <c r="C3486" s="4" t="s">
        <v>453</v>
      </c>
      <c r="D3486" s="4">
        <v>22</v>
      </c>
      <c r="E3486" s="4" t="s">
        <v>1208</v>
      </c>
      <c r="F3486" s="4" t="s">
        <v>912</v>
      </c>
    </row>
    <row r="3487" spans="1:6">
      <c r="A3487" s="4" t="s">
        <v>7361</v>
      </c>
      <c r="B3487" s="6" t="s">
        <v>7353</v>
      </c>
      <c r="C3487" s="4" t="s">
        <v>708</v>
      </c>
      <c r="D3487" s="4">
        <v>11</v>
      </c>
      <c r="E3487" s="4" t="s">
        <v>7355</v>
      </c>
    </row>
    <row r="3488" spans="1:6">
      <c r="A3488" s="4" t="s">
        <v>7362</v>
      </c>
      <c r="B3488" s="6" t="s">
        <v>7353</v>
      </c>
      <c r="C3488" s="4" t="s">
        <v>254</v>
      </c>
      <c r="D3488" s="4">
        <v>10</v>
      </c>
      <c r="E3488" s="4" t="s">
        <v>1205</v>
      </c>
    </row>
    <row r="3489" spans="1:6">
      <c r="A3489" s="4" t="s">
        <v>7363</v>
      </c>
      <c r="B3489" s="6" t="s">
        <v>7364</v>
      </c>
      <c r="C3489" s="4" t="s">
        <v>995</v>
      </c>
      <c r="D3489" s="4">
        <v>13</v>
      </c>
      <c r="E3489" s="4" t="s">
        <v>6397</v>
      </c>
    </row>
    <row r="3490" spans="1:6">
      <c r="A3490" s="4" t="s">
        <v>7365</v>
      </c>
      <c r="B3490" s="6" t="s">
        <v>7364</v>
      </c>
      <c r="C3490" s="4" t="s">
        <v>57</v>
      </c>
      <c r="D3490" s="4">
        <v>13</v>
      </c>
      <c r="E3490" s="4" t="s">
        <v>1220</v>
      </c>
    </row>
    <row r="3491" spans="1:6">
      <c r="A3491" s="4" t="s">
        <v>7366</v>
      </c>
      <c r="B3491" s="6" t="s">
        <v>7367</v>
      </c>
      <c r="C3491" s="4" t="s">
        <v>7368</v>
      </c>
      <c r="D3491" s="4">
        <v>10</v>
      </c>
      <c r="E3491" s="4" t="s">
        <v>1244</v>
      </c>
      <c r="F3491" s="4" t="s">
        <v>6488</v>
      </c>
    </row>
    <row r="3492" spans="1:6">
      <c r="A3492" s="4" t="s">
        <v>7369</v>
      </c>
      <c r="B3492" s="6" t="s">
        <v>7367</v>
      </c>
      <c r="C3492" s="4" t="s">
        <v>1106</v>
      </c>
      <c r="D3492" s="4">
        <v>14</v>
      </c>
      <c r="E3492" s="4" t="s">
        <v>1047</v>
      </c>
      <c r="F3492" s="4" t="s">
        <v>6693</v>
      </c>
    </row>
    <row r="3493" spans="1:6">
      <c r="A3493" s="4" t="s">
        <v>7370</v>
      </c>
      <c r="B3493" s="6" t="s">
        <v>7367</v>
      </c>
      <c r="C3493" s="4" t="s">
        <v>1248</v>
      </c>
      <c r="D3493" s="4">
        <v>8</v>
      </c>
      <c r="E3493" s="4" t="s">
        <v>7371</v>
      </c>
      <c r="F3493" s="4" t="s">
        <v>7372</v>
      </c>
    </row>
    <row r="3494" spans="1:6">
      <c r="A3494" s="4" t="s">
        <v>7373</v>
      </c>
      <c r="B3494" s="6" t="s">
        <v>7367</v>
      </c>
      <c r="C3494" s="4" t="s">
        <v>81</v>
      </c>
      <c r="D3494" s="4">
        <v>10</v>
      </c>
      <c r="E3494" s="4" t="s">
        <v>7374</v>
      </c>
    </row>
    <row r="3495" spans="1:6">
      <c r="A3495" s="4" t="s">
        <v>7375</v>
      </c>
      <c r="B3495" s="6" t="s">
        <v>7367</v>
      </c>
      <c r="C3495" s="4" t="s">
        <v>427</v>
      </c>
      <c r="D3495" s="4">
        <v>11</v>
      </c>
      <c r="E3495" s="4" t="s">
        <v>6375</v>
      </c>
      <c r="F3495" s="4" t="s">
        <v>7127</v>
      </c>
    </row>
    <row r="3496" spans="1:6">
      <c r="A3496" s="4" t="s">
        <v>7376</v>
      </c>
      <c r="B3496" s="6" t="s">
        <v>7367</v>
      </c>
      <c r="C3496" s="4" t="s">
        <v>76</v>
      </c>
      <c r="D3496" s="4">
        <v>10</v>
      </c>
      <c r="E3496" s="4" t="s">
        <v>1148</v>
      </c>
    </row>
    <row r="3497" spans="1:6">
      <c r="A3497" s="4" t="s">
        <v>7377</v>
      </c>
      <c r="B3497" s="6" t="s">
        <v>7367</v>
      </c>
      <c r="C3497" s="4" t="s">
        <v>14</v>
      </c>
      <c r="D3497" s="4">
        <v>8</v>
      </c>
      <c r="E3497" s="4" t="s">
        <v>7378</v>
      </c>
      <c r="F3497" s="4" t="s">
        <v>7379</v>
      </c>
    </row>
    <row r="3498" spans="1:6">
      <c r="A3498" s="4" t="s">
        <v>7380</v>
      </c>
      <c r="B3498" s="6" t="s">
        <v>7381</v>
      </c>
      <c r="C3498" s="4" t="s">
        <v>405</v>
      </c>
      <c r="D3498" s="4">
        <v>9</v>
      </c>
      <c r="E3498" s="4" t="s">
        <v>1069</v>
      </c>
      <c r="F3498" s="4" t="s">
        <v>7382</v>
      </c>
    </row>
    <row r="3499" spans="1:6">
      <c r="A3499" s="4" t="s">
        <v>7383</v>
      </c>
      <c r="B3499" s="6" t="s">
        <v>7381</v>
      </c>
      <c r="C3499" s="4" t="s">
        <v>254</v>
      </c>
      <c r="D3499" s="4">
        <v>10</v>
      </c>
      <c r="E3499" s="4" t="s">
        <v>6192</v>
      </c>
      <c r="F3499" s="4" t="s">
        <v>3631</v>
      </c>
    </row>
    <row r="3500" spans="1:6">
      <c r="A3500" s="4" t="s">
        <v>7384</v>
      </c>
      <c r="B3500" s="6" t="s">
        <v>7381</v>
      </c>
      <c r="C3500" s="4" t="s">
        <v>254</v>
      </c>
      <c r="D3500" s="4">
        <v>13</v>
      </c>
      <c r="E3500" s="4" t="s">
        <v>1069</v>
      </c>
      <c r="F3500" s="4" t="s">
        <v>7385</v>
      </c>
    </row>
    <row r="3501" spans="1:6">
      <c r="A3501" s="4" t="s">
        <v>7386</v>
      </c>
      <c r="B3501" s="6" t="s">
        <v>7381</v>
      </c>
      <c r="C3501" s="4" t="s">
        <v>81</v>
      </c>
      <c r="D3501" s="4">
        <v>13</v>
      </c>
      <c r="E3501" s="4" t="s">
        <v>6192</v>
      </c>
    </row>
    <row r="3502" spans="1:6">
      <c r="A3502" s="4" t="s">
        <v>7387</v>
      </c>
      <c r="B3502" s="6" t="s">
        <v>7381</v>
      </c>
      <c r="C3502" s="4" t="s">
        <v>81</v>
      </c>
      <c r="D3502" s="4">
        <v>14</v>
      </c>
      <c r="E3502" s="4" t="s">
        <v>1069</v>
      </c>
    </row>
    <row r="3503" spans="1:6">
      <c r="A3503" s="4" t="s">
        <v>7388</v>
      </c>
      <c r="B3503" s="6" t="s">
        <v>7381</v>
      </c>
      <c r="C3503" s="4" t="s">
        <v>49</v>
      </c>
      <c r="D3503" s="4">
        <v>13</v>
      </c>
      <c r="E3503" s="4" t="s">
        <v>6192</v>
      </c>
      <c r="F3503" s="4" t="s">
        <v>7389</v>
      </c>
    </row>
    <row r="3504" spans="1:6">
      <c r="A3504" s="4" t="s">
        <v>7390</v>
      </c>
      <c r="B3504" s="6" t="s">
        <v>7381</v>
      </c>
      <c r="C3504" s="4" t="s">
        <v>53</v>
      </c>
      <c r="D3504" s="4">
        <v>14</v>
      </c>
      <c r="E3504" s="4" t="s">
        <v>6192</v>
      </c>
      <c r="F3504" s="4" t="s">
        <v>7391</v>
      </c>
    </row>
    <row r="3505" spans="1:6">
      <c r="A3505" s="4" t="s">
        <v>7392</v>
      </c>
      <c r="B3505" s="6" t="s">
        <v>7381</v>
      </c>
      <c r="C3505" s="4" t="s">
        <v>544</v>
      </c>
      <c r="D3505" s="4">
        <v>15</v>
      </c>
      <c r="E3505" s="4" t="s">
        <v>1069</v>
      </c>
    </row>
    <row r="3506" spans="1:6">
      <c r="A3506" s="4" t="s">
        <v>7393</v>
      </c>
      <c r="B3506" s="6" t="s">
        <v>7394</v>
      </c>
      <c r="C3506" s="4" t="s">
        <v>315</v>
      </c>
      <c r="D3506" s="4">
        <v>23</v>
      </c>
      <c r="E3506" s="4" t="s">
        <v>1263</v>
      </c>
    </row>
    <row r="3507" spans="1:6">
      <c r="A3507" s="4" t="s">
        <v>7395</v>
      </c>
      <c r="B3507" s="6" t="s">
        <v>7396</v>
      </c>
      <c r="C3507" s="4" t="s">
        <v>238</v>
      </c>
      <c r="D3507" s="4">
        <v>11</v>
      </c>
      <c r="E3507" s="4" t="s">
        <v>1253</v>
      </c>
      <c r="F3507" s="4" t="s">
        <v>7397</v>
      </c>
    </row>
    <row r="3508" spans="1:6">
      <c r="A3508" s="4" t="s">
        <v>7398</v>
      </c>
      <c r="B3508" s="6" t="s">
        <v>7396</v>
      </c>
      <c r="C3508" s="4" t="s">
        <v>223</v>
      </c>
      <c r="D3508" s="4">
        <v>14</v>
      </c>
      <c r="E3508" s="4" t="s">
        <v>1069</v>
      </c>
      <c r="F3508" s="4" t="s">
        <v>6575</v>
      </c>
    </row>
    <row r="3509" spans="1:6">
      <c r="A3509" s="4" t="s">
        <v>7399</v>
      </c>
      <c r="B3509" s="6" t="s">
        <v>7396</v>
      </c>
      <c r="C3509" s="4" t="s">
        <v>14</v>
      </c>
      <c r="D3509" s="4">
        <v>14</v>
      </c>
      <c r="E3509" s="4" t="s">
        <v>7400</v>
      </c>
    </row>
    <row r="3510" spans="1:6">
      <c r="A3510" s="4" t="s">
        <v>7401</v>
      </c>
      <c r="B3510" s="6" t="s">
        <v>7402</v>
      </c>
      <c r="C3510" s="4" t="s">
        <v>23</v>
      </c>
      <c r="D3510" s="4">
        <v>11</v>
      </c>
      <c r="E3510" s="4" t="s">
        <v>1069</v>
      </c>
      <c r="F3510" s="4" t="s">
        <v>7403</v>
      </c>
    </row>
    <row r="3511" spans="1:6">
      <c r="A3511" s="4" t="s">
        <v>7404</v>
      </c>
      <c r="B3511" s="6" t="s">
        <v>7405</v>
      </c>
      <c r="C3511" s="4" t="s">
        <v>254</v>
      </c>
      <c r="D3511" s="4">
        <v>17</v>
      </c>
      <c r="E3511" s="4" t="s">
        <v>1069</v>
      </c>
      <c r="F3511" s="4" t="s">
        <v>7406</v>
      </c>
    </row>
    <row r="3512" spans="1:6">
      <c r="A3512" s="4" t="s">
        <v>7407</v>
      </c>
      <c r="B3512" s="6" t="s">
        <v>7405</v>
      </c>
      <c r="C3512" s="4" t="s">
        <v>453</v>
      </c>
      <c r="D3512" s="4">
        <v>15</v>
      </c>
      <c r="E3512" s="4" t="s">
        <v>1069</v>
      </c>
    </row>
    <row r="3513" spans="1:6">
      <c r="A3513" s="4" t="s">
        <v>7408</v>
      </c>
      <c r="B3513" s="6" t="s">
        <v>7409</v>
      </c>
      <c r="C3513" s="4" t="s">
        <v>448</v>
      </c>
      <c r="D3513" s="4">
        <v>3</v>
      </c>
      <c r="E3513" s="4" t="s">
        <v>1302</v>
      </c>
      <c r="F3513" s="4" t="s">
        <v>7410</v>
      </c>
    </row>
    <row r="3514" spans="1:6">
      <c r="A3514" s="4" t="s">
        <v>7411</v>
      </c>
      <c r="B3514" s="6" t="s">
        <v>7409</v>
      </c>
      <c r="C3514" s="4" t="s">
        <v>2474</v>
      </c>
      <c r="D3514" s="4">
        <v>8</v>
      </c>
      <c r="E3514" s="4" t="s">
        <v>1069</v>
      </c>
      <c r="F3514" s="4" t="s">
        <v>1717</v>
      </c>
    </row>
    <row r="3515" spans="1:6">
      <c r="A3515" s="4" t="s">
        <v>7412</v>
      </c>
      <c r="B3515" s="6" t="s">
        <v>7413</v>
      </c>
      <c r="C3515" s="4" t="s">
        <v>31</v>
      </c>
      <c r="D3515" s="4">
        <v>6</v>
      </c>
      <c r="E3515" s="4" t="s">
        <v>7111</v>
      </c>
      <c r="F3515" s="4" t="s">
        <v>7414</v>
      </c>
    </row>
    <row r="3516" spans="1:6">
      <c r="A3516" s="4" t="s">
        <v>7415</v>
      </c>
      <c r="B3516" s="6" t="s">
        <v>7413</v>
      </c>
      <c r="C3516" s="4" t="s">
        <v>41</v>
      </c>
      <c r="D3516" s="4">
        <v>11</v>
      </c>
      <c r="E3516" s="4" t="s">
        <v>1244</v>
      </c>
    </row>
    <row r="3517" spans="1:6">
      <c r="A3517" s="4" t="s">
        <v>7416</v>
      </c>
      <c r="B3517" s="6" t="s">
        <v>7413</v>
      </c>
      <c r="C3517" s="4" t="s">
        <v>23</v>
      </c>
      <c r="D3517" s="4">
        <v>9</v>
      </c>
      <c r="E3517" s="4" t="s">
        <v>1047</v>
      </c>
    </row>
    <row r="3518" spans="1:6">
      <c r="A3518" s="4" t="s">
        <v>7417</v>
      </c>
      <c r="B3518" s="6" t="s">
        <v>7418</v>
      </c>
      <c r="C3518" s="4" t="s">
        <v>37</v>
      </c>
      <c r="D3518" s="4">
        <v>19</v>
      </c>
      <c r="E3518" s="4" t="s">
        <v>1279</v>
      </c>
    </row>
    <row r="3519" spans="1:6">
      <c r="A3519" s="4" t="s">
        <v>7419</v>
      </c>
      <c r="B3519" s="6" t="s">
        <v>7418</v>
      </c>
      <c r="C3519" s="4" t="s">
        <v>1603</v>
      </c>
      <c r="D3519" s="4">
        <v>6</v>
      </c>
      <c r="E3519" s="4" t="s">
        <v>1279</v>
      </c>
    </row>
    <row r="3520" spans="1:6">
      <c r="A3520" s="4" t="s">
        <v>7420</v>
      </c>
      <c r="B3520" s="6" t="s">
        <v>7418</v>
      </c>
      <c r="C3520" s="4" t="s">
        <v>34</v>
      </c>
      <c r="D3520" s="4">
        <v>9</v>
      </c>
      <c r="E3520" s="4" t="s">
        <v>1279</v>
      </c>
      <c r="F3520" s="4" t="s">
        <v>7421</v>
      </c>
    </row>
    <row r="3521" spans="1:6">
      <c r="A3521" s="4" t="s">
        <v>7422</v>
      </c>
      <c r="B3521" s="6" t="s">
        <v>7423</v>
      </c>
      <c r="C3521" s="4" t="s">
        <v>132</v>
      </c>
      <c r="D3521" s="4">
        <v>23</v>
      </c>
      <c r="E3521" s="4" t="s">
        <v>1004</v>
      </c>
      <c r="F3521" s="4" t="s">
        <v>7424</v>
      </c>
    </row>
    <row r="3522" spans="1:6">
      <c r="A3522" s="4" t="s">
        <v>7425</v>
      </c>
      <c r="B3522" s="6" t="s">
        <v>7426</v>
      </c>
      <c r="C3522" s="4" t="s">
        <v>427</v>
      </c>
      <c r="D3522" s="4">
        <v>13</v>
      </c>
      <c r="E3522" s="4" t="s">
        <v>7427</v>
      </c>
    </row>
    <row r="3523" spans="1:6">
      <c r="A3523" s="4" t="s">
        <v>7428</v>
      </c>
      <c r="B3523" s="6" t="s">
        <v>7429</v>
      </c>
      <c r="C3523" s="4" t="s">
        <v>34</v>
      </c>
      <c r="D3523" s="4">
        <v>8</v>
      </c>
      <c r="E3523" s="4" t="s">
        <v>1069</v>
      </c>
      <c r="F3523" s="4" t="s">
        <v>7430</v>
      </c>
    </row>
    <row r="3524" spans="1:6">
      <c r="A3524" s="4" t="s">
        <v>7431</v>
      </c>
      <c r="B3524" s="6" t="s">
        <v>7429</v>
      </c>
      <c r="C3524" s="4" t="s">
        <v>963</v>
      </c>
      <c r="D3524" s="4">
        <v>9</v>
      </c>
      <c r="E3524" s="4" t="s">
        <v>1253</v>
      </c>
      <c r="F3524" s="4" t="s">
        <v>7432</v>
      </c>
    </row>
    <row r="3525" spans="1:6">
      <c r="A3525" s="4" t="s">
        <v>7433</v>
      </c>
      <c r="B3525" s="6" t="s">
        <v>7429</v>
      </c>
      <c r="C3525" s="4" t="s">
        <v>448</v>
      </c>
      <c r="D3525" s="4">
        <v>6</v>
      </c>
      <c r="E3525" s="4" t="s">
        <v>1302</v>
      </c>
    </row>
    <row r="3526" spans="1:6">
      <c r="A3526" s="4" t="s">
        <v>7434</v>
      </c>
      <c r="B3526" s="6" t="s">
        <v>7429</v>
      </c>
      <c r="C3526" s="4" t="s">
        <v>963</v>
      </c>
      <c r="D3526" s="4">
        <v>10</v>
      </c>
      <c r="E3526" s="4" t="s">
        <v>1253</v>
      </c>
      <c r="F3526" s="4" t="s">
        <v>7432</v>
      </c>
    </row>
    <row r="3527" spans="1:6">
      <c r="A3527" s="4" t="s">
        <v>7435</v>
      </c>
      <c r="B3527" s="6" t="s">
        <v>7436</v>
      </c>
      <c r="C3527" s="4" t="s">
        <v>104</v>
      </c>
      <c r="D3527" s="4">
        <v>12</v>
      </c>
      <c r="E3527" s="4" t="s">
        <v>1244</v>
      </c>
      <c r="F3527" s="4" t="s">
        <v>2359</v>
      </c>
    </row>
    <row r="3528" spans="1:6">
      <c r="A3528" s="4" t="s">
        <v>4082</v>
      </c>
      <c r="B3528" s="6" t="s">
        <v>7436</v>
      </c>
      <c r="C3528" s="4" t="s">
        <v>4082</v>
      </c>
      <c r="D3528" s="4">
        <v>12</v>
      </c>
      <c r="E3528" s="4" t="s">
        <v>1244</v>
      </c>
      <c r="F3528" s="4" t="s">
        <v>7437</v>
      </c>
    </row>
    <row r="3529" spans="1:6">
      <c r="A3529" s="4" t="s">
        <v>7438</v>
      </c>
      <c r="B3529" s="6" t="s">
        <v>7436</v>
      </c>
      <c r="C3529" s="4" t="s">
        <v>675</v>
      </c>
      <c r="D3529" s="4">
        <v>6</v>
      </c>
      <c r="E3529" s="4" t="s">
        <v>1047</v>
      </c>
      <c r="F3529" s="4" t="s">
        <v>7439</v>
      </c>
    </row>
    <row r="3530" spans="1:6">
      <c r="A3530" s="4" t="s">
        <v>1876</v>
      </c>
      <c r="B3530" s="6" t="s">
        <v>7436</v>
      </c>
      <c r="C3530" s="4" t="s">
        <v>1876</v>
      </c>
      <c r="D3530" s="4">
        <v>13</v>
      </c>
      <c r="E3530" s="4" t="s">
        <v>1148</v>
      </c>
      <c r="F3530" s="4" t="s">
        <v>7440</v>
      </c>
    </row>
    <row r="3531" spans="1:6">
      <c r="A3531" s="4" t="s">
        <v>7441</v>
      </c>
      <c r="B3531" s="6" t="s">
        <v>7442</v>
      </c>
      <c r="C3531" s="4" t="s">
        <v>390</v>
      </c>
      <c r="D3531" s="4">
        <v>13</v>
      </c>
      <c r="E3531" s="4" t="s">
        <v>1244</v>
      </c>
    </row>
    <row r="3532" spans="1:6">
      <c r="A3532" s="4" t="s">
        <v>7443</v>
      </c>
      <c r="B3532" s="6" t="s">
        <v>7442</v>
      </c>
      <c r="C3532" s="4" t="s">
        <v>104</v>
      </c>
      <c r="D3532" s="4">
        <v>17</v>
      </c>
      <c r="E3532" s="4" t="s">
        <v>1244</v>
      </c>
      <c r="F3532" s="4" t="s">
        <v>7444</v>
      </c>
    </row>
    <row r="3533" spans="1:6">
      <c r="A3533" s="4" t="s">
        <v>7445</v>
      </c>
      <c r="B3533" s="6" t="s">
        <v>7442</v>
      </c>
      <c r="C3533" s="4" t="s">
        <v>27</v>
      </c>
      <c r="D3533" s="4">
        <v>14</v>
      </c>
      <c r="E3533" s="4" t="s">
        <v>1244</v>
      </c>
    </row>
    <row r="3534" spans="1:6">
      <c r="A3534" s="4" t="s">
        <v>195</v>
      </c>
      <c r="B3534" s="6" t="s">
        <v>7446</v>
      </c>
      <c r="C3534" s="4" t="s">
        <v>195</v>
      </c>
      <c r="D3534" s="4">
        <v>9</v>
      </c>
      <c r="E3534" s="4" t="s">
        <v>1283</v>
      </c>
      <c r="F3534" s="4" t="s">
        <v>7447</v>
      </c>
    </row>
    <row r="3535" spans="1:6">
      <c r="A3535" s="4" t="s">
        <v>7448</v>
      </c>
      <c r="B3535" s="6" t="s">
        <v>7446</v>
      </c>
      <c r="C3535" s="4" t="s">
        <v>45</v>
      </c>
      <c r="D3535" s="4">
        <v>8</v>
      </c>
      <c r="E3535" s="4" t="s">
        <v>4871</v>
      </c>
      <c r="F3535" s="4" t="s">
        <v>7449</v>
      </c>
    </row>
    <row r="3536" spans="1:6">
      <c r="A3536" s="4" t="s">
        <v>7450</v>
      </c>
      <c r="B3536" s="6" t="s">
        <v>7446</v>
      </c>
      <c r="C3536" s="4" t="s">
        <v>53</v>
      </c>
      <c r="D3536" s="4">
        <v>12</v>
      </c>
      <c r="E3536" s="4" t="s">
        <v>1208</v>
      </c>
      <c r="F3536" s="4" t="s">
        <v>1381</v>
      </c>
    </row>
    <row r="3537" spans="1:6">
      <c r="A3537" s="4" t="s">
        <v>7451</v>
      </c>
      <c r="B3537" s="6" t="s">
        <v>7446</v>
      </c>
      <c r="C3537" s="4" t="s">
        <v>544</v>
      </c>
      <c r="D3537" s="4">
        <v>12</v>
      </c>
      <c r="E3537" s="4" t="s">
        <v>1208</v>
      </c>
      <c r="F3537" s="4" t="s">
        <v>7452</v>
      </c>
    </row>
    <row r="3538" spans="1:6">
      <c r="A3538" s="4" t="s">
        <v>7453</v>
      </c>
      <c r="B3538" s="6" t="s">
        <v>7446</v>
      </c>
      <c r="C3538" s="4" t="s">
        <v>427</v>
      </c>
      <c r="D3538" s="4">
        <v>15</v>
      </c>
      <c r="E3538" s="4" t="s">
        <v>1208</v>
      </c>
      <c r="F3538" s="4" t="s">
        <v>7454</v>
      </c>
    </row>
    <row r="3539" spans="1:6">
      <c r="A3539" s="4" t="s">
        <v>7455</v>
      </c>
      <c r="B3539" s="6" t="s">
        <v>7446</v>
      </c>
      <c r="C3539" s="4" t="s">
        <v>45</v>
      </c>
      <c r="D3539" s="4">
        <v>12</v>
      </c>
      <c r="E3539" s="4" t="s">
        <v>1208</v>
      </c>
    </row>
    <row r="3540" spans="1:6">
      <c r="A3540" s="4" t="s">
        <v>7456</v>
      </c>
      <c r="B3540" s="6" t="s">
        <v>7446</v>
      </c>
      <c r="C3540" s="4" t="s">
        <v>45</v>
      </c>
      <c r="D3540" s="4">
        <v>14</v>
      </c>
      <c r="E3540" s="4" t="s">
        <v>4871</v>
      </c>
      <c r="F3540" s="4" t="s">
        <v>7449</v>
      </c>
    </row>
    <row r="3541" spans="1:6">
      <c r="A3541" s="4" t="s">
        <v>7457</v>
      </c>
      <c r="B3541" s="6" t="s">
        <v>7458</v>
      </c>
      <c r="C3541" s="4" t="s">
        <v>544</v>
      </c>
      <c r="D3541" s="4">
        <v>19</v>
      </c>
      <c r="E3541" s="4" t="s">
        <v>1064</v>
      </c>
    </row>
    <row r="3542" spans="1:6">
      <c r="A3542" s="4" t="s">
        <v>7459</v>
      </c>
      <c r="B3542" s="6" t="s">
        <v>7458</v>
      </c>
      <c r="C3542" s="4" t="s">
        <v>544</v>
      </c>
      <c r="D3542" s="4">
        <v>21</v>
      </c>
      <c r="E3542" s="4" t="s">
        <v>1064</v>
      </c>
    </row>
    <row r="3543" spans="1:6">
      <c r="A3543" s="4" t="s">
        <v>7460</v>
      </c>
      <c r="B3543" s="6" t="s">
        <v>7458</v>
      </c>
      <c r="C3543" s="4" t="s">
        <v>2474</v>
      </c>
      <c r="D3543" s="4">
        <v>6</v>
      </c>
      <c r="E3543" s="4" t="s">
        <v>1064</v>
      </c>
      <c r="F3543" s="4" t="s">
        <v>7461</v>
      </c>
    </row>
    <row r="3544" spans="1:6">
      <c r="A3544" s="4" t="s">
        <v>7462</v>
      </c>
      <c r="B3544" s="6" t="s">
        <v>7463</v>
      </c>
      <c r="C3544" s="4" t="s">
        <v>254</v>
      </c>
      <c r="D3544" s="4">
        <v>5</v>
      </c>
      <c r="E3544" s="4" t="s">
        <v>1064</v>
      </c>
    </row>
    <row r="3545" spans="1:6">
      <c r="A3545" s="4" t="s">
        <v>7464</v>
      </c>
      <c r="B3545" s="6" t="s">
        <v>7463</v>
      </c>
      <c r="C3545" s="4" t="s">
        <v>1129</v>
      </c>
      <c r="D3545" s="4">
        <v>17</v>
      </c>
      <c r="E3545" s="4" t="s">
        <v>1064</v>
      </c>
      <c r="F3545" s="4" t="s">
        <v>7465</v>
      </c>
    </row>
    <row r="3546" spans="1:6">
      <c r="A3546" s="4" t="s">
        <v>7466</v>
      </c>
      <c r="B3546" s="6" t="s">
        <v>7463</v>
      </c>
      <c r="C3546" s="4" t="s">
        <v>976</v>
      </c>
      <c r="D3546" s="4">
        <v>6</v>
      </c>
      <c r="E3546" s="4" t="s">
        <v>1064</v>
      </c>
      <c r="F3546" s="4" t="s">
        <v>3863</v>
      </c>
    </row>
    <row r="3547" spans="1:6">
      <c r="A3547" s="4" t="s">
        <v>7467</v>
      </c>
      <c r="B3547" s="6" t="s">
        <v>7463</v>
      </c>
      <c r="C3547" s="4" t="s">
        <v>1078</v>
      </c>
      <c r="D3547" s="4">
        <v>8</v>
      </c>
      <c r="E3547" s="4" t="s">
        <v>6251</v>
      </c>
    </row>
    <row r="3548" spans="1:6">
      <c r="A3548" s="4" t="s">
        <v>7468</v>
      </c>
      <c r="B3548" s="6" t="s">
        <v>7463</v>
      </c>
      <c r="C3548" s="4" t="s">
        <v>254</v>
      </c>
      <c r="D3548" s="4">
        <v>14</v>
      </c>
      <c r="E3548" s="4" t="s">
        <v>1064</v>
      </c>
    </row>
    <row r="3549" spans="1:6">
      <c r="A3549" s="4" t="s">
        <v>7469</v>
      </c>
      <c r="B3549" s="6" t="s">
        <v>7470</v>
      </c>
      <c r="C3549" s="4" t="s">
        <v>87</v>
      </c>
      <c r="D3549" s="4">
        <v>10</v>
      </c>
      <c r="E3549" s="4" t="s">
        <v>1064</v>
      </c>
      <c r="F3549" s="4" t="s">
        <v>7471</v>
      </c>
    </row>
    <row r="3550" spans="1:6">
      <c r="A3550" s="4" t="s">
        <v>7472</v>
      </c>
      <c r="B3550" s="6" t="s">
        <v>7473</v>
      </c>
      <c r="C3550" s="4" t="s">
        <v>686</v>
      </c>
      <c r="D3550" s="4">
        <v>13</v>
      </c>
      <c r="E3550" s="4" t="s">
        <v>1064</v>
      </c>
      <c r="F3550" s="4" t="s">
        <v>1198</v>
      </c>
    </row>
    <row r="3551" spans="1:6">
      <c r="A3551" s="4" t="s">
        <v>7474</v>
      </c>
      <c r="B3551" s="6" t="s">
        <v>7475</v>
      </c>
      <c r="C3551" s="4" t="s">
        <v>87</v>
      </c>
      <c r="D3551" s="4">
        <v>10</v>
      </c>
      <c r="E3551" s="4" t="s">
        <v>1069</v>
      </c>
      <c r="F3551" s="4" t="s">
        <v>7476</v>
      </c>
    </row>
    <row r="3552" spans="1:6">
      <c r="A3552" s="4" t="s">
        <v>7477</v>
      </c>
      <c r="B3552" s="6" t="s">
        <v>7475</v>
      </c>
      <c r="C3552" s="4" t="s">
        <v>485</v>
      </c>
      <c r="D3552" s="4">
        <v>12</v>
      </c>
      <c r="E3552" s="4" t="s">
        <v>1069</v>
      </c>
    </row>
    <row r="3553" spans="1:6">
      <c r="A3553" s="4" t="s">
        <v>7478</v>
      </c>
      <c r="B3553" s="6" t="s">
        <v>7475</v>
      </c>
      <c r="C3553" s="4" t="s">
        <v>686</v>
      </c>
      <c r="D3553" s="4">
        <v>12</v>
      </c>
      <c r="E3553" s="4" t="s">
        <v>1069</v>
      </c>
      <c r="F3553" s="4" t="s">
        <v>7479</v>
      </c>
    </row>
    <row r="3554" spans="1:6">
      <c r="A3554" s="4" t="s">
        <v>7480</v>
      </c>
      <c r="B3554" s="6" t="s">
        <v>7475</v>
      </c>
      <c r="C3554" s="4" t="s">
        <v>45</v>
      </c>
      <c r="D3554" s="4">
        <v>10</v>
      </c>
      <c r="E3554" s="4" t="s">
        <v>1069</v>
      </c>
      <c r="F3554" s="4" t="s">
        <v>7481</v>
      </c>
    </row>
    <row r="3555" spans="1:6">
      <c r="A3555" s="4" t="s">
        <v>7482</v>
      </c>
      <c r="B3555" s="6" t="s">
        <v>7475</v>
      </c>
      <c r="C3555" s="4" t="s">
        <v>354</v>
      </c>
      <c r="D3555" s="4">
        <v>7</v>
      </c>
      <c r="E3555" s="4" t="s">
        <v>1069</v>
      </c>
    </row>
    <row r="3556" spans="1:6">
      <c r="A3556" s="4" t="s">
        <v>5784</v>
      </c>
      <c r="B3556" s="6" t="s">
        <v>7475</v>
      </c>
    </row>
    <row r="3557" spans="1:6">
      <c r="A3557" s="4" t="s">
        <v>7483</v>
      </c>
      <c r="B3557" s="6" t="s">
        <v>7475</v>
      </c>
      <c r="C3557" s="4" t="s">
        <v>81</v>
      </c>
      <c r="D3557" s="4">
        <v>10</v>
      </c>
      <c r="E3557" s="4" t="s">
        <v>1069</v>
      </c>
    </row>
    <row r="3558" spans="1:6">
      <c r="A3558" s="4" t="s">
        <v>7484</v>
      </c>
      <c r="B3558" s="6" t="s">
        <v>7475</v>
      </c>
      <c r="C3558" s="4" t="s">
        <v>53</v>
      </c>
      <c r="D3558" s="4">
        <v>12</v>
      </c>
      <c r="E3558" s="4" t="s">
        <v>1069</v>
      </c>
    </row>
    <row r="3559" spans="1:6">
      <c r="A3559" s="4" t="s">
        <v>7485</v>
      </c>
      <c r="B3559" s="6" t="s">
        <v>7475</v>
      </c>
      <c r="C3559" s="4" t="s">
        <v>315</v>
      </c>
      <c r="D3559" s="4">
        <v>15</v>
      </c>
      <c r="E3559" s="4" t="s">
        <v>1069</v>
      </c>
    </row>
    <row r="3560" spans="1:6">
      <c r="A3560" s="4" t="s">
        <v>7486</v>
      </c>
      <c r="B3560" s="6" t="s">
        <v>7475</v>
      </c>
      <c r="C3560" s="4" t="s">
        <v>1129</v>
      </c>
      <c r="D3560" s="4">
        <v>18</v>
      </c>
      <c r="E3560" s="4" t="s">
        <v>1069</v>
      </c>
      <c r="F3560" s="4" t="s">
        <v>1652</v>
      </c>
    </row>
    <row r="3561" spans="1:6">
      <c r="A3561" s="4" t="s">
        <v>7487</v>
      </c>
      <c r="B3561" s="6" t="s">
        <v>7475</v>
      </c>
      <c r="C3561" s="4" t="s">
        <v>23</v>
      </c>
      <c r="D3561" s="4">
        <v>10</v>
      </c>
      <c r="E3561" s="4" t="s">
        <v>6197</v>
      </c>
    </row>
    <row r="3562" spans="1:6">
      <c r="A3562" s="4" t="s">
        <v>7488</v>
      </c>
      <c r="B3562" s="6" t="s">
        <v>7475</v>
      </c>
      <c r="C3562" s="4" t="s">
        <v>63</v>
      </c>
      <c r="D3562" s="4">
        <v>15</v>
      </c>
      <c r="E3562" s="4" t="s">
        <v>1069</v>
      </c>
    </row>
    <row r="3563" spans="1:6">
      <c r="A3563" s="4" t="s">
        <v>7489</v>
      </c>
      <c r="B3563" s="6" t="s">
        <v>7475</v>
      </c>
      <c r="C3563" s="4" t="s">
        <v>520</v>
      </c>
      <c r="D3563" s="4">
        <v>11</v>
      </c>
      <c r="E3563" s="4" t="s">
        <v>1069</v>
      </c>
    </row>
    <row r="3564" spans="1:6">
      <c r="A3564" s="4" t="s">
        <v>7490</v>
      </c>
      <c r="B3564" s="6" t="s">
        <v>7491</v>
      </c>
      <c r="C3564" s="4" t="s">
        <v>254</v>
      </c>
      <c r="D3564" s="4">
        <v>14</v>
      </c>
      <c r="E3564" s="4" t="s">
        <v>1064</v>
      </c>
    </row>
    <row r="3565" spans="1:6">
      <c r="A3565" s="4" t="s">
        <v>7492</v>
      </c>
      <c r="B3565" s="6" t="s">
        <v>7491</v>
      </c>
      <c r="C3565" s="4" t="s">
        <v>254</v>
      </c>
      <c r="D3565" s="4">
        <v>14</v>
      </c>
      <c r="E3565" s="4" t="s">
        <v>1064</v>
      </c>
    </row>
    <row r="3566" spans="1:6">
      <c r="A3566" s="4" t="s">
        <v>7493</v>
      </c>
      <c r="B3566" s="6" t="s">
        <v>7494</v>
      </c>
      <c r="C3566" s="4" t="s">
        <v>49</v>
      </c>
      <c r="D3566" s="4">
        <v>16</v>
      </c>
      <c r="E3566" s="4" t="s">
        <v>1064</v>
      </c>
      <c r="F3566" s="4" t="s">
        <v>7495</v>
      </c>
    </row>
    <row r="3567" spans="1:6">
      <c r="A3567" s="4" t="s">
        <v>7496</v>
      </c>
      <c r="B3567" s="6" t="s">
        <v>7497</v>
      </c>
      <c r="C3567" s="4" t="s">
        <v>275</v>
      </c>
      <c r="D3567" s="4">
        <v>11</v>
      </c>
      <c r="E3567" s="4" t="s">
        <v>989</v>
      </c>
      <c r="F3567" s="4" t="s">
        <v>7498</v>
      </c>
    </row>
    <row r="3568" spans="1:6">
      <c r="A3568" s="4" t="s">
        <v>7499</v>
      </c>
      <c r="B3568" s="6" t="s">
        <v>7500</v>
      </c>
      <c r="C3568" s="4" t="s">
        <v>34</v>
      </c>
      <c r="D3568" s="4">
        <v>11</v>
      </c>
      <c r="E3568" s="4" t="s">
        <v>1187</v>
      </c>
      <c r="F3568" s="4" t="s">
        <v>3375</v>
      </c>
    </row>
    <row r="3569" spans="1:6">
      <c r="A3569" s="4" t="s">
        <v>7501</v>
      </c>
      <c r="B3569" s="6" t="s">
        <v>7500</v>
      </c>
      <c r="C3569" s="4" t="s">
        <v>53</v>
      </c>
      <c r="D3569" s="4">
        <v>13</v>
      </c>
      <c r="E3569" s="4" t="s">
        <v>7502</v>
      </c>
      <c r="F3569" s="4" t="s">
        <v>7503</v>
      </c>
    </row>
    <row r="3570" spans="1:6">
      <c r="A3570" s="4" t="s">
        <v>7504</v>
      </c>
      <c r="B3570" s="6" t="s">
        <v>7500</v>
      </c>
      <c r="C3570" s="4" t="s">
        <v>53</v>
      </c>
      <c r="D3570" s="4">
        <v>12</v>
      </c>
      <c r="E3570" s="4" t="s">
        <v>1187</v>
      </c>
    </row>
    <row r="3571" spans="1:6">
      <c r="A3571" s="4" t="s">
        <v>7505</v>
      </c>
      <c r="B3571" s="6" t="s">
        <v>7500</v>
      </c>
      <c r="C3571" s="4" t="s">
        <v>87</v>
      </c>
      <c r="D3571" s="4">
        <v>10</v>
      </c>
      <c r="E3571" s="4" t="s">
        <v>1483</v>
      </c>
    </row>
    <row r="3572" spans="1:6">
      <c r="A3572" s="4" t="s">
        <v>7506</v>
      </c>
      <c r="B3572" s="6" t="s">
        <v>7507</v>
      </c>
      <c r="C3572" s="4" t="s">
        <v>708</v>
      </c>
      <c r="D3572" s="4">
        <v>8</v>
      </c>
      <c r="E3572" s="4" t="s">
        <v>1378</v>
      </c>
      <c r="F3572" s="4" t="s">
        <v>1979</v>
      </c>
    </row>
    <row r="3573" spans="1:6">
      <c r="A3573" s="4" t="s">
        <v>7508</v>
      </c>
      <c r="B3573" s="6" t="s">
        <v>7507</v>
      </c>
      <c r="C3573" s="4" t="s">
        <v>403</v>
      </c>
      <c r="D3573" s="4">
        <v>13</v>
      </c>
      <c r="E3573" s="4" t="s">
        <v>7509</v>
      </c>
      <c r="F3573" s="4" t="s">
        <v>7510</v>
      </c>
    </row>
    <row r="3574" spans="1:6">
      <c r="A3574" s="4" t="s">
        <v>7511</v>
      </c>
      <c r="B3574" s="6" t="s">
        <v>7507</v>
      </c>
      <c r="C3574" s="4" t="s">
        <v>53</v>
      </c>
      <c r="D3574" s="4">
        <v>13</v>
      </c>
      <c r="E3574" s="4" t="s">
        <v>1187</v>
      </c>
      <c r="F3574" s="4" t="s">
        <v>7512</v>
      </c>
    </row>
    <row r="3575" spans="1:6">
      <c r="A3575" s="4" t="s">
        <v>7513</v>
      </c>
      <c r="B3575" s="6" t="s">
        <v>7507</v>
      </c>
      <c r="C3575" s="4" t="s">
        <v>223</v>
      </c>
      <c r="D3575" s="4">
        <v>17</v>
      </c>
      <c r="E3575" s="4" t="s">
        <v>1187</v>
      </c>
    </row>
    <row r="3576" spans="1:6">
      <c r="A3576" s="4" t="s">
        <v>173</v>
      </c>
      <c r="B3576" s="6" t="s">
        <v>7507</v>
      </c>
      <c r="C3576" s="4" t="s">
        <v>173</v>
      </c>
      <c r="D3576" s="4">
        <v>2</v>
      </c>
      <c r="E3576" s="4" t="s">
        <v>7509</v>
      </c>
    </row>
    <row r="3577" spans="1:6">
      <c r="A3577" s="4" t="s">
        <v>7514</v>
      </c>
      <c r="B3577" s="6" t="s">
        <v>7507</v>
      </c>
      <c r="C3577" s="4" t="s">
        <v>87</v>
      </c>
      <c r="D3577" s="4">
        <v>9</v>
      </c>
      <c r="E3577" s="4" t="s">
        <v>7515</v>
      </c>
      <c r="F3577" s="4" t="s">
        <v>7516</v>
      </c>
    </row>
    <row r="3578" spans="1:6">
      <c r="A3578" s="4" t="s">
        <v>7517</v>
      </c>
      <c r="B3578" s="6" t="s">
        <v>7507</v>
      </c>
      <c r="C3578" s="4" t="s">
        <v>605</v>
      </c>
      <c r="D3578" s="4">
        <v>10</v>
      </c>
      <c r="E3578" s="4" t="s">
        <v>1187</v>
      </c>
      <c r="F3578" s="4" t="s">
        <v>7518</v>
      </c>
    </row>
    <row r="3579" spans="1:6">
      <c r="A3579" s="4" t="s">
        <v>7519</v>
      </c>
      <c r="B3579" s="6" t="s">
        <v>7520</v>
      </c>
      <c r="C3579" s="4" t="s">
        <v>87</v>
      </c>
      <c r="D3579" s="4">
        <v>8</v>
      </c>
      <c r="E3579" s="4" t="s">
        <v>465</v>
      </c>
    </row>
    <row r="3580" spans="1:6">
      <c r="A3580" s="4" t="s">
        <v>7521</v>
      </c>
      <c r="B3580" s="6" t="s">
        <v>7522</v>
      </c>
      <c r="C3580" s="4" t="s">
        <v>87</v>
      </c>
      <c r="D3580" s="4">
        <v>8</v>
      </c>
      <c r="E3580" s="4" t="s">
        <v>7523</v>
      </c>
    </row>
    <row r="3581" spans="1:6">
      <c r="A3581" s="4" t="s">
        <v>7524</v>
      </c>
      <c r="B3581" s="6" t="s">
        <v>7525</v>
      </c>
      <c r="C3581" s="4" t="s">
        <v>403</v>
      </c>
      <c r="D3581" s="4">
        <v>10</v>
      </c>
      <c r="E3581" s="4" t="s">
        <v>1069</v>
      </c>
      <c r="F3581" s="4" t="s">
        <v>7526</v>
      </c>
    </row>
    <row r="3582" spans="1:6">
      <c r="A3582" s="4" t="s">
        <v>7527</v>
      </c>
      <c r="B3582" s="6" t="s">
        <v>7525</v>
      </c>
      <c r="C3582" s="4" t="s">
        <v>23</v>
      </c>
      <c r="D3582" s="4">
        <v>9</v>
      </c>
      <c r="E3582" s="4" t="s">
        <v>1069</v>
      </c>
      <c r="F3582" s="4" t="s">
        <v>7528</v>
      </c>
    </row>
    <row r="3583" spans="1:6">
      <c r="A3583" s="4" t="s">
        <v>7529</v>
      </c>
      <c r="B3583" s="6" t="s">
        <v>7530</v>
      </c>
      <c r="C3583" s="4" t="s">
        <v>285</v>
      </c>
      <c r="D3583" s="4">
        <v>10</v>
      </c>
      <c r="E3583" s="4" t="s">
        <v>1069</v>
      </c>
    </row>
    <row r="3584" spans="1:6">
      <c r="A3584" s="4" t="s">
        <v>7531</v>
      </c>
      <c r="B3584" s="6" t="s">
        <v>7532</v>
      </c>
      <c r="C3584" s="4" t="s">
        <v>87</v>
      </c>
      <c r="D3584" s="4">
        <v>15</v>
      </c>
      <c r="E3584" s="4" t="s">
        <v>1064</v>
      </c>
      <c r="F3584" s="4" t="s">
        <v>7533</v>
      </c>
    </row>
    <row r="3585" spans="1:6">
      <c r="A3585" s="4" t="s">
        <v>7534</v>
      </c>
      <c r="B3585" s="6" t="s">
        <v>7535</v>
      </c>
      <c r="C3585" s="4" t="s">
        <v>315</v>
      </c>
      <c r="D3585" s="4">
        <v>14</v>
      </c>
      <c r="E3585" s="4" t="s">
        <v>1064</v>
      </c>
      <c r="F3585" s="4" t="s">
        <v>7536</v>
      </c>
    </row>
    <row r="3586" spans="1:6">
      <c r="A3586" s="4" t="s">
        <v>7537</v>
      </c>
      <c r="B3586" s="6" t="s">
        <v>7535</v>
      </c>
      <c r="C3586" s="4" t="s">
        <v>271</v>
      </c>
      <c r="D3586" s="4">
        <v>9</v>
      </c>
      <c r="E3586" s="4" t="s">
        <v>5300</v>
      </c>
      <c r="F3586" s="4" t="s">
        <v>7538</v>
      </c>
    </row>
    <row r="3587" spans="1:6">
      <c r="A3587" s="4" t="s">
        <v>7539</v>
      </c>
      <c r="B3587" s="6" t="s">
        <v>7540</v>
      </c>
      <c r="C3587" s="4" t="s">
        <v>485</v>
      </c>
      <c r="D3587" s="4">
        <v>17</v>
      </c>
      <c r="E3587" s="4" t="s">
        <v>1069</v>
      </c>
    </row>
    <row r="3588" spans="1:6">
      <c r="A3588" s="4" t="s">
        <v>7541</v>
      </c>
      <c r="B3588" s="6" t="s">
        <v>7540</v>
      </c>
      <c r="C3588" s="4" t="s">
        <v>81</v>
      </c>
      <c r="D3588" s="4">
        <v>15</v>
      </c>
      <c r="E3588" s="4" t="s">
        <v>1069</v>
      </c>
    </row>
    <row r="3589" spans="1:6">
      <c r="A3589" s="4" t="s">
        <v>7542</v>
      </c>
      <c r="B3589" s="6" t="s">
        <v>7540</v>
      </c>
      <c r="C3589" s="4" t="s">
        <v>53</v>
      </c>
      <c r="D3589" s="4">
        <v>16</v>
      </c>
      <c r="E3589" s="4" t="s">
        <v>1069</v>
      </c>
      <c r="F3589" s="4" t="s">
        <v>7543</v>
      </c>
    </row>
    <row r="3590" spans="1:6">
      <c r="A3590" s="4" t="s">
        <v>7544</v>
      </c>
      <c r="B3590" s="6" t="s">
        <v>7540</v>
      </c>
      <c r="C3590" s="4" t="s">
        <v>104</v>
      </c>
      <c r="D3590" s="4">
        <v>10</v>
      </c>
      <c r="E3590" s="4" t="s">
        <v>2161</v>
      </c>
    </row>
    <row r="3591" spans="1:6">
      <c r="A3591" s="4" t="s">
        <v>7545</v>
      </c>
      <c r="B3591" s="6" t="s">
        <v>7546</v>
      </c>
      <c r="C3591" s="4" t="s">
        <v>315</v>
      </c>
      <c r="D3591" s="4">
        <v>14</v>
      </c>
      <c r="E3591" s="4" t="s">
        <v>1064</v>
      </c>
    </row>
    <row r="3592" spans="1:6">
      <c r="A3592" s="4" t="s">
        <v>7547</v>
      </c>
      <c r="B3592" s="6" t="s">
        <v>7546</v>
      </c>
      <c r="C3592" s="4" t="s">
        <v>76</v>
      </c>
      <c r="D3592" s="4">
        <v>22</v>
      </c>
      <c r="E3592" s="4" t="s">
        <v>1064</v>
      </c>
    </row>
    <row r="3593" spans="1:6">
      <c r="A3593" s="4" t="s">
        <v>7548</v>
      </c>
      <c r="B3593" s="6" t="s">
        <v>7546</v>
      </c>
      <c r="C3593" s="4" t="s">
        <v>49</v>
      </c>
      <c r="D3593" s="4">
        <v>20</v>
      </c>
      <c r="E3593" s="4" t="s">
        <v>1064</v>
      </c>
    </row>
    <row r="3594" spans="1:6">
      <c r="A3594" s="4" t="s">
        <v>2474</v>
      </c>
      <c r="B3594" s="6" t="s">
        <v>7549</v>
      </c>
      <c r="C3594" s="4" t="s">
        <v>2474</v>
      </c>
      <c r="D3594" s="4">
        <v>3</v>
      </c>
      <c r="E3594" s="4" t="s">
        <v>1069</v>
      </c>
      <c r="F3594" s="4" t="s">
        <v>7550</v>
      </c>
    </row>
    <row r="3595" spans="1:6">
      <c r="A3595" s="4" t="s">
        <v>7551</v>
      </c>
      <c r="B3595" s="6" t="s">
        <v>7552</v>
      </c>
      <c r="C3595" s="4" t="s">
        <v>439</v>
      </c>
      <c r="D3595" s="4">
        <v>13</v>
      </c>
      <c r="E3595" s="4" t="s">
        <v>1064</v>
      </c>
    </row>
    <row r="3596" spans="1:6">
      <c r="A3596" s="4" t="s">
        <v>7553</v>
      </c>
      <c r="B3596" s="6" t="s">
        <v>7552</v>
      </c>
      <c r="C3596" s="4" t="s">
        <v>34</v>
      </c>
      <c r="D3596" s="4">
        <v>12</v>
      </c>
      <c r="E3596" s="4" t="s">
        <v>1064</v>
      </c>
      <c r="F3596" s="4" t="s">
        <v>7554</v>
      </c>
    </row>
    <row r="3597" spans="1:6">
      <c r="A3597" s="4" t="s">
        <v>7555</v>
      </c>
      <c r="B3597" s="6" t="s">
        <v>7552</v>
      </c>
      <c r="C3597" s="4" t="s">
        <v>34</v>
      </c>
      <c r="D3597" s="4">
        <v>18</v>
      </c>
      <c r="E3597" s="4" t="s">
        <v>1064</v>
      </c>
    </row>
    <row r="3598" spans="1:6">
      <c r="A3598" s="4" t="s">
        <v>7556</v>
      </c>
      <c r="B3598" s="6" t="s">
        <v>7552</v>
      </c>
      <c r="C3598" s="4" t="s">
        <v>1679</v>
      </c>
      <c r="D3598" s="4">
        <v>15</v>
      </c>
      <c r="E3598" s="4" t="s">
        <v>1064</v>
      </c>
    </row>
    <row r="3599" spans="1:6">
      <c r="A3599" s="4" t="s">
        <v>7557</v>
      </c>
      <c r="B3599" s="6" t="s">
        <v>7558</v>
      </c>
      <c r="C3599" s="4" t="s">
        <v>271</v>
      </c>
      <c r="D3599" s="4">
        <v>13</v>
      </c>
      <c r="E3599" s="4" t="s">
        <v>6232</v>
      </c>
    </row>
    <row r="3600" spans="1:6">
      <c r="A3600" s="4" t="s">
        <v>7559</v>
      </c>
      <c r="B3600" s="6" t="s">
        <v>7558</v>
      </c>
      <c r="C3600" s="4" t="s">
        <v>705</v>
      </c>
      <c r="D3600" s="4">
        <v>13</v>
      </c>
      <c r="E3600" s="4" t="s">
        <v>6192</v>
      </c>
    </row>
    <row r="3601" spans="1:6">
      <c r="A3601" s="4" t="s">
        <v>7560</v>
      </c>
      <c r="B3601" s="6" t="s">
        <v>7561</v>
      </c>
      <c r="C3601" s="4" t="s">
        <v>301</v>
      </c>
      <c r="D3601" s="4">
        <v>17</v>
      </c>
      <c r="E3601" s="4" t="s">
        <v>5297</v>
      </c>
    </row>
    <row r="3602" spans="1:6">
      <c r="A3602" s="4" t="s">
        <v>7562</v>
      </c>
      <c r="B3602" s="6" t="s">
        <v>7563</v>
      </c>
      <c r="C3602" s="4" t="s">
        <v>87</v>
      </c>
      <c r="D3602" s="4">
        <v>14</v>
      </c>
      <c r="E3602" s="4" t="s">
        <v>7564</v>
      </c>
      <c r="F3602" s="4" t="s">
        <v>7565</v>
      </c>
    </row>
    <row r="3603" spans="1:6">
      <c r="A3603" s="4" t="s">
        <v>7566</v>
      </c>
      <c r="B3603" s="6" t="s">
        <v>7567</v>
      </c>
      <c r="C3603" s="4" t="s">
        <v>254</v>
      </c>
      <c r="D3603" s="4">
        <v>9</v>
      </c>
      <c r="E3603" s="4" t="s">
        <v>7568</v>
      </c>
      <c r="F3603" s="4" t="s">
        <v>7569</v>
      </c>
    </row>
    <row r="3604" spans="1:6">
      <c r="A3604" s="4" t="s">
        <v>7570</v>
      </c>
      <c r="B3604" s="6" t="s">
        <v>7567</v>
      </c>
      <c r="C3604" s="4" t="s">
        <v>271</v>
      </c>
      <c r="D3604" s="4">
        <v>12</v>
      </c>
      <c r="E3604" s="4" t="s">
        <v>1064</v>
      </c>
    </row>
    <row r="3605" spans="1:6">
      <c r="A3605" s="4" t="s">
        <v>7571</v>
      </c>
      <c r="B3605" s="6" t="s">
        <v>7572</v>
      </c>
      <c r="C3605" s="4" t="s">
        <v>34</v>
      </c>
      <c r="D3605" s="4">
        <v>11</v>
      </c>
      <c r="E3605" s="4" t="s">
        <v>1069</v>
      </c>
    </row>
    <row r="3606" spans="1:6">
      <c r="A3606" s="4" t="s">
        <v>7573</v>
      </c>
      <c r="B3606" s="6" t="s">
        <v>7574</v>
      </c>
      <c r="C3606" s="4" t="s">
        <v>1211</v>
      </c>
      <c r="D3606" s="4">
        <v>14</v>
      </c>
      <c r="E3606" s="4" t="s">
        <v>1043</v>
      </c>
    </row>
    <row r="3607" spans="1:6">
      <c r="A3607" s="4" t="s">
        <v>7575</v>
      </c>
      <c r="B3607" s="6" t="s">
        <v>7574</v>
      </c>
      <c r="C3607" s="4" t="s">
        <v>104</v>
      </c>
      <c r="D3607" s="4">
        <v>9</v>
      </c>
      <c r="E3607" s="4" t="s">
        <v>1110</v>
      </c>
      <c r="F3607" s="4" t="s">
        <v>7576</v>
      </c>
    </row>
    <row r="3608" spans="1:6">
      <c r="A3608" s="4" t="s">
        <v>7577</v>
      </c>
      <c r="B3608" s="6" t="s">
        <v>7574</v>
      </c>
      <c r="C3608" s="4" t="s">
        <v>104</v>
      </c>
      <c r="D3608" s="4">
        <v>12</v>
      </c>
      <c r="E3608" s="4" t="s">
        <v>1069</v>
      </c>
    </row>
    <row r="3609" spans="1:6">
      <c r="A3609" s="4" t="s">
        <v>7578</v>
      </c>
      <c r="B3609" s="6" t="s">
        <v>7574</v>
      </c>
      <c r="C3609" s="4" t="s">
        <v>81</v>
      </c>
      <c r="D3609" s="4">
        <v>12</v>
      </c>
      <c r="E3609" s="4" t="s">
        <v>1114</v>
      </c>
    </row>
    <row r="3610" spans="1:6">
      <c r="A3610" s="4" t="s">
        <v>7579</v>
      </c>
      <c r="B3610" s="6" t="s">
        <v>7574</v>
      </c>
      <c r="C3610" s="4" t="s">
        <v>296</v>
      </c>
      <c r="D3610" s="4">
        <v>11</v>
      </c>
      <c r="E3610" s="4" t="s">
        <v>1043</v>
      </c>
    </row>
    <row r="3611" spans="1:6">
      <c r="A3611" s="4" t="s">
        <v>7580</v>
      </c>
      <c r="B3611" s="6" t="s">
        <v>7574</v>
      </c>
      <c r="C3611" s="4" t="s">
        <v>427</v>
      </c>
      <c r="D3611" s="4">
        <v>14</v>
      </c>
      <c r="E3611" s="4" t="s">
        <v>1043</v>
      </c>
    </row>
    <row r="3612" spans="1:6">
      <c r="A3612" s="4" t="s">
        <v>7581</v>
      </c>
      <c r="B3612" s="6" t="s">
        <v>7582</v>
      </c>
      <c r="C3612" s="4" t="s">
        <v>87</v>
      </c>
      <c r="D3612" s="4">
        <v>15</v>
      </c>
      <c r="E3612" s="4" t="s">
        <v>1107</v>
      </c>
      <c r="F3612" s="4" t="s">
        <v>2972</v>
      </c>
    </row>
    <row r="3613" spans="1:6">
      <c r="A3613" s="4" t="s">
        <v>7583</v>
      </c>
      <c r="B3613" s="6" t="s">
        <v>7582</v>
      </c>
      <c r="C3613" s="4" t="s">
        <v>458</v>
      </c>
      <c r="D3613" s="4">
        <v>16</v>
      </c>
      <c r="E3613" s="4" t="s">
        <v>1107</v>
      </c>
      <c r="F3613" s="4" t="s">
        <v>7584</v>
      </c>
    </row>
    <row r="3614" spans="1:6">
      <c r="A3614" s="4" t="s">
        <v>7585</v>
      </c>
      <c r="B3614" s="6" t="s">
        <v>7582</v>
      </c>
      <c r="C3614" s="4" t="s">
        <v>301</v>
      </c>
      <c r="D3614" s="4">
        <v>17</v>
      </c>
      <c r="E3614" s="4" t="s">
        <v>1107</v>
      </c>
    </row>
    <row r="3615" spans="1:6">
      <c r="A3615" s="4" t="s">
        <v>7586</v>
      </c>
      <c r="B3615" s="6" t="s">
        <v>7582</v>
      </c>
      <c r="C3615" s="4" t="s">
        <v>439</v>
      </c>
      <c r="D3615" s="4">
        <v>13</v>
      </c>
      <c r="E3615" s="4" t="s">
        <v>7587</v>
      </c>
      <c r="F3615" s="4" t="s">
        <v>1142</v>
      </c>
    </row>
    <row r="3616" spans="1:6">
      <c r="A3616" s="4" t="s">
        <v>7588</v>
      </c>
      <c r="B3616" s="6" t="s">
        <v>7582</v>
      </c>
      <c r="C3616" s="4" t="s">
        <v>81</v>
      </c>
      <c r="D3616" s="4">
        <v>11</v>
      </c>
      <c r="E3616" s="4" t="s">
        <v>1107</v>
      </c>
      <c r="F3616" s="4" t="s">
        <v>7589</v>
      </c>
    </row>
    <row r="3617" spans="1:6">
      <c r="A3617" s="4" t="s">
        <v>7590</v>
      </c>
      <c r="B3617" s="6" t="s">
        <v>7582</v>
      </c>
      <c r="C3617" s="4" t="s">
        <v>104</v>
      </c>
      <c r="D3617" s="4">
        <v>8</v>
      </c>
      <c r="E3617" s="4" t="s">
        <v>7100</v>
      </c>
      <c r="F3617" s="4" t="s">
        <v>7591</v>
      </c>
    </row>
    <row r="3618" spans="1:6">
      <c r="A3618" s="4" t="s">
        <v>7592</v>
      </c>
      <c r="B3618" s="6" t="s">
        <v>7582</v>
      </c>
      <c r="C3618" s="4" t="s">
        <v>53</v>
      </c>
      <c r="D3618" s="4">
        <v>8</v>
      </c>
      <c r="E3618" s="4" t="s">
        <v>1107</v>
      </c>
    </row>
    <row r="3619" spans="1:6">
      <c r="A3619" s="4" t="s">
        <v>7593</v>
      </c>
      <c r="B3619" s="6" t="s">
        <v>7582</v>
      </c>
      <c r="C3619" s="4" t="s">
        <v>315</v>
      </c>
      <c r="D3619" s="4">
        <v>16</v>
      </c>
      <c r="E3619" s="4" t="s">
        <v>7100</v>
      </c>
      <c r="F3619" s="4" t="s">
        <v>4173</v>
      </c>
    </row>
    <row r="3620" spans="1:6">
      <c r="A3620" s="4" t="s">
        <v>7594</v>
      </c>
      <c r="B3620" s="6" t="s">
        <v>7582</v>
      </c>
      <c r="C3620" s="4" t="s">
        <v>104</v>
      </c>
      <c r="D3620" s="4">
        <v>12</v>
      </c>
      <c r="E3620" s="4" t="s">
        <v>1107</v>
      </c>
    </row>
    <row r="3621" spans="1:6">
      <c r="A3621" s="4" t="s">
        <v>7595</v>
      </c>
      <c r="B3621" s="6" t="s">
        <v>7582</v>
      </c>
      <c r="C3621" s="4" t="s">
        <v>76</v>
      </c>
      <c r="D3621" s="4">
        <v>21</v>
      </c>
      <c r="F3621" s="4" t="s">
        <v>7596</v>
      </c>
    </row>
    <row r="3622" spans="1:6">
      <c r="A3622" s="4" t="s">
        <v>7597</v>
      </c>
      <c r="B3622" s="6" t="s">
        <v>7582</v>
      </c>
      <c r="C3622" s="4" t="s">
        <v>76</v>
      </c>
      <c r="D3622" s="4">
        <v>15</v>
      </c>
      <c r="E3622" s="4" t="s">
        <v>7598</v>
      </c>
    </row>
    <row r="3623" spans="1:6">
      <c r="A3623" s="4" t="s">
        <v>7599</v>
      </c>
      <c r="B3623" s="6" t="s">
        <v>7582</v>
      </c>
      <c r="C3623" s="4" t="s">
        <v>427</v>
      </c>
      <c r="D3623" s="4">
        <v>14</v>
      </c>
      <c r="E3623" s="4" t="s">
        <v>3991</v>
      </c>
    </row>
    <row r="3624" spans="1:6">
      <c r="A3624" s="4" t="s">
        <v>7600</v>
      </c>
      <c r="B3624" s="6" t="s">
        <v>7582</v>
      </c>
      <c r="C3624" s="4" t="s">
        <v>705</v>
      </c>
      <c r="D3624" s="4">
        <v>13</v>
      </c>
      <c r="E3624" s="4" t="s">
        <v>7601</v>
      </c>
    </row>
    <row r="3625" spans="1:6">
      <c r="A3625" s="4" t="s">
        <v>7602</v>
      </c>
      <c r="B3625" s="6" t="s">
        <v>7603</v>
      </c>
      <c r="C3625" s="4" t="s">
        <v>254</v>
      </c>
      <c r="D3625" s="4">
        <v>9</v>
      </c>
      <c r="E3625" s="4" t="s">
        <v>989</v>
      </c>
      <c r="F3625" s="4" t="s">
        <v>6860</v>
      </c>
    </row>
    <row r="3626" spans="1:6">
      <c r="A3626" s="4" t="s">
        <v>7604</v>
      </c>
      <c r="B3626" s="6" t="s">
        <v>7605</v>
      </c>
      <c r="C3626" s="4" t="s">
        <v>254</v>
      </c>
      <c r="D3626" s="4">
        <v>8</v>
      </c>
      <c r="E3626" s="4" t="s">
        <v>566</v>
      </c>
      <c r="F3626" s="4" t="s">
        <v>7606</v>
      </c>
    </row>
    <row r="3627" spans="1:6">
      <c r="A3627" s="4" t="s">
        <v>7607</v>
      </c>
      <c r="B3627" s="6" t="s">
        <v>7605</v>
      </c>
      <c r="C3627" s="4" t="s">
        <v>598</v>
      </c>
      <c r="D3627" s="4">
        <v>6</v>
      </c>
      <c r="E3627" s="4" t="s">
        <v>566</v>
      </c>
    </row>
    <row r="3628" spans="1:6">
      <c r="A3628" s="4" t="s">
        <v>7608</v>
      </c>
      <c r="B3628" s="6" t="s">
        <v>7609</v>
      </c>
      <c r="C3628" s="4" t="s">
        <v>14</v>
      </c>
      <c r="D3628" s="4">
        <v>8</v>
      </c>
      <c r="E3628" s="4" t="s">
        <v>1114</v>
      </c>
    </row>
    <row r="3629" spans="1:6">
      <c r="A3629" s="4" t="s">
        <v>7610</v>
      </c>
      <c r="B3629" s="6" t="s">
        <v>7609</v>
      </c>
      <c r="C3629" s="4" t="s">
        <v>81</v>
      </c>
      <c r="D3629" s="4">
        <v>8</v>
      </c>
      <c r="E3629" s="4" t="s">
        <v>1114</v>
      </c>
      <c r="F3629" s="4" t="s">
        <v>7611</v>
      </c>
    </row>
    <row r="3630" spans="1:6">
      <c r="A3630" s="4" t="s">
        <v>7612</v>
      </c>
      <c r="B3630" s="6" t="s">
        <v>7613</v>
      </c>
      <c r="C3630" s="4" t="s">
        <v>81</v>
      </c>
      <c r="D3630" s="4">
        <v>11</v>
      </c>
      <c r="E3630" s="4" t="s">
        <v>1253</v>
      </c>
      <c r="F3630" s="4" t="s">
        <v>7614</v>
      </c>
    </row>
    <row r="3631" spans="1:6">
      <c r="A3631" s="4" t="s">
        <v>7615</v>
      </c>
      <c r="B3631" s="6" t="s">
        <v>7613</v>
      </c>
      <c r="C3631" s="4" t="s">
        <v>104</v>
      </c>
      <c r="D3631" s="4">
        <v>12</v>
      </c>
      <c r="E3631" s="4" t="s">
        <v>1043</v>
      </c>
      <c r="F3631" s="4" t="s">
        <v>7340</v>
      </c>
    </row>
    <row r="3632" spans="1:6">
      <c r="A3632" s="4" t="s">
        <v>7616</v>
      </c>
      <c r="B3632" s="6" t="s">
        <v>7613</v>
      </c>
      <c r="C3632" s="4" t="s">
        <v>995</v>
      </c>
      <c r="D3632" s="4">
        <v>13</v>
      </c>
      <c r="E3632" s="4" t="s">
        <v>1043</v>
      </c>
    </row>
    <row r="3633" spans="1:6">
      <c r="A3633" s="4" t="s">
        <v>7617</v>
      </c>
      <c r="B3633" s="6" t="s">
        <v>7618</v>
      </c>
      <c r="C3633" s="4" t="s">
        <v>995</v>
      </c>
      <c r="D3633" s="4">
        <v>9</v>
      </c>
      <c r="E3633" s="4" t="s">
        <v>1114</v>
      </c>
      <c r="F3633" s="4" t="s">
        <v>7619</v>
      </c>
    </row>
    <row r="3634" spans="1:6">
      <c r="A3634" s="4" t="s">
        <v>7620</v>
      </c>
      <c r="B3634" s="6" t="s">
        <v>7618</v>
      </c>
      <c r="C3634" s="4" t="s">
        <v>74</v>
      </c>
      <c r="D3634" s="4">
        <v>4</v>
      </c>
      <c r="E3634" s="4" t="s">
        <v>1609</v>
      </c>
    </row>
    <row r="3635" spans="1:6">
      <c r="A3635" s="4" t="s">
        <v>7621</v>
      </c>
      <c r="B3635" s="6" t="s">
        <v>7622</v>
      </c>
      <c r="C3635" s="4" t="s">
        <v>6811</v>
      </c>
      <c r="D3635" s="4">
        <v>14</v>
      </c>
      <c r="E3635" s="4" t="s">
        <v>1110</v>
      </c>
      <c r="F3635" s="4" t="s">
        <v>7623</v>
      </c>
    </row>
    <row r="3636" spans="1:6">
      <c r="A3636" s="4" t="s">
        <v>7624</v>
      </c>
      <c r="B3636" s="6" t="s">
        <v>7622</v>
      </c>
      <c r="C3636" s="4" t="s">
        <v>6811</v>
      </c>
      <c r="D3636" s="4">
        <v>13</v>
      </c>
      <c r="E3636" s="4" t="s">
        <v>7625</v>
      </c>
      <c r="F3636" s="4" t="s">
        <v>7626</v>
      </c>
    </row>
    <row r="3637" spans="1:6">
      <c r="A3637" s="4" t="s">
        <v>7627</v>
      </c>
      <c r="B3637" s="6" t="s">
        <v>7628</v>
      </c>
      <c r="C3637" s="4" t="s">
        <v>403</v>
      </c>
      <c r="D3637" s="4">
        <v>20</v>
      </c>
      <c r="E3637" s="4" t="s">
        <v>7629</v>
      </c>
    </row>
    <row r="3638" spans="1:6">
      <c r="A3638" s="4" t="s">
        <v>1569</v>
      </c>
      <c r="B3638" s="6" t="s">
        <v>7628</v>
      </c>
      <c r="C3638" s="4" t="s">
        <v>1569</v>
      </c>
      <c r="D3638" s="4">
        <v>3</v>
      </c>
      <c r="E3638" s="4" t="s">
        <v>1107</v>
      </c>
      <c r="F3638" s="4" t="s">
        <v>7630</v>
      </c>
    </row>
    <row r="3639" spans="1:6">
      <c r="A3639" s="4" t="s">
        <v>7631</v>
      </c>
      <c r="B3639" s="6" t="s">
        <v>7628</v>
      </c>
      <c r="C3639" s="4" t="s">
        <v>45</v>
      </c>
      <c r="D3639" s="4">
        <v>11</v>
      </c>
      <c r="E3639" s="4" t="s">
        <v>7598</v>
      </c>
      <c r="F3639" s="4" t="s">
        <v>4022</v>
      </c>
    </row>
    <row r="3640" spans="1:6">
      <c r="A3640" s="4" t="s">
        <v>7632</v>
      </c>
      <c r="B3640" s="6" t="s">
        <v>7628</v>
      </c>
      <c r="C3640" s="4" t="s">
        <v>238</v>
      </c>
      <c r="D3640" s="4">
        <v>10</v>
      </c>
      <c r="E3640" s="4" t="s">
        <v>1107</v>
      </c>
    </row>
    <row r="3641" spans="1:6">
      <c r="A3641" s="4" t="s">
        <v>7633</v>
      </c>
      <c r="B3641" s="6" t="s">
        <v>7628</v>
      </c>
      <c r="C3641" s="4" t="s">
        <v>87</v>
      </c>
      <c r="D3641" s="4">
        <v>6</v>
      </c>
      <c r="E3641" s="4" t="s">
        <v>1107</v>
      </c>
      <c r="F3641" s="4" t="s">
        <v>7634</v>
      </c>
    </row>
    <row r="3642" spans="1:6">
      <c r="A3642" s="4" t="s">
        <v>7635</v>
      </c>
      <c r="B3642" s="6" t="s">
        <v>7628</v>
      </c>
      <c r="C3642" s="4" t="s">
        <v>254</v>
      </c>
      <c r="D3642" s="4">
        <v>15</v>
      </c>
      <c r="E3642" s="4" t="s">
        <v>578</v>
      </c>
      <c r="F3642" s="4" t="s">
        <v>7636</v>
      </c>
    </row>
    <row r="3643" spans="1:6">
      <c r="A3643" s="4" t="s">
        <v>7637</v>
      </c>
      <c r="B3643" s="6" t="s">
        <v>7638</v>
      </c>
      <c r="C3643" s="4" t="s">
        <v>87</v>
      </c>
      <c r="D3643" s="4">
        <v>9</v>
      </c>
      <c r="E3643" s="4" t="s">
        <v>1253</v>
      </c>
    </row>
    <row r="3644" spans="1:6">
      <c r="A3644" s="4" t="s">
        <v>7639</v>
      </c>
      <c r="B3644" s="6" t="s">
        <v>7638</v>
      </c>
      <c r="C3644" s="4" t="s">
        <v>448</v>
      </c>
      <c r="D3644" s="4">
        <v>8</v>
      </c>
      <c r="E3644" s="4" t="s">
        <v>498</v>
      </c>
      <c r="F3644" s="4" t="s">
        <v>7640</v>
      </c>
    </row>
    <row r="3645" spans="1:6">
      <c r="A3645" s="4" t="s">
        <v>7641</v>
      </c>
      <c r="B3645" s="6" t="s">
        <v>7642</v>
      </c>
      <c r="C3645" s="4" t="s">
        <v>23</v>
      </c>
      <c r="D3645" s="4">
        <v>10</v>
      </c>
      <c r="E3645" s="4" t="s">
        <v>2769</v>
      </c>
      <c r="F3645" s="4" t="s">
        <v>7643</v>
      </c>
    </row>
    <row r="3646" spans="1:6">
      <c r="A3646" s="4" t="s">
        <v>7644</v>
      </c>
      <c r="B3646" s="6" t="s">
        <v>7645</v>
      </c>
      <c r="C3646" s="4" t="s">
        <v>1262</v>
      </c>
      <c r="D3646" s="4">
        <v>14</v>
      </c>
      <c r="E3646" s="4" t="s">
        <v>6183</v>
      </c>
      <c r="F3646" s="4" t="s">
        <v>7646</v>
      </c>
    </row>
    <row r="3647" spans="1:6">
      <c r="A3647" s="4" t="s">
        <v>7647</v>
      </c>
      <c r="B3647" s="6" t="s">
        <v>7648</v>
      </c>
      <c r="C3647" s="4" t="s">
        <v>485</v>
      </c>
      <c r="D3647" s="4">
        <v>9</v>
      </c>
      <c r="E3647" s="4" t="s">
        <v>6245</v>
      </c>
      <c r="F3647" s="4" t="s">
        <v>7649</v>
      </c>
    </row>
    <row r="3648" spans="1:6">
      <c r="A3648" s="4" t="s">
        <v>7650</v>
      </c>
      <c r="B3648" s="6" t="s">
        <v>7651</v>
      </c>
      <c r="C3648" s="4" t="s">
        <v>403</v>
      </c>
      <c r="D3648" s="4">
        <v>14</v>
      </c>
      <c r="E3648" s="4" t="s">
        <v>6183</v>
      </c>
    </row>
    <row r="3649" spans="1:6">
      <c r="A3649" s="4" t="s">
        <v>7652</v>
      </c>
      <c r="B3649" s="6" t="s">
        <v>7653</v>
      </c>
      <c r="C3649" s="4" t="s">
        <v>34</v>
      </c>
      <c r="D3649" s="4">
        <v>15</v>
      </c>
      <c r="E3649" s="4" t="s">
        <v>4212</v>
      </c>
      <c r="F3649" s="4" t="s">
        <v>7654</v>
      </c>
    </row>
    <row r="3650" spans="1:6">
      <c r="A3650" s="4" t="s">
        <v>7655</v>
      </c>
      <c r="B3650" s="6" t="s">
        <v>7656</v>
      </c>
      <c r="C3650" s="4" t="s">
        <v>254</v>
      </c>
      <c r="D3650" s="4">
        <v>6</v>
      </c>
      <c r="E3650" s="4" t="s">
        <v>7657</v>
      </c>
      <c r="F3650" s="4" t="s">
        <v>7658</v>
      </c>
    </row>
    <row r="3651" spans="1:6">
      <c r="A3651" s="4" t="s">
        <v>7659</v>
      </c>
      <c r="B3651" s="6" t="s">
        <v>7656</v>
      </c>
      <c r="C3651" s="4" t="s">
        <v>296</v>
      </c>
      <c r="D3651" s="4">
        <v>11</v>
      </c>
      <c r="E3651" s="4" t="s">
        <v>1064</v>
      </c>
    </row>
    <row r="3652" spans="1:6">
      <c r="A3652" s="4" t="s">
        <v>7660</v>
      </c>
      <c r="B3652" s="6" t="s">
        <v>7661</v>
      </c>
      <c r="C3652" s="4" t="s">
        <v>275</v>
      </c>
      <c r="D3652" s="4">
        <v>12</v>
      </c>
      <c r="E3652" s="4" t="s">
        <v>6397</v>
      </c>
      <c r="F3652" s="4" t="s">
        <v>7662</v>
      </c>
    </row>
    <row r="3653" spans="1:6">
      <c r="A3653" s="4" t="s">
        <v>7663</v>
      </c>
      <c r="B3653" s="6" t="s">
        <v>7664</v>
      </c>
      <c r="C3653" s="4" t="s">
        <v>315</v>
      </c>
      <c r="D3653" s="4">
        <v>18</v>
      </c>
      <c r="E3653" s="4" t="s">
        <v>2769</v>
      </c>
      <c r="F3653" s="4" t="s">
        <v>7665</v>
      </c>
    </row>
    <row r="3654" spans="1:6">
      <c r="A3654" s="4" t="s">
        <v>7666</v>
      </c>
      <c r="B3654" s="6" t="s">
        <v>7664</v>
      </c>
      <c r="C3654" s="4" t="s">
        <v>34</v>
      </c>
      <c r="D3654" s="4">
        <v>10</v>
      </c>
      <c r="E3654" s="4" t="s">
        <v>7667</v>
      </c>
      <c r="F3654" s="4" t="s">
        <v>7668</v>
      </c>
    </row>
    <row r="3655" spans="1:6">
      <c r="A3655" s="4" t="s">
        <v>7669</v>
      </c>
      <c r="B3655" s="6" t="s">
        <v>7670</v>
      </c>
      <c r="C3655" s="4" t="s">
        <v>41</v>
      </c>
      <c r="D3655" s="4">
        <v>10</v>
      </c>
      <c r="E3655" s="4" t="s">
        <v>7671</v>
      </c>
      <c r="F3655" s="4" t="s">
        <v>7672</v>
      </c>
    </row>
    <row r="3656" spans="1:6">
      <c r="A3656" s="4" t="s">
        <v>7673</v>
      </c>
      <c r="B3656" s="6" t="s">
        <v>7670</v>
      </c>
      <c r="C3656" s="4" t="s">
        <v>27</v>
      </c>
      <c r="D3656" s="4">
        <v>7</v>
      </c>
      <c r="E3656" s="4" t="s">
        <v>7667</v>
      </c>
    </row>
    <row r="3657" spans="1:6">
      <c r="A3657" s="4" t="s">
        <v>7674</v>
      </c>
      <c r="B3657" s="6" t="s">
        <v>7675</v>
      </c>
      <c r="C3657" s="4" t="s">
        <v>458</v>
      </c>
      <c r="D3657" s="4">
        <v>10</v>
      </c>
      <c r="E3657" s="4" t="s">
        <v>1148</v>
      </c>
    </row>
    <row r="3658" spans="1:6">
      <c r="A3658" s="4" t="s">
        <v>7676</v>
      </c>
      <c r="B3658" s="6" t="s">
        <v>7675</v>
      </c>
      <c r="C3658" s="4" t="s">
        <v>49</v>
      </c>
      <c r="D3658" s="4">
        <v>19</v>
      </c>
      <c r="E3658" s="4" t="s">
        <v>1148</v>
      </c>
      <c r="F3658" s="4" t="s">
        <v>763</v>
      </c>
    </row>
    <row r="3659" spans="1:6">
      <c r="A3659" s="4" t="s">
        <v>7677</v>
      </c>
      <c r="B3659" s="6" t="s">
        <v>7678</v>
      </c>
      <c r="C3659" s="4" t="s">
        <v>1180</v>
      </c>
      <c r="D3659" s="4">
        <v>12</v>
      </c>
      <c r="E3659" s="4" t="s">
        <v>2387</v>
      </c>
      <c r="F3659" s="4" t="s">
        <v>7679</v>
      </c>
    </row>
    <row r="3660" spans="1:6">
      <c r="A3660" s="4" t="s">
        <v>7680</v>
      </c>
      <c r="B3660" s="6" t="s">
        <v>7678</v>
      </c>
      <c r="C3660" s="4" t="s">
        <v>708</v>
      </c>
      <c r="D3660" s="4">
        <v>10</v>
      </c>
      <c r="E3660" s="4" t="s">
        <v>2387</v>
      </c>
      <c r="F3660" s="4" t="s">
        <v>7681</v>
      </c>
    </row>
    <row r="3661" spans="1:6">
      <c r="A3661" s="4" t="s">
        <v>7682</v>
      </c>
      <c r="B3661" s="6" t="s">
        <v>7678</v>
      </c>
      <c r="C3661" s="4" t="s">
        <v>45</v>
      </c>
      <c r="D3661" s="4">
        <v>8</v>
      </c>
      <c r="E3661" s="4" t="s">
        <v>7683</v>
      </c>
      <c r="F3661" s="4" t="s">
        <v>1121</v>
      </c>
    </row>
    <row r="3662" spans="1:6">
      <c r="A3662" s="4" t="s">
        <v>7684</v>
      </c>
      <c r="B3662" s="6" t="s">
        <v>7678</v>
      </c>
      <c r="C3662" s="4" t="s">
        <v>53</v>
      </c>
      <c r="D3662" s="4">
        <v>16</v>
      </c>
      <c r="E3662" s="4" t="s">
        <v>2387</v>
      </c>
      <c r="F3662" s="4" t="s">
        <v>7685</v>
      </c>
    </row>
    <row r="3663" spans="1:6">
      <c r="A3663" s="4" t="s">
        <v>7686</v>
      </c>
      <c r="B3663" s="6" t="s">
        <v>7687</v>
      </c>
      <c r="C3663" s="4" t="s">
        <v>53</v>
      </c>
      <c r="D3663" s="4">
        <v>12</v>
      </c>
      <c r="E3663" s="4" t="s">
        <v>7688</v>
      </c>
    </row>
    <row r="3664" spans="1:6">
      <c r="A3664" s="4" t="s">
        <v>7689</v>
      </c>
      <c r="B3664" s="6" t="s">
        <v>7687</v>
      </c>
      <c r="C3664" s="4" t="s">
        <v>53</v>
      </c>
      <c r="D3664" s="4">
        <v>13</v>
      </c>
      <c r="E3664" s="4" t="s">
        <v>7688</v>
      </c>
    </row>
    <row r="3665" spans="1:6">
      <c r="A3665" s="4" t="s">
        <v>7690</v>
      </c>
      <c r="B3665" s="6" t="s">
        <v>7691</v>
      </c>
      <c r="C3665" s="4" t="s">
        <v>301</v>
      </c>
      <c r="D3665" s="4">
        <v>10</v>
      </c>
      <c r="E3665" s="4" t="s">
        <v>7692</v>
      </c>
    </row>
    <row r="3666" spans="1:6">
      <c r="A3666" s="4" t="s">
        <v>7693</v>
      </c>
      <c r="B3666" s="6" t="s">
        <v>7691</v>
      </c>
      <c r="C3666" s="4" t="s">
        <v>37</v>
      </c>
      <c r="D3666" s="4">
        <v>12</v>
      </c>
      <c r="E3666" s="4" t="s">
        <v>1148</v>
      </c>
      <c r="F3666" s="4" t="s">
        <v>7694</v>
      </c>
    </row>
    <row r="3667" spans="1:6">
      <c r="A3667" s="4" t="s">
        <v>7695</v>
      </c>
      <c r="B3667" s="6" t="s">
        <v>7691</v>
      </c>
      <c r="C3667" s="4" t="s">
        <v>27</v>
      </c>
      <c r="D3667" s="4">
        <v>13</v>
      </c>
      <c r="E3667" s="4" t="s">
        <v>1148</v>
      </c>
    </row>
    <row r="3668" spans="1:6">
      <c r="A3668" s="4" t="s">
        <v>7696</v>
      </c>
      <c r="B3668" s="6" t="s">
        <v>7691</v>
      </c>
      <c r="C3668" s="4" t="s">
        <v>81</v>
      </c>
      <c r="D3668" s="4">
        <v>14</v>
      </c>
      <c r="E3668" s="4" t="s">
        <v>7697</v>
      </c>
    </row>
    <row r="3669" spans="1:6">
      <c r="A3669" s="4" t="s">
        <v>7698</v>
      </c>
      <c r="B3669" s="6" t="s">
        <v>7691</v>
      </c>
      <c r="C3669" s="4" t="s">
        <v>87</v>
      </c>
      <c r="D3669" s="4">
        <v>8</v>
      </c>
      <c r="E3669" s="4" t="s">
        <v>1148</v>
      </c>
    </row>
    <row r="3670" spans="1:6">
      <c r="A3670" s="4" t="s">
        <v>7699</v>
      </c>
      <c r="B3670" s="6" t="s">
        <v>7691</v>
      </c>
      <c r="C3670" s="4" t="s">
        <v>87</v>
      </c>
      <c r="D3670" s="4">
        <v>13</v>
      </c>
      <c r="E3670" s="4" t="s">
        <v>7700</v>
      </c>
      <c r="F3670" s="4" t="s">
        <v>7701</v>
      </c>
    </row>
    <row r="3671" spans="1:6">
      <c r="A3671" s="4" t="s">
        <v>7702</v>
      </c>
      <c r="B3671" s="6" t="s">
        <v>7691</v>
      </c>
      <c r="C3671" s="4" t="s">
        <v>275</v>
      </c>
      <c r="D3671" s="4">
        <v>13</v>
      </c>
      <c r="E3671" s="4" t="s">
        <v>7700</v>
      </c>
      <c r="F3671" s="4" t="s">
        <v>7701</v>
      </c>
    </row>
    <row r="3672" spans="1:6">
      <c r="A3672" s="4" t="s">
        <v>7703</v>
      </c>
      <c r="B3672" s="6" t="s">
        <v>7691</v>
      </c>
      <c r="C3672" s="4" t="s">
        <v>254</v>
      </c>
      <c r="D3672" s="4">
        <v>11</v>
      </c>
      <c r="E3672" s="4" t="s">
        <v>2769</v>
      </c>
    </row>
    <row r="3673" spans="1:6">
      <c r="A3673" s="4" t="s">
        <v>7704</v>
      </c>
      <c r="B3673" s="6" t="s">
        <v>7705</v>
      </c>
      <c r="C3673" s="4" t="s">
        <v>275</v>
      </c>
      <c r="D3673" s="4">
        <v>11</v>
      </c>
      <c r="E3673" s="4" t="s">
        <v>6722</v>
      </c>
      <c r="F3673" s="4" t="s">
        <v>6578</v>
      </c>
    </row>
    <row r="3674" spans="1:6">
      <c r="A3674" s="4" t="s">
        <v>7706</v>
      </c>
      <c r="B3674" s="6" t="s">
        <v>7707</v>
      </c>
      <c r="C3674" s="4" t="s">
        <v>104</v>
      </c>
      <c r="D3674" s="4">
        <v>12</v>
      </c>
      <c r="E3674" s="4" t="s">
        <v>6245</v>
      </c>
      <c r="F3674" s="4" t="s">
        <v>7708</v>
      </c>
    </row>
    <row r="3675" spans="1:6">
      <c r="A3675" s="4" t="s">
        <v>7709</v>
      </c>
      <c r="B3675" s="6" t="s">
        <v>7710</v>
      </c>
      <c r="C3675" s="4" t="s">
        <v>214</v>
      </c>
      <c r="D3675" s="4">
        <v>12</v>
      </c>
      <c r="E3675" s="4" t="s">
        <v>2387</v>
      </c>
      <c r="F3675" s="4" t="s">
        <v>7711</v>
      </c>
    </row>
    <row r="3676" spans="1:6">
      <c r="A3676" s="4" t="s">
        <v>7712</v>
      </c>
      <c r="B3676" s="6" t="s">
        <v>7710</v>
      </c>
      <c r="C3676" s="4" t="s">
        <v>275</v>
      </c>
      <c r="D3676" s="4">
        <v>14</v>
      </c>
      <c r="E3676" s="4" t="s">
        <v>2387</v>
      </c>
    </row>
    <row r="3677" spans="1:6">
      <c r="A3677" s="4" t="s">
        <v>7713</v>
      </c>
      <c r="B3677" s="6" t="s">
        <v>7714</v>
      </c>
      <c r="C3677" s="4" t="s">
        <v>275</v>
      </c>
      <c r="D3677" s="4">
        <v>9</v>
      </c>
      <c r="E3677" s="4" t="s">
        <v>6192</v>
      </c>
      <c r="F3677" s="4" t="s">
        <v>6740</v>
      </c>
    </row>
    <row r="3678" spans="1:6">
      <c r="A3678" s="4" t="s">
        <v>7715</v>
      </c>
      <c r="B3678" s="6" t="s">
        <v>7714</v>
      </c>
      <c r="C3678" s="4" t="s">
        <v>45</v>
      </c>
      <c r="D3678" s="4">
        <v>7</v>
      </c>
      <c r="E3678" s="4" t="s">
        <v>6192</v>
      </c>
    </row>
    <row r="3679" spans="1:6">
      <c r="A3679" s="4" t="s">
        <v>7716</v>
      </c>
      <c r="B3679" s="6" t="s">
        <v>7717</v>
      </c>
      <c r="C3679" s="4" t="s">
        <v>263</v>
      </c>
      <c r="D3679" s="4">
        <v>8</v>
      </c>
      <c r="E3679" s="4" t="s">
        <v>7718</v>
      </c>
    </row>
    <row r="3680" spans="1:6">
      <c r="A3680" s="4" t="s">
        <v>7719</v>
      </c>
      <c r="B3680" s="6" t="s">
        <v>7717</v>
      </c>
      <c r="C3680" s="4" t="s">
        <v>27</v>
      </c>
      <c r="D3680" s="4">
        <v>11</v>
      </c>
      <c r="E3680" s="4" t="s">
        <v>6689</v>
      </c>
    </row>
    <row r="3681" spans="1:6">
      <c r="A3681" s="4" t="s">
        <v>7720</v>
      </c>
      <c r="B3681" s="6" t="s">
        <v>7721</v>
      </c>
      <c r="C3681" s="4" t="s">
        <v>351</v>
      </c>
      <c r="D3681" s="4">
        <v>8</v>
      </c>
      <c r="E3681" s="4" t="s">
        <v>1148</v>
      </c>
    </row>
    <row r="3682" spans="1:6">
      <c r="A3682" s="4" t="s">
        <v>7722</v>
      </c>
      <c r="B3682" s="6" t="s">
        <v>7723</v>
      </c>
      <c r="C3682" s="4" t="s">
        <v>34</v>
      </c>
      <c r="D3682" s="4">
        <v>14</v>
      </c>
      <c r="E3682" s="4" t="s">
        <v>7724</v>
      </c>
    </row>
    <row r="3683" spans="1:6">
      <c r="A3683" s="4" t="s">
        <v>7725</v>
      </c>
      <c r="B3683" s="6" t="s">
        <v>7726</v>
      </c>
      <c r="C3683" s="4" t="s">
        <v>708</v>
      </c>
      <c r="D3683" s="4">
        <v>6</v>
      </c>
      <c r="E3683" s="4" t="s">
        <v>7727</v>
      </c>
    </row>
    <row r="3684" spans="1:6">
      <c r="A3684" s="4" t="s">
        <v>7728</v>
      </c>
      <c r="B3684" s="6" t="s">
        <v>7726</v>
      </c>
      <c r="C3684" s="4" t="s">
        <v>34</v>
      </c>
      <c r="D3684" s="4">
        <v>9</v>
      </c>
      <c r="E3684" s="4" t="s">
        <v>2387</v>
      </c>
      <c r="F3684" s="4" t="s">
        <v>7729</v>
      </c>
    </row>
    <row r="3685" spans="1:6">
      <c r="A3685" s="4" t="s">
        <v>7730</v>
      </c>
      <c r="B3685" s="6" t="s">
        <v>7731</v>
      </c>
      <c r="C3685" s="4" t="s">
        <v>461</v>
      </c>
      <c r="D3685" s="4">
        <v>9</v>
      </c>
      <c r="E3685" s="4" t="s">
        <v>1148</v>
      </c>
    </row>
    <row r="3686" spans="1:6">
      <c r="A3686" s="4" t="s">
        <v>7732</v>
      </c>
      <c r="B3686" s="6" t="s">
        <v>7731</v>
      </c>
      <c r="C3686" s="4" t="s">
        <v>301</v>
      </c>
      <c r="D3686" s="4">
        <v>11</v>
      </c>
      <c r="E3686" s="4" t="s">
        <v>1148</v>
      </c>
      <c r="F3686" s="4" t="s">
        <v>7733</v>
      </c>
    </row>
    <row r="3687" spans="1:6">
      <c r="A3687" s="4" t="s">
        <v>7734</v>
      </c>
      <c r="B3687" s="6" t="s">
        <v>7731</v>
      </c>
      <c r="C3687" s="4" t="s">
        <v>254</v>
      </c>
      <c r="D3687" s="4">
        <v>9</v>
      </c>
      <c r="E3687" s="4" t="s">
        <v>7371</v>
      </c>
      <c r="F3687" s="4" t="s">
        <v>7735</v>
      </c>
    </row>
    <row r="3688" spans="1:6">
      <c r="A3688" s="4" t="s">
        <v>7736</v>
      </c>
      <c r="B3688" s="6" t="s">
        <v>7731</v>
      </c>
      <c r="C3688" s="4" t="s">
        <v>285</v>
      </c>
      <c r="D3688" s="4">
        <v>8</v>
      </c>
      <c r="E3688" s="4" t="s">
        <v>1148</v>
      </c>
    </row>
    <row r="3689" spans="1:6">
      <c r="A3689" s="4" t="s">
        <v>7737</v>
      </c>
      <c r="B3689" s="6" t="s">
        <v>7738</v>
      </c>
      <c r="C3689" s="4" t="s">
        <v>34</v>
      </c>
      <c r="D3689" s="4">
        <v>13</v>
      </c>
      <c r="E3689" s="4" t="s">
        <v>2387</v>
      </c>
      <c r="F3689" s="4" t="s">
        <v>7739</v>
      </c>
    </row>
    <row r="3690" spans="1:6">
      <c r="A3690" s="4" t="s">
        <v>7740</v>
      </c>
      <c r="B3690" s="6" t="s">
        <v>7741</v>
      </c>
      <c r="C3690" s="4" t="s">
        <v>301</v>
      </c>
      <c r="D3690" s="4">
        <v>14</v>
      </c>
      <c r="E3690" s="4" t="s">
        <v>6192</v>
      </c>
      <c r="F3690" s="4" t="s">
        <v>7742</v>
      </c>
    </row>
    <row r="3691" spans="1:6">
      <c r="A3691" s="4" t="s">
        <v>7743</v>
      </c>
      <c r="B3691" s="6" t="s">
        <v>7744</v>
      </c>
      <c r="C3691" s="4" t="s">
        <v>296</v>
      </c>
      <c r="D3691" s="4">
        <v>11</v>
      </c>
      <c r="E3691" s="4" t="s">
        <v>6737</v>
      </c>
      <c r="F3691" s="4" t="s">
        <v>7745</v>
      </c>
    </row>
    <row r="3692" spans="1:6">
      <c r="A3692" s="4" t="s">
        <v>7746</v>
      </c>
      <c r="B3692" s="6" t="s">
        <v>7747</v>
      </c>
      <c r="C3692" s="4" t="s">
        <v>390</v>
      </c>
      <c r="D3692" s="4">
        <v>13</v>
      </c>
      <c r="E3692" s="4" t="s">
        <v>6534</v>
      </c>
      <c r="F3692" s="4" t="s">
        <v>7748</v>
      </c>
    </row>
    <row r="3693" spans="1:6">
      <c r="A3693" s="4" t="s">
        <v>7749</v>
      </c>
      <c r="B3693" s="6" t="s">
        <v>7750</v>
      </c>
      <c r="C3693" s="4" t="s">
        <v>53</v>
      </c>
      <c r="D3693" s="4">
        <v>9</v>
      </c>
      <c r="E3693" s="4" t="s">
        <v>2769</v>
      </c>
    </row>
    <row r="3694" spans="1:6">
      <c r="A3694" s="4" t="s">
        <v>7751</v>
      </c>
      <c r="B3694" s="6" t="s">
        <v>7750</v>
      </c>
      <c r="C3694" s="4" t="s">
        <v>53</v>
      </c>
      <c r="D3694" s="4">
        <v>14</v>
      </c>
      <c r="E3694" s="4" t="s">
        <v>2769</v>
      </c>
    </row>
    <row r="3695" spans="1:6">
      <c r="A3695" s="4" t="s">
        <v>7752</v>
      </c>
      <c r="B3695" s="6" t="s">
        <v>7753</v>
      </c>
      <c r="C3695" s="4" t="s">
        <v>6745</v>
      </c>
      <c r="D3695" s="4">
        <v>11</v>
      </c>
      <c r="E3695" s="4" t="s">
        <v>6746</v>
      </c>
    </row>
    <row r="3696" spans="1:6">
      <c r="A3696" s="4" t="s">
        <v>7754</v>
      </c>
      <c r="B3696" s="6" t="s">
        <v>7755</v>
      </c>
      <c r="C3696" s="4" t="s">
        <v>1211</v>
      </c>
      <c r="D3696" s="4">
        <v>12</v>
      </c>
      <c r="E3696" s="4" t="s">
        <v>6197</v>
      </c>
    </row>
    <row r="3697" spans="1:6">
      <c r="A3697" s="4" t="s">
        <v>7756</v>
      </c>
      <c r="B3697" s="6" t="s">
        <v>7755</v>
      </c>
      <c r="C3697" s="4" t="s">
        <v>223</v>
      </c>
      <c r="D3697" s="4">
        <v>12</v>
      </c>
      <c r="E3697" s="4" t="s">
        <v>6192</v>
      </c>
      <c r="F3697" s="4" t="s">
        <v>7757</v>
      </c>
    </row>
    <row r="3698" spans="1:6">
      <c r="A3698" s="4" t="s">
        <v>7758</v>
      </c>
      <c r="B3698" s="6" t="s">
        <v>7755</v>
      </c>
      <c r="C3698" s="4" t="s">
        <v>41</v>
      </c>
      <c r="D3698" s="4">
        <v>6</v>
      </c>
      <c r="E3698" s="4" t="s">
        <v>7759</v>
      </c>
    </row>
    <row r="3699" spans="1:6">
      <c r="A3699" s="4" t="s">
        <v>7760</v>
      </c>
      <c r="B3699" s="6" t="s">
        <v>7755</v>
      </c>
      <c r="C3699" s="4" t="s">
        <v>121</v>
      </c>
      <c r="D3699" s="4">
        <v>10</v>
      </c>
      <c r="E3699" s="4" t="s">
        <v>7761</v>
      </c>
    </row>
    <row r="3700" spans="1:6">
      <c r="A3700" s="4" t="s">
        <v>7762</v>
      </c>
      <c r="B3700" s="6" t="s">
        <v>7755</v>
      </c>
      <c r="C3700" s="4" t="s">
        <v>14</v>
      </c>
      <c r="D3700" s="4">
        <v>7</v>
      </c>
      <c r="E3700" s="4" t="s">
        <v>6197</v>
      </c>
    </row>
    <row r="3701" spans="1:6">
      <c r="A3701" s="4" t="s">
        <v>7763</v>
      </c>
      <c r="B3701" s="6" t="s">
        <v>7764</v>
      </c>
      <c r="C3701" s="4" t="s">
        <v>49</v>
      </c>
      <c r="D3701" s="4">
        <v>9</v>
      </c>
      <c r="E3701" s="4" t="s">
        <v>6232</v>
      </c>
    </row>
    <row r="3702" spans="1:6">
      <c r="A3702" s="4" t="s">
        <v>7765</v>
      </c>
      <c r="B3702" s="6" t="s">
        <v>7764</v>
      </c>
      <c r="C3702" s="4" t="s">
        <v>1885</v>
      </c>
      <c r="D3702" s="4">
        <v>6</v>
      </c>
      <c r="E3702" s="4" t="s">
        <v>6232</v>
      </c>
      <c r="F3702" s="4" t="s">
        <v>7766</v>
      </c>
    </row>
    <row r="3703" spans="1:6">
      <c r="A3703" s="4" t="s">
        <v>7767</v>
      </c>
      <c r="B3703" s="6" t="s">
        <v>7764</v>
      </c>
      <c r="C3703" s="4" t="s">
        <v>285</v>
      </c>
      <c r="D3703" s="4">
        <v>11</v>
      </c>
      <c r="E3703" s="4" t="s">
        <v>6192</v>
      </c>
    </row>
    <row r="3704" spans="1:6">
      <c r="A3704" s="4" t="s">
        <v>7768</v>
      </c>
      <c r="B3704" s="6" t="s">
        <v>7769</v>
      </c>
      <c r="C3704" s="4" t="s">
        <v>37</v>
      </c>
      <c r="D3704" s="4">
        <v>12</v>
      </c>
      <c r="E3704" s="4" t="s">
        <v>2769</v>
      </c>
    </row>
    <row r="3705" spans="1:6">
      <c r="A3705" s="4" t="s">
        <v>7770</v>
      </c>
      <c r="B3705" s="6" t="s">
        <v>7769</v>
      </c>
      <c r="C3705" s="4" t="s">
        <v>34</v>
      </c>
      <c r="D3705" s="4">
        <v>13</v>
      </c>
      <c r="E3705" s="4" t="s">
        <v>6207</v>
      </c>
      <c r="F3705" s="4" t="s">
        <v>7771</v>
      </c>
    </row>
    <row r="3706" spans="1:6">
      <c r="A3706" s="4" t="s">
        <v>7772</v>
      </c>
      <c r="B3706" s="6" t="s">
        <v>7769</v>
      </c>
      <c r="C3706" s="4" t="s">
        <v>23</v>
      </c>
      <c r="D3706" s="4">
        <v>8</v>
      </c>
      <c r="E3706" s="4" t="s">
        <v>6501</v>
      </c>
    </row>
    <row r="3707" spans="1:6">
      <c r="A3707" s="4" t="s">
        <v>7773</v>
      </c>
      <c r="B3707" s="6" t="s">
        <v>7769</v>
      </c>
      <c r="C3707" s="4" t="s">
        <v>23</v>
      </c>
      <c r="D3707" s="4">
        <v>9</v>
      </c>
      <c r="E3707" s="4" t="s">
        <v>1904</v>
      </c>
    </row>
    <row r="3708" spans="1:6">
      <c r="A3708" s="4" t="s">
        <v>7774</v>
      </c>
      <c r="B3708" s="6" t="s">
        <v>7775</v>
      </c>
      <c r="C3708" s="4" t="s">
        <v>263</v>
      </c>
      <c r="D3708" s="4">
        <v>8</v>
      </c>
      <c r="E3708" s="4" t="s">
        <v>6211</v>
      </c>
    </row>
    <row r="3709" spans="1:6">
      <c r="A3709" s="4" t="s">
        <v>7776</v>
      </c>
      <c r="B3709" s="6" t="s">
        <v>7775</v>
      </c>
      <c r="C3709" s="4" t="s">
        <v>254</v>
      </c>
      <c r="D3709" s="4">
        <v>10</v>
      </c>
      <c r="E3709" s="4" t="s">
        <v>6211</v>
      </c>
    </row>
    <row r="3710" spans="1:6">
      <c r="A3710" s="4" t="s">
        <v>7777</v>
      </c>
      <c r="B3710" s="6" t="s">
        <v>7775</v>
      </c>
      <c r="C3710" s="4" t="s">
        <v>23</v>
      </c>
      <c r="D3710" s="4">
        <v>11</v>
      </c>
      <c r="E3710" s="4" t="s">
        <v>7778</v>
      </c>
    </row>
    <row r="3711" spans="1:6">
      <c r="A3711" s="4" t="s">
        <v>7779</v>
      </c>
      <c r="B3711" s="6" t="s">
        <v>7775</v>
      </c>
      <c r="C3711" s="4" t="s">
        <v>23</v>
      </c>
      <c r="D3711" s="4">
        <v>10</v>
      </c>
      <c r="E3711" s="4" t="s">
        <v>6211</v>
      </c>
    </row>
    <row r="3712" spans="1:6">
      <c r="A3712" s="4" t="s">
        <v>7780</v>
      </c>
      <c r="B3712" s="6" t="s">
        <v>7781</v>
      </c>
      <c r="C3712" s="4" t="s">
        <v>218</v>
      </c>
      <c r="D3712" s="4">
        <v>11</v>
      </c>
      <c r="E3712" s="4" t="s">
        <v>6211</v>
      </c>
    </row>
    <row r="3713" spans="1:6">
      <c r="A3713" s="4" t="s">
        <v>7782</v>
      </c>
      <c r="B3713" s="6" t="s">
        <v>7783</v>
      </c>
      <c r="C3713" s="4" t="s">
        <v>453</v>
      </c>
      <c r="D3713" s="4">
        <v>11</v>
      </c>
      <c r="E3713" s="4" t="s">
        <v>7601</v>
      </c>
      <c r="F3713" s="4" t="s">
        <v>1329</v>
      </c>
    </row>
    <row r="3714" spans="1:6">
      <c r="A3714" s="4" t="s">
        <v>7784</v>
      </c>
      <c r="B3714" s="6" t="s">
        <v>7783</v>
      </c>
      <c r="C3714" s="4" t="s">
        <v>1425</v>
      </c>
      <c r="D3714" s="4">
        <v>10</v>
      </c>
      <c r="E3714" s="4" t="s">
        <v>6207</v>
      </c>
    </row>
    <row r="3715" spans="1:6">
      <c r="A3715" s="4" t="s">
        <v>7785</v>
      </c>
      <c r="B3715" s="6" t="s">
        <v>7783</v>
      </c>
      <c r="C3715" s="4" t="s">
        <v>23</v>
      </c>
      <c r="D3715" s="4">
        <v>14</v>
      </c>
      <c r="E3715" s="4" t="s">
        <v>6207</v>
      </c>
    </row>
    <row r="3716" spans="1:6">
      <c r="A3716" s="4" t="s">
        <v>7786</v>
      </c>
      <c r="B3716" s="6" t="s">
        <v>7787</v>
      </c>
      <c r="C3716" s="4" t="s">
        <v>254</v>
      </c>
      <c r="D3716" s="4">
        <v>13</v>
      </c>
      <c r="E3716" s="4" t="s">
        <v>6245</v>
      </c>
    </row>
    <row r="3717" spans="1:6">
      <c r="A3717" s="4" t="s">
        <v>7788</v>
      </c>
      <c r="B3717" s="6" t="s">
        <v>7789</v>
      </c>
      <c r="C3717" s="4" t="s">
        <v>2506</v>
      </c>
      <c r="D3717" s="4">
        <v>6</v>
      </c>
      <c r="E3717" s="4" t="s">
        <v>6192</v>
      </c>
      <c r="F3717" s="4" t="s">
        <v>7790</v>
      </c>
    </row>
    <row r="3718" spans="1:6">
      <c r="A3718" s="4" t="s">
        <v>7791</v>
      </c>
      <c r="B3718" s="6" t="s">
        <v>7789</v>
      </c>
      <c r="C3718" s="4" t="s">
        <v>2506</v>
      </c>
      <c r="D3718" s="4">
        <v>7</v>
      </c>
      <c r="E3718" s="4" t="s">
        <v>6192</v>
      </c>
      <c r="F3718" s="4" t="s">
        <v>7790</v>
      </c>
    </row>
    <row r="3719" spans="1:6">
      <c r="A3719" s="4" t="s">
        <v>7792</v>
      </c>
      <c r="B3719" s="6" t="s">
        <v>7789</v>
      </c>
      <c r="C3719" s="4" t="s">
        <v>558</v>
      </c>
      <c r="D3719" s="4">
        <v>10</v>
      </c>
      <c r="E3719" s="4" t="s">
        <v>7761</v>
      </c>
    </row>
    <row r="3720" spans="1:6">
      <c r="A3720" s="4" t="s">
        <v>7793</v>
      </c>
      <c r="B3720" s="6" t="s">
        <v>7794</v>
      </c>
      <c r="C3720" s="4" t="s">
        <v>34</v>
      </c>
      <c r="D3720" s="4">
        <v>6</v>
      </c>
      <c r="E3720" s="4" t="s">
        <v>6192</v>
      </c>
      <c r="F3720" s="4" t="s">
        <v>7795</v>
      </c>
    </row>
    <row r="3721" spans="1:6">
      <c r="A3721" s="4" t="s">
        <v>7796</v>
      </c>
      <c r="B3721" s="6" t="s">
        <v>7797</v>
      </c>
      <c r="C3721" s="4" t="s">
        <v>53</v>
      </c>
      <c r="D3721" s="4">
        <v>5</v>
      </c>
      <c r="E3721" s="4" t="s">
        <v>4212</v>
      </c>
      <c r="F3721" s="4" t="s">
        <v>339</v>
      </c>
    </row>
    <row r="3722" spans="1:6">
      <c r="A3722" s="4" t="s">
        <v>7798</v>
      </c>
      <c r="B3722" s="6" t="s">
        <v>7797</v>
      </c>
      <c r="C3722" s="4" t="s">
        <v>34</v>
      </c>
      <c r="D3722" s="4">
        <v>4</v>
      </c>
      <c r="E3722" s="4" t="s">
        <v>4212</v>
      </c>
    </row>
    <row r="3723" spans="1:6">
      <c r="A3723" s="4" t="s">
        <v>7799</v>
      </c>
      <c r="B3723" s="6" t="s">
        <v>7800</v>
      </c>
      <c r="C3723" s="4" t="s">
        <v>49</v>
      </c>
      <c r="D3723" s="4">
        <v>9</v>
      </c>
      <c r="E3723" s="4" t="s">
        <v>7801</v>
      </c>
    </row>
    <row r="3724" spans="1:6">
      <c r="A3724" s="4" t="s">
        <v>7802</v>
      </c>
      <c r="B3724" s="6" t="s">
        <v>7803</v>
      </c>
      <c r="C3724" s="4" t="s">
        <v>34</v>
      </c>
      <c r="D3724" s="4">
        <v>15</v>
      </c>
      <c r="E3724" s="4" t="s">
        <v>7804</v>
      </c>
    </row>
    <row r="3725" spans="1:6">
      <c r="A3725" s="4" t="s">
        <v>7805</v>
      </c>
      <c r="B3725" s="6" t="s">
        <v>7803</v>
      </c>
      <c r="C3725" s="4" t="s">
        <v>238</v>
      </c>
      <c r="D3725" s="4">
        <v>15</v>
      </c>
      <c r="E3725" s="4" t="s">
        <v>979</v>
      </c>
    </row>
    <row r="3726" spans="1:6">
      <c r="A3726" s="4" t="s">
        <v>7806</v>
      </c>
      <c r="B3726" s="6" t="s">
        <v>7807</v>
      </c>
      <c r="C3726" s="4" t="s">
        <v>23</v>
      </c>
      <c r="D3726" s="4">
        <v>15</v>
      </c>
      <c r="E3726" s="4" t="s">
        <v>2234</v>
      </c>
      <c r="F3726" s="4" t="s">
        <v>7808</v>
      </c>
    </row>
    <row r="3727" spans="1:6">
      <c r="A3727" s="4" t="s">
        <v>7809</v>
      </c>
      <c r="B3727" s="6" t="s">
        <v>7810</v>
      </c>
      <c r="C3727" s="4" t="s">
        <v>342</v>
      </c>
      <c r="D3727" s="4">
        <v>13</v>
      </c>
      <c r="E3727" s="4" t="s">
        <v>6183</v>
      </c>
    </row>
    <row r="3728" spans="1:6">
      <c r="A3728" s="4" t="s">
        <v>7811</v>
      </c>
      <c r="B3728" s="6" t="s">
        <v>7812</v>
      </c>
      <c r="C3728" s="4" t="s">
        <v>34</v>
      </c>
      <c r="D3728" s="4">
        <v>7</v>
      </c>
      <c r="E3728" s="4" t="s">
        <v>7813</v>
      </c>
    </row>
    <row r="3729" spans="1:6">
      <c r="A3729" s="4" t="s">
        <v>7814</v>
      </c>
      <c r="B3729" s="6" t="s">
        <v>7812</v>
      </c>
      <c r="C3729" s="4" t="s">
        <v>34</v>
      </c>
      <c r="D3729" s="4">
        <v>7</v>
      </c>
      <c r="E3729" s="4" t="s">
        <v>6192</v>
      </c>
      <c r="F3729" s="4" t="s">
        <v>7815</v>
      </c>
    </row>
    <row r="3730" spans="1:6">
      <c r="A3730" s="4" t="s">
        <v>6877</v>
      </c>
      <c r="B3730" s="6" t="s">
        <v>7812</v>
      </c>
      <c r="C3730" s="4" t="s">
        <v>6877</v>
      </c>
      <c r="D3730" s="4">
        <v>4</v>
      </c>
      <c r="E3730" s="4" t="s">
        <v>6192</v>
      </c>
      <c r="F3730" s="4" t="s">
        <v>7816</v>
      </c>
    </row>
    <row r="3731" spans="1:6">
      <c r="A3731" s="4" t="s">
        <v>7817</v>
      </c>
      <c r="B3731" s="6" t="s">
        <v>7818</v>
      </c>
      <c r="C3731" s="4" t="s">
        <v>87</v>
      </c>
      <c r="D3731" s="4">
        <v>17</v>
      </c>
      <c r="E3731" s="4" t="s">
        <v>6211</v>
      </c>
    </row>
    <row r="3732" spans="1:6">
      <c r="A3732" s="4" t="s">
        <v>7819</v>
      </c>
      <c r="B3732" s="6" t="s">
        <v>7818</v>
      </c>
      <c r="C3732" s="4" t="s">
        <v>34</v>
      </c>
      <c r="D3732" s="4">
        <v>17</v>
      </c>
      <c r="E3732" s="4" t="s">
        <v>7820</v>
      </c>
      <c r="F3732" s="4" t="s">
        <v>7821</v>
      </c>
    </row>
    <row r="3733" spans="1:6">
      <c r="A3733" s="4" t="s">
        <v>7822</v>
      </c>
      <c r="B3733" s="6" t="s">
        <v>7823</v>
      </c>
      <c r="C3733" s="4" t="s">
        <v>87</v>
      </c>
      <c r="D3733" s="4">
        <v>7</v>
      </c>
      <c r="E3733" s="4" t="s">
        <v>6211</v>
      </c>
      <c r="F3733" s="4" t="s">
        <v>7824</v>
      </c>
    </row>
    <row r="3734" spans="1:6">
      <c r="A3734" s="4" t="s">
        <v>7825</v>
      </c>
      <c r="B3734" s="6" t="s">
        <v>7823</v>
      </c>
      <c r="C3734" s="4" t="s">
        <v>45</v>
      </c>
      <c r="D3734" s="4">
        <v>6</v>
      </c>
      <c r="E3734" s="4" t="s">
        <v>6211</v>
      </c>
    </row>
    <row r="3735" spans="1:6">
      <c r="A3735" s="4" t="s">
        <v>7826</v>
      </c>
      <c r="B3735" s="6" t="s">
        <v>7823</v>
      </c>
      <c r="C3735" s="4" t="s">
        <v>34</v>
      </c>
      <c r="D3735" s="4">
        <v>7</v>
      </c>
      <c r="E3735" s="4" t="s">
        <v>6211</v>
      </c>
      <c r="F3735" s="4" t="s">
        <v>6348</v>
      </c>
    </row>
    <row r="3736" spans="1:6">
      <c r="A3736" s="4" t="s">
        <v>7827</v>
      </c>
      <c r="B3736" s="6" t="s">
        <v>7823</v>
      </c>
      <c r="C3736" s="4" t="s">
        <v>34</v>
      </c>
      <c r="D3736" s="4">
        <v>16</v>
      </c>
      <c r="E3736" s="4" t="s">
        <v>6211</v>
      </c>
    </row>
    <row r="3737" spans="1:6">
      <c r="A3737" s="4" t="s">
        <v>7828</v>
      </c>
      <c r="B3737" s="6" t="s">
        <v>7829</v>
      </c>
      <c r="C3737" s="4" t="s">
        <v>485</v>
      </c>
      <c r="D3737" s="4">
        <v>11</v>
      </c>
      <c r="E3737" s="4" t="s">
        <v>6245</v>
      </c>
      <c r="F3737" s="4" t="s">
        <v>7830</v>
      </c>
    </row>
    <row r="3738" spans="1:6">
      <c r="A3738" s="4" t="s">
        <v>7831</v>
      </c>
      <c r="B3738" s="6" t="s">
        <v>7829</v>
      </c>
      <c r="C3738" s="4" t="s">
        <v>45</v>
      </c>
      <c r="D3738" s="4">
        <v>14</v>
      </c>
      <c r="E3738" s="4" t="s">
        <v>6245</v>
      </c>
    </row>
    <row r="3739" spans="1:6">
      <c r="A3739" s="4" t="s">
        <v>7832</v>
      </c>
      <c r="B3739" s="6" t="s">
        <v>7833</v>
      </c>
      <c r="C3739" s="4" t="s">
        <v>1248</v>
      </c>
      <c r="D3739" s="4">
        <v>7</v>
      </c>
      <c r="E3739" s="4" t="s">
        <v>1253</v>
      </c>
    </row>
    <row r="3740" spans="1:6">
      <c r="A3740" s="4" t="s">
        <v>7834</v>
      </c>
      <c r="B3740" s="6" t="s">
        <v>7835</v>
      </c>
      <c r="C3740" s="4" t="s">
        <v>53</v>
      </c>
      <c r="D3740" s="4">
        <v>12</v>
      </c>
      <c r="E3740" s="4" t="s">
        <v>979</v>
      </c>
      <c r="F3740" s="4" t="s">
        <v>7836</v>
      </c>
    </row>
    <row r="3741" spans="1:6">
      <c r="A3741" s="4" t="s">
        <v>7837</v>
      </c>
      <c r="B3741" s="6" t="s">
        <v>7838</v>
      </c>
      <c r="C3741" s="4" t="s">
        <v>53</v>
      </c>
      <c r="D3741" s="4">
        <v>18</v>
      </c>
      <c r="E3741" s="4" t="s">
        <v>7839</v>
      </c>
      <c r="F3741" s="4" t="s">
        <v>639</v>
      </c>
    </row>
    <row r="3742" spans="1:6">
      <c r="A3742" s="4" t="s">
        <v>7840</v>
      </c>
      <c r="B3742" s="6" t="s">
        <v>7841</v>
      </c>
      <c r="C3742" s="4" t="s">
        <v>57</v>
      </c>
      <c r="D3742" s="4">
        <v>9</v>
      </c>
      <c r="E3742" s="4" t="s">
        <v>1030</v>
      </c>
      <c r="F3742" s="4" t="s">
        <v>7842</v>
      </c>
    </row>
    <row r="3743" spans="1:6">
      <c r="A3743" s="4" t="s">
        <v>7843</v>
      </c>
      <c r="B3743" s="6" t="s">
        <v>7844</v>
      </c>
      <c r="C3743" s="4" t="s">
        <v>315</v>
      </c>
      <c r="D3743" s="4">
        <v>18</v>
      </c>
      <c r="E3743" s="4" t="s">
        <v>1030</v>
      </c>
      <c r="F3743" s="4" t="s">
        <v>7845</v>
      </c>
    </row>
    <row r="3744" spans="1:6">
      <c r="A3744" s="4" t="s">
        <v>7846</v>
      </c>
      <c r="B3744" s="6" t="s">
        <v>7847</v>
      </c>
      <c r="C3744" s="4" t="s">
        <v>263</v>
      </c>
      <c r="D3744" s="4">
        <v>4</v>
      </c>
      <c r="E3744" s="4" t="s">
        <v>7848</v>
      </c>
      <c r="F3744" s="4" t="s">
        <v>7849</v>
      </c>
    </row>
    <row r="3745" spans="1:6">
      <c r="A3745" s="4" t="s">
        <v>7850</v>
      </c>
      <c r="B3745" s="6" t="s">
        <v>7851</v>
      </c>
      <c r="C3745" s="4" t="s">
        <v>1425</v>
      </c>
      <c r="D3745" s="4">
        <v>11</v>
      </c>
      <c r="E3745" s="4" t="s">
        <v>7852</v>
      </c>
    </row>
    <row r="3746" spans="1:6">
      <c r="A3746" s="4" t="s">
        <v>7853</v>
      </c>
      <c r="B3746" s="6" t="s">
        <v>7851</v>
      </c>
      <c r="C3746" s="4" t="s">
        <v>53</v>
      </c>
      <c r="D3746" s="4">
        <v>10</v>
      </c>
      <c r="E3746" s="4" t="s">
        <v>3929</v>
      </c>
    </row>
    <row r="3747" spans="1:6">
      <c r="A3747" s="4" t="s">
        <v>7854</v>
      </c>
      <c r="B3747" s="6" t="s">
        <v>7851</v>
      </c>
      <c r="C3747" s="4" t="s">
        <v>53</v>
      </c>
      <c r="D3747" s="4">
        <v>17</v>
      </c>
      <c r="E3747" s="4" t="s">
        <v>3929</v>
      </c>
      <c r="F3747" s="4" t="s">
        <v>6022</v>
      </c>
    </row>
    <row r="3748" spans="1:6">
      <c r="A3748" s="4" t="s">
        <v>7855</v>
      </c>
      <c r="B3748" s="6" t="s">
        <v>7856</v>
      </c>
      <c r="C3748" s="4" t="s">
        <v>87</v>
      </c>
      <c r="D3748" s="4">
        <v>7</v>
      </c>
      <c r="E3748" s="4" t="s">
        <v>1030</v>
      </c>
      <c r="F3748" s="4" t="s">
        <v>7857</v>
      </c>
    </row>
    <row r="3749" spans="1:6">
      <c r="A3749" s="4" t="s">
        <v>7858</v>
      </c>
      <c r="B3749" s="6" t="s">
        <v>7859</v>
      </c>
      <c r="C3749" s="4" t="s">
        <v>19</v>
      </c>
      <c r="D3749" s="4">
        <v>11</v>
      </c>
      <c r="E3749" s="4" t="s">
        <v>1030</v>
      </c>
      <c r="F3749" s="4" t="s">
        <v>7267</v>
      </c>
    </row>
    <row r="3750" spans="1:6">
      <c r="A3750" s="4" t="s">
        <v>7860</v>
      </c>
      <c r="B3750" s="6" t="s">
        <v>7859</v>
      </c>
      <c r="C3750" s="4" t="s">
        <v>1231</v>
      </c>
      <c r="D3750" s="4">
        <v>16</v>
      </c>
      <c r="E3750" s="4" t="s">
        <v>5222</v>
      </c>
      <c r="F3750" s="4" t="s">
        <v>7861</v>
      </c>
    </row>
    <row r="3751" spans="1:6">
      <c r="A3751" s="4" t="s">
        <v>7862</v>
      </c>
      <c r="B3751" s="6" t="s">
        <v>7863</v>
      </c>
      <c r="C3751" s="4" t="s">
        <v>81</v>
      </c>
      <c r="D3751" s="4">
        <v>9</v>
      </c>
      <c r="E3751" s="4" t="s">
        <v>989</v>
      </c>
    </row>
    <row r="3752" spans="1:6">
      <c r="A3752" s="4" t="s">
        <v>7864</v>
      </c>
      <c r="B3752" s="6" t="s">
        <v>7865</v>
      </c>
      <c r="C3752" s="4" t="s">
        <v>354</v>
      </c>
      <c r="D3752" s="4">
        <v>10</v>
      </c>
      <c r="E3752" s="4" t="s">
        <v>1030</v>
      </c>
    </row>
    <row r="3753" spans="1:6">
      <c r="A3753" s="4" t="s">
        <v>7866</v>
      </c>
      <c r="B3753" s="6" t="s">
        <v>7867</v>
      </c>
      <c r="C3753" s="4" t="s">
        <v>19</v>
      </c>
      <c r="D3753" s="4">
        <v>10</v>
      </c>
      <c r="E3753" s="4" t="s">
        <v>5222</v>
      </c>
    </row>
    <row r="3754" spans="1:6">
      <c r="A3754" s="4" t="s">
        <v>7868</v>
      </c>
      <c r="B3754" s="6" t="s">
        <v>7869</v>
      </c>
      <c r="C3754" s="4" t="s">
        <v>458</v>
      </c>
      <c r="D3754" s="4">
        <v>10</v>
      </c>
      <c r="E3754" s="4" t="s">
        <v>7852</v>
      </c>
    </row>
    <row r="3755" spans="1:6">
      <c r="A3755" s="4" t="s">
        <v>7870</v>
      </c>
      <c r="B3755" s="6" t="s">
        <v>7869</v>
      </c>
      <c r="C3755" s="4" t="s">
        <v>238</v>
      </c>
      <c r="D3755" s="4">
        <v>8</v>
      </c>
      <c r="E3755" s="4" t="s">
        <v>7852</v>
      </c>
    </row>
    <row r="3756" spans="1:6">
      <c r="A3756" s="4" t="s">
        <v>7871</v>
      </c>
      <c r="B3756" s="6" t="s">
        <v>7872</v>
      </c>
      <c r="C3756" s="4" t="s">
        <v>53</v>
      </c>
      <c r="D3756" s="4">
        <v>14</v>
      </c>
      <c r="E3756" s="4" t="s">
        <v>989</v>
      </c>
    </row>
    <row r="3757" spans="1:6">
      <c r="A3757" s="4" t="s">
        <v>7873</v>
      </c>
      <c r="B3757" s="6" t="s">
        <v>7874</v>
      </c>
      <c r="C3757" s="4" t="s">
        <v>87</v>
      </c>
      <c r="D3757" s="4">
        <v>12</v>
      </c>
      <c r="E3757" s="4" t="s">
        <v>7875</v>
      </c>
      <c r="F3757" s="4" t="s">
        <v>2377</v>
      </c>
    </row>
    <row r="3758" spans="1:6">
      <c r="A3758" s="4" t="s">
        <v>7876</v>
      </c>
      <c r="B3758" s="6" t="s">
        <v>7874</v>
      </c>
      <c r="C3758" s="4" t="s">
        <v>254</v>
      </c>
      <c r="D3758" s="4">
        <v>11</v>
      </c>
      <c r="E3758" s="4" t="s">
        <v>6722</v>
      </c>
      <c r="F3758" s="4" t="s">
        <v>592</v>
      </c>
    </row>
    <row r="3759" spans="1:6">
      <c r="A3759" s="4" t="s">
        <v>7877</v>
      </c>
      <c r="B3759" s="6" t="s">
        <v>7874</v>
      </c>
      <c r="C3759" s="4" t="s">
        <v>254</v>
      </c>
      <c r="D3759" s="4">
        <v>4</v>
      </c>
      <c r="E3759" s="4" t="s">
        <v>7875</v>
      </c>
      <c r="F3759" s="4" t="s">
        <v>7878</v>
      </c>
    </row>
    <row r="3760" spans="1:6">
      <c r="A3760" s="4" t="s">
        <v>7879</v>
      </c>
      <c r="B3760" s="6" t="s">
        <v>7874</v>
      </c>
      <c r="C3760" s="4" t="s">
        <v>81</v>
      </c>
      <c r="D3760" s="4">
        <v>12</v>
      </c>
      <c r="E3760" s="4" t="s">
        <v>6722</v>
      </c>
    </row>
    <row r="3761" spans="1:6">
      <c r="A3761" s="4" t="s">
        <v>7880</v>
      </c>
      <c r="B3761" s="6" t="s">
        <v>7874</v>
      </c>
      <c r="C3761" s="4" t="s">
        <v>104</v>
      </c>
      <c r="D3761" s="4">
        <v>8</v>
      </c>
      <c r="E3761" s="4" t="s">
        <v>7875</v>
      </c>
    </row>
    <row r="3762" spans="1:6">
      <c r="A3762" s="4" t="s">
        <v>7881</v>
      </c>
      <c r="B3762" s="6" t="s">
        <v>7882</v>
      </c>
      <c r="C3762" s="4" t="s">
        <v>87</v>
      </c>
      <c r="D3762" s="4">
        <v>13</v>
      </c>
      <c r="E3762" s="4" t="s">
        <v>1922</v>
      </c>
      <c r="F3762" s="4" t="s">
        <v>7883</v>
      </c>
    </row>
    <row r="3763" spans="1:6">
      <c r="A3763" s="4" t="s">
        <v>7884</v>
      </c>
      <c r="B3763" s="6" t="s">
        <v>7885</v>
      </c>
      <c r="C3763" s="4" t="s">
        <v>1433</v>
      </c>
      <c r="D3763" s="4">
        <v>8</v>
      </c>
      <c r="E3763" s="4" t="s">
        <v>1137</v>
      </c>
      <c r="F3763" s="4" t="s">
        <v>7886</v>
      </c>
    </row>
    <row r="3764" spans="1:6">
      <c r="A3764" s="4" t="s">
        <v>7887</v>
      </c>
      <c r="B3764" s="6" t="s">
        <v>7885</v>
      </c>
      <c r="C3764" s="4" t="s">
        <v>427</v>
      </c>
      <c r="D3764" s="4">
        <v>14</v>
      </c>
      <c r="E3764" s="4" t="s">
        <v>1137</v>
      </c>
    </row>
    <row r="3765" spans="1:6">
      <c r="A3765" s="4" t="s">
        <v>7888</v>
      </c>
      <c r="B3765" s="6" t="s">
        <v>7889</v>
      </c>
      <c r="C3765" s="4" t="s">
        <v>87</v>
      </c>
      <c r="D3765" s="4">
        <v>8</v>
      </c>
      <c r="E3765" s="4" t="s">
        <v>7890</v>
      </c>
    </row>
    <row r="3766" spans="1:6">
      <c r="A3766" s="4" t="s">
        <v>7891</v>
      </c>
      <c r="B3766" s="6" t="s">
        <v>7892</v>
      </c>
      <c r="C3766" s="4" t="s">
        <v>23</v>
      </c>
      <c r="D3766" s="4">
        <v>10</v>
      </c>
      <c r="E3766" s="4" t="s">
        <v>1101</v>
      </c>
    </row>
    <row r="3767" spans="1:6">
      <c r="A3767" s="4" t="s">
        <v>7893</v>
      </c>
      <c r="B3767" s="6" t="s">
        <v>7892</v>
      </c>
      <c r="C3767" s="4" t="s">
        <v>34</v>
      </c>
      <c r="D3767" s="4">
        <v>7</v>
      </c>
      <c r="E3767" s="4" t="s">
        <v>1187</v>
      </c>
      <c r="F3767" s="4" t="s">
        <v>1280</v>
      </c>
    </row>
    <row r="3768" spans="1:6">
      <c r="A3768" s="4" t="s">
        <v>7894</v>
      </c>
      <c r="B3768" s="6" t="s">
        <v>7892</v>
      </c>
      <c r="C3768" s="4" t="s">
        <v>87</v>
      </c>
      <c r="D3768" s="4">
        <v>10</v>
      </c>
      <c r="E3768" s="4" t="s">
        <v>1187</v>
      </c>
    </row>
    <row r="3769" spans="1:6">
      <c r="A3769" s="4" t="s">
        <v>7895</v>
      </c>
      <c r="B3769" s="6" t="s">
        <v>7896</v>
      </c>
      <c r="C3769" s="4" t="s">
        <v>301</v>
      </c>
      <c r="D3769" s="4">
        <v>21</v>
      </c>
      <c r="E3769" s="4" t="s">
        <v>1183</v>
      </c>
      <c r="F3769" s="4" t="s">
        <v>7897</v>
      </c>
    </row>
    <row r="3770" spans="1:6">
      <c r="A3770" s="4" t="s">
        <v>7898</v>
      </c>
      <c r="B3770" s="6" t="s">
        <v>7896</v>
      </c>
      <c r="C3770" s="4" t="s">
        <v>27</v>
      </c>
      <c r="D3770" s="4">
        <v>20</v>
      </c>
      <c r="E3770" s="4" t="s">
        <v>1183</v>
      </c>
    </row>
    <row r="3771" spans="1:6">
      <c r="A3771" s="4" t="s">
        <v>7899</v>
      </c>
      <c r="B3771" s="6" t="s">
        <v>7896</v>
      </c>
      <c r="C3771" s="4" t="s">
        <v>41</v>
      </c>
      <c r="D3771" s="4">
        <v>15</v>
      </c>
      <c r="E3771" s="4" t="s">
        <v>1183</v>
      </c>
    </row>
    <row r="3772" spans="1:6">
      <c r="A3772" s="4" t="s">
        <v>7900</v>
      </c>
      <c r="B3772" s="6" t="s">
        <v>7901</v>
      </c>
      <c r="C3772" s="4" t="s">
        <v>87</v>
      </c>
      <c r="D3772" s="4">
        <v>15</v>
      </c>
      <c r="E3772" s="4" t="s">
        <v>2161</v>
      </c>
      <c r="F3772" s="4" t="s">
        <v>7902</v>
      </c>
    </row>
    <row r="3773" spans="1:6">
      <c r="A3773" s="4" t="s">
        <v>7903</v>
      </c>
      <c r="B3773" s="6" t="s">
        <v>7904</v>
      </c>
      <c r="C3773" s="4" t="s">
        <v>354</v>
      </c>
      <c r="D3773" s="4">
        <v>12</v>
      </c>
      <c r="E3773" s="4" t="s">
        <v>2161</v>
      </c>
      <c r="F3773" s="4" t="s">
        <v>4440</v>
      </c>
    </row>
    <row r="3774" spans="1:6">
      <c r="A3774" s="4" t="s">
        <v>7905</v>
      </c>
      <c r="B3774" s="6" t="s">
        <v>7906</v>
      </c>
      <c r="C3774" s="4" t="s">
        <v>605</v>
      </c>
      <c r="D3774" s="4">
        <v>10</v>
      </c>
      <c r="E3774" s="4" t="s">
        <v>1183</v>
      </c>
    </row>
    <row r="3775" spans="1:6">
      <c r="A3775" s="4" t="s">
        <v>7907</v>
      </c>
      <c r="B3775" s="6" t="s">
        <v>7908</v>
      </c>
      <c r="C3775" s="4" t="s">
        <v>403</v>
      </c>
      <c r="D3775" s="4">
        <v>15</v>
      </c>
      <c r="E3775" s="4" t="s">
        <v>1183</v>
      </c>
    </row>
    <row r="3776" spans="1:6">
      <c r="A3776" s="4" t="s">
        <v>7909</v>
      </c>
      <c r="B3776" s="6" t="s">
        <v>7910</v>
      </c>
      <c r="C3776" s="4" t="s">
        <v>34</v>
      </c>
      <c r="D3776" s="4">
        <v>14</v>
      </c>
      <c r="E3776" s="4" t="s">
        <v>1004</v>
      </c>
      <c r="F3776" s="4" t="s">
        <v>7911</v>
      </c>
    </row>
    <row r="3777" spans="1:6">
      <c r="A3777" s="4" t="s">
        <v>7912</v>
      </c>
      <c r="B3777" s="6" t="s">
        <v>7913</v>
      </c>
      <c r="C3777" s="4" t="s">
        <v>351</v>
      </c>
      <c r="D3777" s="4">
        <v>15</v>
      </c>
      <c r="E3777" s="4" t="s">
        <v>1101</v>
      </c>
      <c r="F3777" s="4" t="s">
        <v>7914</v>
      </c>
    </row>
    <row r="3778" spans="1:6">
      <c r="A3778" s="4" t="s">
        <v>7915</v>
      </c>
      <c r="B3778" s="6" t="s">
        <v>7913</v>
      </c>
      <c r="C3778" s="4" t="s">
        <v>34</v>
      </c>
      <c r="D3778" s="4">
        <v>15</v>
      </c>
      <c r="E3778" s="4" t="s">
        <v>1101</v>
      </c>
    </row>
    <row r="3779" spans="1:6">
      <c r="A3779" s="4" t="s">
        <v>2397</v>
      </c>
      <c r="B3779" s="6" t="s">
        <v>7913</v>
      </c>
      <c r="C3779" s="4" t="s">
        <v>2397</v>
      </c>
      <c r="D3779" s="4">
        <v>3</v>
      </c>
      <c r="E3779" s="4" t="s">
        <v>2769</v>
      </c>
    </row>
    <row r="3780" spans="1:6">
      <c r="A3780" s="4" t="s">
        <v>7916</v>
      </c>
      <c r="B3780" s="6" t="s">
        <v>7917</v>
      </c>
      <c r="C3780" s="4" t="s">
        <v>976</v>
      </c>
      <c r="D3780" s="4">
        <v>6</v>
      </c>
      <c r="E3780" s="4" t="s">
        <v>3528</v>
      </c>
      <c r="F3780" s="4" t="s">
        <v>7918</v>
      </c>
    </row>
    <row r="3781" spans="1:6">
      <c r="A3781" s="4" t="s">
        <v>7919</v>
      </c>
      <c r="B3781" s="6" t="s">
        <v>7917</v>
      </c>
      <c r="C3781" s="4" t="s">
        <v>23</v>
      </c>
      <c r="D3781" s="4">
        <v>5</v>
      </c>
      <c r="E3781" s="4" t="s">
        <v>1069</v>
      </c>
      <c r="F3781" s="4" t="s">
        <v>7920</v>
      </c>
    </row>
    <row r="3782" spans="1:6">
      <c r="A3782" s="4" t="s">
        <v>7921</v>
      </c>
      <c r="B3782" s="6" t="s">
        <v>7917</v>
      </c>
      <c r="C3782" s="4" t="s">
        <v>1431</v>
      </c>
      <c r="D3782" s="4">
        <v>14</v>
      </c>
      <c r="E3782" s="4" t="s">
        <v>2161</v>
      </c>
    </row>
    <row r="3783" spans="1:6">
      <c r="A3783" s="4" t="s">
        <v>7922</v>
      </c>
      <c r="B3783" s="6" t="s">
        <v>7917</v>
      </c>
      <c r="C3783" s="4" t="s">
        <v>7368</v>
      </c>
      <c r="D3783" s="4">
        <v>14</v>
      </c>
      <c r="E3783" s="4" t="s">
        <v>2161</v>
      </c>
    </row>
    <row r="3784" spans="1:6">
      <c r="A3784" s="4" t="s">
        <v>7923</v>
      </c>
      <c r="B3784" s="6" t="s">
        <v>7924</v>
      </c>
      <c r="C3784" s="4" t="s">
        <v>254</v>
      </c>
      <c r="D3784" s="4">
        <v>11</v>
      </c>
      <c r="E3784" s="4" t="s">
        <v>2122</v>
      </c>
    </row>
    <row r="3785" spans="1:6">
      <c r="A3785" s="4" t="s">
        <v>7925</v>
      </c>
      <c r="B3785" s="6" t="s">
        <v>7924</v>
      </c>
      <c r="C3785" s="4" t="s">
        <v>453</v>
      </c>
      <c r="D3785" s="4">
        <v>9</v>
      </c>
      <c r="E3785" s="4" t="s">
        <v>2272</v>
      </c>
    </row>
    <row r="3786" spans="1:6">
      <c r="A3786" s="4" t="s">
        <v>7926</v>
      </c>
      <c r="B3786" s="6" t="s">
        <v>7924</v>
      </c>
      <c r="C3786" s="4" t="s">
        <v>461</v>
      </c>
      <c r="D3786" s="4">
        <v>13</v>
      </c>
      <c r="E3786" s="4" t="s">
        <v>2122</v>
      </c>
    </row>
    <row r="3787" spans="1:6">
      <c r="A3787" s="4" t="s">
        <v>7927</v>
      </c>
      <c r="B3787" s="6" t="s">
        <v>7924</v>
      </c>
      <c r="C3787" s="4" t="s">
        <v>238</v>
      </c>
      <c r="D3787" s="4">
        <v>12</v>
      </c>
      <c r="E3787" s="4" t="s">
        <v>2122</v>
      </c>
    </row>
    <row r="3788" spans="1:6">
      <c r="A3788" s="4" t="s">
        <v>7928</v>
      </c>
      <c r="B3788" s="6" t="s">
        <v>7929</v>
      </c>
      <c r="C3788" s="4" t="s">
        <v>390</v>
      </c>
      <c r="D3788" s="4">
        <v>13</v>
      </c>
      <c r="E3788" s="4" t="s">
        <v>1137</v>
      </c>
      <c r="F3788" s="4" t="s">
        <v>793</v>
      </c>
    </row>
    <row r="3789" spans="1:6">
      <c r="A3789" s="4" t="s">
        <v>7930</v>
      </c>
      <c r="B3789" s="6" t="s">
        <v>7929</v>
      </c>
      <c r="C3789" s="4" t="s">
        <v>1091</v>
      </c>
      <c r="D3789" s="4">
        <v>10</v>
      </c>
      <c r="E3789" s="4" t="s">
        <v>1137</v>
      </c>
      <c r="F3789" s="4" t="s">
        <v>7931</v>
      </c>
    </row>
    <row r="3790" spans="1:6">
      <c r="A3790" s="4" t="s">
        <v>7932</v>
      </c>
      <c r="B3790" s="6" t="s">
        <v>7929</v>
      </c>
      <c r="C3790" s="4" t="s">
        <v>104</v>
      </c>
      <c r="D3790" s="4">
        <v>12</v>
      </c>
      <c r="E3790" s="4" t="s">
        <v>1137</v>
      </c>
    </row>
    <row r="3791" spans="1:6">
      <c r="A3791" s="4" t="s">
        <v>7933</v>
      </c>
      <c r="B3791" s="6" t="s">
        <v>7934</v>
      </c>
      <c r="C3791" s="4" t="s">
        <v>34</v>
      </c>
      <c r="D3791" s="4">
        <v>14</v>
      </c>
      <c r="E3791" s="4" t="s">
        <v>1705</v>
      </c>
      <c r="F3791" s="4" t="s">
        <v>7584</v>
      </c>
    </row>
    <row r="3792" spans="1:6">
      <c r="A3792" s="4" t="s">
        <v>7935</v>
      </c>
      <c r="B3792" s="6" t="s">
        <v>7936</v>
      </c>
      <c r="C3792" s="4" t="s">
        <v>87</v>
      </c>
      <c r="D3792" s="4">
        <v>14</v>
      </c>
      <c r="E3792" s="4" t="s">
        <v>1705</v>
      </c>
      <c r="F3792" s="4" t="s">
        <v>7937</v>
      </c>
    </row>
    <row r="3793" spans="1:6">
      <c r="A3793" s="4" t="s">
        <v>7938</v>
      </c>
      <c r="B3793" s="6" t="s">
        <v>7939</v>
      </c>
      <c r="C3793" s="4" t="s">
        <v>87</v>
      </c>
      <c r="D3793" s="4">
        <v>6</v>
      </c>
      <c r="E3793" s="4" t="s">
        <v>1137</v>
      </c>
      <c r="F3793" s="4" t="s">
        <v>7940</v>
      </c>
    </row>
    <row r="3794" spans="1:6">
      <c r="A3794" s="4" t="s">
        <v>7941</v>
      </c>
      <c r="B3794" s="6" t="s">
        <v>7939</v>
      </c>
      <c r="C3794" s="4" t="s">
        <v>275</v>
      </c>
      <c r="D3794" s="4">
        <v>12</v>
      </c>
      <c r="E3794" s="4" t="s">
        <v>1137</v>
      </c>
      <c r="F3794" s="4" t="s">
        <v>7942</v>
      </c>
    </row>
    <row r="3795" spans="1:6">
      <c r="A3795" s="4" t="s">
        <v>7943</v>
      </c>
      <c r="B3795" s="6" t="s">
        <v>7939</v>
      </c>
      <c r="C3795" s="4" t="s">
        <v>34</v>
      </c>
      <c r="D3795" s="4">
        <v>9</v>
      </c>
      <c r="E3795" s="4" t="s">
        <v>7944</v>
      </c>
      <c r="F3795" s="4" t="s">
        <v>7945</v>
      </c>
    </row>
    <row r="3796" spans="1:6">
      <c r="A3796" s="4" t="s">
        <v>7946</v>
      </c>
      <c r="B3796" s="6" t="s">
        <v>7947</v>
      </c>
      <c r="C3796" s="4" t="s">
        <v>458</v>
      </c>
      <c r="D3796" s="4">
        <v>12</v>
      </c>
      <c r="E3796" s="4" t="s">
        <v>2122</v>
      </c>
      <c r="F3796" s="4" t="s">
        <v>7948</v>
      </c>
    </row>
    <row r="3797" spans="1:6">
      <c r="A3797" s="4" t="s">
        <v>7949</v>
      </c>
      <c r="B3797" s="6" t="s">
        <v>7947</v>
      </c>
      <c r="C3797" s="4" t="s">
        <v>23</v>
      </c>
      <c r="D3797" s="4">
        <v>7</v>
      </c>
      <c r="E3797" s="4" t="s">
        <v>2122</v>
      </c>
    </row>
    <row r="3798" spans="1:6">
      <c r="A3798" s="4" t="s">
        <v>7950</v>
      </c>
      <c r="B3798" s="6" t="s">
        <v>7951</v>
      </c>
      <c r="C3798" s="4" t="s">
        <v>458</v>
      </c>
      <c r="D3798" s="4">
        <v>13</v>
      </c>
      <c r="E3798" s="4" t="s">
        <v>1137</v>
      </c>
    </row>
    <row r="3799" spans="1:6">
      <c r="A3799" s="4" t="s">
        <v>7952</v>
      </c>
      <c r="B3799" s="6" t="s">
        <v>7951</v>
      </c>
      <c r="C3799" s="4" t="s">
        <v>76</v>
      </c>
      <c r="D3799" s="4">
        <v>11</v>
      </c>
      <c r="E3799" s="4" t="s">
        <v>5512</v>
      </c>
    </row>
    <row r="3800" spans="1:6">
      <c r="A3800" s="4" t="s">
        <v>7953</v>
      </c>
      <c r="B3800" s="6" t="s">
        <v>7951</v>
      </c>
      <c r="C3800" s="4" t="s">
        <v>285</v>
      </c>
      <c r="D3800" s="4">
        <v>9</v>
      </c>
      <c r="E3800" s="4" t="s">
        <v>7944</v>
      </c>
    </row>
    <row r="3801" spans="1:6">
      <c r="A3801" s="4" t="s">
        <v>7954</v>
      </c>
      <c r="B3801" s="6" t="s">
        <v>7955</v>
      </c>
      <c r="C3801" s="4" t="s">
        <v>87</v>
      </c>
      <c r="D3801" s="4">
        <v>8</v>
      </c>
      <c r="E3801" s="4" t="s">
        <v>2277</v>
      </c>
      <c r="F3801" s="4" t="s">
        <v>4857</v>
      </c>
    </row>
    <row r="3802" spans="1:6">
      <c r="A3802" s="4" t="s">
        <v>7956</v>
      </c>
      <c r="B3802" s="6" t="s">
        <v>7955</v>
      </c>
      <c r="C3802" s="4" t="s">
        <v>254</v>
      </c>
      <c r="D3802" s="4">
        <v>10</v>
      </c>
      <c r="E3802" s="4" t="s">
        <v>1137</v>
      </c>
      <c r="F3802" s="4" t="s">
        <v>7957</v>
      </c>
    </row>
    <row r="3803" spans="1:6">
      <c r="A3803" s="4" t="s">
        <v>7958</v>
      </c>
      <c r="B3803" s="6" t="s">
        <v>7959</v>
      </c>
      <c r="C3803" s="4" t="s">
        <v>34</v>
      </c>
      <c r="D3803" s="4">
        <v>18</v>
      </c>
      <c r="E3803" s="4" t="s">
        <v>7960</v>
      </c>
      <c r="F3803" s="4" t="s">
        <v>7961</v>
      </c>
    </row>
    <row r="3804" spans="1:6">
      <c r="A3804" s="4" t="s">
        <v>7962</v>
      </c>
      <c r="B3804" s="6" t="s">
        <v>7963</v>
      </c>
      <c r="C3804" s="4" t="s">
        <v>87</v>
      </c>
      <c r="D3804" s="4">
        <v>16</v>
      </c>
      <c r="E3804" s="4" t="s">
        <v>7964</v>
      </c>
      <c r="F3804" s="4" t="s">
        <v>7965</v>
      </c>
    </row>
    <row r="3805" spans="1:6">
      <c r="A3805" s="4" t="s">
        <v>7966</v>
      </c>
      <c r="B3805" s="6" t="s">
        <v>7967</v>
      </c>
      <c r="C3805" s="4" t="s">
        <v>254</v>
      </c>
      <c r="D3805" s="4">
        <v>6</v>
      </c>
      <c r="E3805" s="4" t="s">
        <v>1161</v>
      </c>
      <c r="F3805" s="4" t="s">
        <v>7968</v>
      </c>
    </row>
    <row r="3806" spans="1:6">
      <c r="A3806" s="4" t="s">
        <v>7969</v>
      </c>
      <c r="B3806" s="6" t="s">
        <v>7970</v>
      </c>
      <c r="C3806" s="4" t="s">
        <v>1560</v>
      </c>
      <c r="D3806" s="4">
        <v>9</v>
      </c>
      <c r="E3806" s="4" t="s">
        <v>7971</v>
      </c>
      <c r="F3806" s="4" t="s">
        <v>7972</v>
      </c>
    </row>
    <row r="3807" spans="1:6">
      <c r="A3807" s="4" t="s">
        <v>7973</v>
      </c>
      <c r="B3807" s="6" t="s">
        <v>7974</v>
      </c>
      <c r="C3807" s="4" t="s">
        <v>1078</v>
      </c>
      <c r="D3807" s="4">
        <v>18</v>
      </c>
      <c r="E3807" s="4" t="s">
        <v>6211</v>
      </c>
    </row>
    <row r="3808" spans="1:6">
      <c r="A3808" s="4" t="s">
        <v>7975</v>
      </c>
      <c r="B3808" s="6" t="s">
        <v>7976</v>
      </c>
      <c r="C3808" s="4" t="s">
        <v>19</v>
      </c>
      <c r="D3808" s="4">
        <v>8</v>
      </c>
      <c r="E3808" s="4" t="s">
        <v>1148</v>
      </c>
      <c r="F3808" s="4" t="s">
        <v>7977</v>
      </c>
    </row>
    <row r="3809" spans="1:6">
      <c r="A3809" s="4" t="s">
        <v>7978</v>
      </c>
      <c r="B3809" s="6" t="s">
        <v>7976</v>
      </c>
      <c r="C3809" s="4" t="s">
        <v>92</v>
      </c>
      <c r="D3809" s="4">
        <v>20</v>
      </c>
      <c r="E3809" s="4" t="s">
        <v>6375</v>
      </c>
    </row>
    <row r="3810" spans="1:6">
      <c r="A3810" s="4" t="s">
        <v>7979</v>
      </c>
      <c r="B3810" s="6" t="s">
        <v>7980</v>
      </c>
      <c r="C3810" s="4" t="s">
        <v>705</v>
      </c>
      <c r="D3810" s="4">
        <v>7</v>
      </c>
      <c r="E3810" s="4" t="s">
        <v>7374</v>
      </c>
      <c r="F3810" s="4" t="s">
        <v>7981</v>
      </c>
    </row>
    <row r="3811" spans="1:6">
      <c r="A3811" s="4" t="s">
        <v>7982</v>
      </c>
      <c r="B3811" s="6" t="s">
        <v>7983</v>
      </c>
      <c r="C3811" s="4" t="s">
        <v>140</v>
      </c>
      <c r="D3811" s="4">
        <v>17</v>
      </c>
      <c r="E3811" s="4" t="s">
        <v>7984</v>
      </c>
    </row>
    <row r="3812" spans="1:6">
      <c r="A3812" s="4" t="s">
        <v>7985</v>
      </c>
      <c r="B3812" s="6" t="s">
        <v>7986</v>
      </c>
      <c r="C3812" s="4" t="s">
        <v>785</v>
      </c>
      <c r="D3812" s="4">
        <v>4</v>
      </c>
      <c r="E3812" s="4" t="s">
        <v>1161</v>
      </c>
      <c r="F3812" s="4" t="s">
        <v>7968</v>
      </c>
    </row>
    <row r="3813" spans="1:6">
      <c r="A3813" s="4" t="s">
        <v>7987</v>
      </c>
      <c r="B3813" s="6" t="s">
        <v>7986</v>
      </c>
      <c r="C3813" s="4" t="s">
        <v>223</v>
      </c>
      <c r="D3813" s="4">
        <v>10</v>
      </c>
      <c r="E3813" s="4" t="s">
        <v>1161</v>
      </c>
    </row>
    <row r="3814" spans="1:6">
      <c r="A3814" s="4" t="s">
        <v>7988</v>
      </c>
      <c r="B3814" s="6" t="s">
        <v>7986</v>
      </c>
      <c r="C3814" s="4" t="s">
        <v>81</v>
      </c>
      <c r="D3814" s="4">
        <v>8</v>
      </c>
      <c r="E3814" s="4" t="s">
        <v>1161</v>
      </c>
    </row>
    <row r="3815" spans="1:6">
      <c r="A3815" s="4" t="s">
        <v>7989</v>
      </c>
      <c r="B3815" s="6" t="s">
        <v>7990</v>
      </c>
      <c r="C3815" s="4" t="s">
        <v>275</v>
      </c>
      <c r="D3815" s="4">
        <v>9</v>
      </c>
      <c r="E3815" s="4" t="s">
        <v>7991</v>
      </c>
      <c r="F3815" s="4" t="s">
        <v>7992</v>
      </c>
    </row>
    <row r="3816" spans="1:6">
      <c r="A3816" s="4" t="s">
        <v>7993</v>
      </c>
      <c r="B3816" s="6" t="s">
        <v>7990</v>
      </c>
      <c r="C3816" s="4" t="s">
        <v>53</v>
      </c>
      <c r="D3816" s="4">
        <v>12</v>
      </c>
      <c r="E3816" s="4" t="s">
        <v>7991</v>
      </c>
      <c r="F3816" s="4" t="s">
        <v>7994</v>
      </c>
    </row>
    <row r="3817" spans="1:6">
      <c r="A3817" s="4" t="s">
        <v>6145</v>
      </c>
      <c r="B3817" s="6" t="s">
        <v>7990</v>
      </c>
      <c r="C3817" s="4" t="s">
        <v>6145</v>
      </c>
      <c r="D3817" s="4">
        <v>3</v>
      </c>
    </row>
    <row r="3818" spans="1:6">
      <c r="A3818" s="4" t="s">
        <v>529</v>
      </c>
      <c r="B3818" s="6" t="s">
        <v>7990</v>
      </c>
      <c r="C3818" s="4" t="s">
        <v>529</v>
      </c>
      <c r="D3818" s="4">
        <v>3</v>
      </c>
    </row>
    <row r="3819" spans="1:6">
      <c r="A3819" s="4" t="s">
        <v>7995</v>
      </c>
      <c r="B3819" s="6" t="s">
        <v>7996</v>
      </c>
      <c r="C3819" s="4" t="s">
        <v>315</v>
      </c>
      <c r="D3819" s="4">
        <v>16</v>
      </c>
      <c r="E3819" s="4" t="s">
        <v>7997</v>
      </c>
      <c r="F3819" s="4" t="s">
        <v>7998</v>
      </c>
    </row>
    <row r="3820" spans="1:6">
      <c r="A3820" s="4" t="s">
        <v>7999</v>
      </c>
      <c r="B3820" s="6" t="s">
        <v>8000</v>
      </c>
      <c r="C3820" s="4" t="s">
        <v>254</v>
      </c>
      <c r="D3820" s="4">
        <v>6</v>
      </c>
      <c r="E3820" s="4" t="s">
        <v>2176</v>
      </c>
      <c r="F3820" s="4" t="s">
        <v>8001</v>
      </c>
    </row>
    <row r="3821" spans="1:6">
      <c r="A3821" s="4" t="s">
        <v>8002</v>
      </c>
      <c r="B3821" s="6" t="s">
        <v>8003</v>
      </c>
      <c r="C3821" s="4" t="s">
        <v>254</v>
      </c>
      <c r="D3821" s="4">
        <v>13</v>
      </c>
      <c r="E3821" s="4" t="s">
        <v>2176</v>
      </c>
      <c r="F3821" s="4" t="s">
        <v>8001</v>
      </c>
    </row>
    <row r="3822" spans="1:6">
      <c r="A3822" s="4" t="s">
        <v>8004</v>
      </c>
      <c r="B3822" s="6" t="s">
        <v>8005</v>
      </c>
      <c r="C3822" s="4" t="s">
        <v>268</v>
      </c>
      <c r="D3822" s="4">
        <v>15</v>
      </c>
      <c r="E3822" s="4" t="s">
        <v>1161</v>
      </c>
    </row>
    <row r="3823" spans="1:6">
      <c r="A3823" s="4" t="s">
        <v>8006</v>
      </c>
      <c r="B3823" s="6" t="s">
        <v>8005</v>
      </c>
      <c r="C3823" s="4" t="s">
        <v>104</v>
      </c>
      <c r="D3823" s="4">
        <v>9</v>
      </c>
      <c r="E3823" s="4" t="s">
        <v>1161</v>
      </c>
      <c r="F3823" s="4" t="s">
        <v>2226</v>
      </c>
    </row>
    <row r="3824" spans="1:6">
      <c r="A3824" s="4" t="s">
        <v>8007</v>
      </c>
      <c r="B3824" s="6" t="s">
        <v>8005</v>
      </c>
      <c r="C3824" s="4" t="s">
        <v>104</v>
      </c>
      <c r="D3824" s="4">
        <v>11</v>
      </c>
      <c r="E3824" s="4" t="s">
        <v>1161</v>
      </c>
      <c r="F3824" s="4" t="s">
        <v>2226</v>
      </c>
    </row>
    <row r="3825" spans="1:6">
      <c r="A3825" s="4" t="s">
        <v>8008</v>
      </c>
      <c r="B3825" s="6" t="s">
        <v>8009</v>
      </c>
      <c r="C3825" s="4" t="s">
        <v>254</v>
      </c>
      <c r="D3825" s="4">
        <v>7</v>
      </c>
      <c r="E3825" s="4" t="s">
        <v>5336</v>
      </c>
      <c r="F3825" s="4" t="s">
        <v>6758</v>
      </c>
    </row>
    <row r="3826" spans="1:6">
      <c r="A3826" s="4" t="s">
        <v>403</v>
      </c>
      <c r="B3826" s="6" t="s">
        <v>8010</v>
      </c>
      <c r="C3826" s="4" t="s">
        <v>403</v>
      </c>
      <c r="D3826" s="4">
        <v>6</v>
      </c>
      <c r="E3826" s="4" t="s">
        <v>6408</v>
      </c>
      <c r="F3826" s="4" t="s">
        <v>5210</v>
      </c>
    </row>
    <row r="3827" spans="1:6">
      <c r="A3827" s="4" t="s">
        <v>8011</v>
      </c>
      <c r="B3827" s="6" t="s">
        <v>8010</v>
      </c>
      <c r="C3827" s="4" t="s">
        <v>53</v>
      </c>
      <c r="D3827" s="4">
        <v>16</v>
      </c>
      <c r="E3827" s="4" t="s">
        <v>6408</v>
      </c>
      <c r="F3827" s="4" t="s">
        <v>8012</v>
      </c>
    </row>
    <row r="3828" spans="1:6">
      <c r="A3828" s="4" t="s">
        <v>8013</v>
      </c>
      <c r="B3828" s="6" t="s">
        <v>8014</v>
      </c>
      <c r="C3828" s="4" t="s">
        <v>403</v>
      </c>
      <c r="D3828" s="4">
        <v>8</v>
      </c>
      <c r="E3828" s="4" t="s">
        <v>8015</v>
      </c>
    </row>
    <row r="3829" spans="1:6">
      <c r="A3829" s="4" t="s">
        <v>8016</v>
      </c>
      <c r="B3829" s="6" t="s">
        <v>8017</v>
      </c>
      <c r="C3829" s="4" t="s">
        <v>95</v>
      </c>
      <c r="D3829" s="4">
        <v>12</v>
      </c>
      <c r="E3829" s="4" t="s">
        <v>1161</v>
      </c>
      <c r="F3829" s="4" t="s">
        <v>7346</v>
      </c>
    </row>
    <row r="3830" spans="1:6">
      <c r="A3830" s="4" t="s">
        <v>8018</v>
      </c>
      <c r="B3830" s="6" t="s">
        <v>8017</v>
      </c>
      <c r="C3830" s="4" t="s">
        <v>81</v>
      </c>
      <c r="D3830" s="4">
        <v>11</v>
      </c>
      <c r="E3830" s="4" t="s">
        <v>1161</v>
      </c>
    </row>
    <row r="3831" spans="1:6">
      <c r="A3831" s="4" t="s">
        <v>8019</v>
      </c>
      <c r="B3831" s="6" t="s">
        <v>8017</v>
      </c>
      <c r="C3831" s="4" t="s">
        <v>439</v>
      </c>
      <c r="D3831" s="4">
        <v>21</v>
      </c>
      <c r="E3831" s="4" t="s">
        <v>1161</v>
      </c>
    </row>
    <row r="3832" spans="1:6">
      <c r="A3832" s="4" t="s">
        <v>427</v>
      </c>
      <c r="B3832" s="6" t="s">
        <v>8020</v>
      </c>
      <c r="C3832" s="4" t="s">
        <v>427</v>
      </c>
      <c r="D3832" s="4">
        <v>6</v>
      </c>
      <c r="E3832" s="4" t="s">
        <v>1161</v>
      </c>
      <c r="F3832" s="4" t="s">
        <v>8021</v>
      </c>
    </row>
    <row r="3833" spans="1:6">
      <c r="A3833" s="4" t="s">
        <v>8022</v>
      </c>
      <c r="B3833" s="6" t="s">
        <v>8023</v>
      </c>
      <c r="C3833" s="4" t="s">
        <v>27</v>
      </c>
      <c r="D3833" s="4">
        <v>12</v>
      </c>
      <c r="E3833" s="4" t="s">
        <v>2161</v>
      </c>
      <c r="F3833" s="4" t="s">
        <v>5707</v>
      </c>
    </row>
    <row r="3834" spans="1:6">
      <c r="A3834" s="4" t="s">
        <v>8024</v>
      </c>
      <c r="B3834" s="6" t="s">
        <v>8023</v>
      </c>
      <c r="C3834" s="4" t="s">
        <v>3483</v>
      </c>
      <c r="D3834" s="4">
        <v>10</v>
      </c>
      <c r="E3834" s="4" t="s">
        <v>2161</v>
      </c>
    </row>
    <row r="3835" spans="1:6">
      <c r="A3835" s="4" t="s">
        <v>474</v>
      </c>
      <c r="B3835" s="6" t="s">
        <v>8025</v>
      </c>
      <c r="C3835" s="4" t="s">
        <v>474</v>
      </c>
      <c r="D3835" s="4">
        <v>2</v>
      </c>
      <c r="E3835" s="4" t="s">
        <v>391</v>
      </c>
    </row>
    <row r="3836" spans="1:6">
      <c r="A3836" s="4" t="s">
        <v>8026</v>
      </c>
      <c r="B3836" s="6" t="s">
        <v>8027</v>
      </c>
      <c r="C3836" s="4" t="s">
        <v>45</v>
      </c>
      <c r="D3836" s="4">
        <v>8</v>
      </c>
      <c r="E3836" s="4" t="s">
        <v>1161</v>
      </c>
    </row>
    <row r="3837" spans="1:6">
      <c r="A3837" s="4" t="s">
        <v>8028</v>
      </c>
      <c r="B3837" s="6" t="s">
        <v>8027</v>
      </c>
      <c r="C3837" s="4" t="s">
        <v>53</v>
      </c>
      <c r="D3837" s="4">
        <v>9</v>
      </c>
      <c r="E3837" s="4" t="s">
        <v>1161</v>
      </c>
      <c r="F3837" s="4" t="s">
        <v>8029</v>
      </c>
    </row>
    <row r="3838" spans="1:6">
      <c r="A3838" s="4" t="s">
        <v>8030</v>
      </c>
      <c r="B3838" s="6" t="s">
        <v>8031</v>
      </c>
      <c r="C3838" s="4" t="s">
        <v>574</v>
      </c>
      <c r="D3838" s="4">
        <v>12</v>
      </c>
      <c r="E3838" s="4" t="s">
        <v>5509</v>
      </c>
    </row>
    <row r="3839" spans="1:6">
      <c r="A3839" s="4" t="s">
        <v>8032</v>
      </c>
      <c r="B3839" s="6" t="s">
        <v>8031</v>
      </c>
      <c r="C3839" s="4" t="s">
        <v>275</v>
      </c>
      <c r="D3839" s="4">
        <v>10</v>
      </c>
      <c r="E3839" s="4" t="s">
        <v>6408</v>
      </c>
    </row>
    <row r="3840" spans="1:6">
      <c r="A3840" s="4" t="s">
        <v>8033</v>
      </c>
      <c r="B3840" s="6" t="s">
        <v>8034</v>
      </c>
      <c r="C3840" s="4" t="s">
        <v>27</v>
      </c>
      <c r="D3840" s="4">
        <v>15</v>
      </c>
      <c r="E3840" s="4" t="s">
        <v>7991</v>
      </c>
    </row>
    <row r="3841" spans="1:6">
      <c r="A3841" s="4" t="s">
        <v>8035</v>
      </c>
      <c r="B3841" s="6" t="s">
        <v>8036</v>
      </c>
      <c r="C3841" s="4" t="s">
        <v>351</v>
      </c>
      <c r="D3841" s="4">
        <v>14</v>
      </c>
      <c r="E3841" s="4" t="s">
        <v>2161</v>
      </c>
    </row>
    <row r="3842" spans="1:6">
      <c r="A3842" s="4" t="s">
        <v>8037</v>
      </c>
      <c r="B3842" s="6" t="s">
        <v>8038</v>
      </c>
      <c r="C3842" s="4" t="s">
        <v>464</v>
      </c>
      <c r="D3842" s="4">
        <v>11</v>
      </c>
      <c r="E3842" s="4" t="s">
        <v>2161</v>
      </c>
      <c r="F3842" s="4" t="s">
        <v>8039</v>
      </c>
    </row>
    <row r="3843" spans="1:6">
      <c r="A3843" s="4" t="s">
        <v>8040</v>
      </c>
      <c r="B3843" s="6" t="s">
        <v>8041</v>
      </c>
      <c r="C3843" s="4" t="s">
        <v>238</v>
      </c>
      <c r="D3843" s="4">
        <v>11</v>
      </c>
      <c r="E3843" s="4" t="s">
        <v>2161</v>
      </c>
      <c r="F3843" s="4" t="s">
        <v>1780</v>
      </c>
    </row>
    <row r="3844" spans="1:6">
      <c r="A3844" s="4" t="s">
        <v>8042</v>
      </c>
      <c r="B3844" s="6" t="s">
        <v>8043</v>
      </c>
      <c r="C3844" s="4" t="s">
        <v>1851</v>
      </c>
      <c r="D3844" s="4">
        <v>12</v>
      </c>
      <c r="E3844" s="4" t="s">
        <v>8044</v>
      </c>
      <c r="F3844" s="4" t="s">
        <v>8045</v>
      </c>
    </row>
    <row r="3845" spans="1:6">
      <c r="A3845" s="4" t="s">
        <v>8046</v>
      </c>
      <c r="B3845" s="6" t="s">
        <v>8043</v>
      </c>
      <c r="C3845" s="4" t="s">
        <v>49</v>
      </c>
      <c r="D3845" s="4">
        <v>11</v>
      </c>
      <c r="E3845" s="4" t="s">
        <v>1249</v>
      </c>
      <c r="F3845" s="4" t="s">
        <v>8047</v>
      </c>
    </row>
    <row r="3846" spans="1:6">
      <c r="A3846" s="4" t="s">
        <v>8048</v>
      </c>
      <c r="B3846" s="6" t="s">
        <v>8049</v>
      </c>
      <c r="C3846" s="4" t="s">
        <v>354</v>
      </c>
      <c r="D3846" s="4">
        <v>12</v>
      </c>
      <c r="E3846" s="4" t="s">
        <v>2161</v>
      </c>
      <c r="F3846" s="4" t="s">
        <v>8050</v>
      </c>
    </row>
    <row r="3847" spans="1:6">
      <c r="A3847" s="4" t="s">
        <v>8051</v>
      </c>
      <c r="B3847" s="6" t="s">
        <v>8049</v>
      </c>
      <c r="C3847" s="4" t="s">
        <v>81</v>
      </c>
      <c r="D3847" s="4">
        <v>11</v>
      </c>
      <c r="E3847" s="4" t="s">
        <v>2161</v>
      </c>
    </row>
    <row r="3848" spans="1:6">
      <c r="A3848" s="4" t="s">
        <v>8052</v>
      </c>
      <c r="B3848" s="6" t="s">
        <v>8053</v>
      </c>
      <c r="C3848" s="4" t="s">
        <v>8052</v>
      </c>
      <c r="D3848" s="4">
        <v>8</v>
      </c>
      <c r="E3848" s="4" t="s">
        <v>2161</v>
      </c>
      <c r="F3848" s="4" t="s">
        <v>8054</v>
      </c>
    </row>
    <row r="3849" spans="1:6">
      <c r="A3849" s="4" t="s">
        <v>8055</v>
      </c>
      <c r="B3849" s="6" t="s">
        <v>8053</v>
      </c>
      <c r="C3849" s="4" t="s">
        <v>27</v>
      </c>
      <c r="D3849" s="4">
        <v>12</v>
      </c>
      <c r="E3849" s="4" t="s">
        <v>1253</v>
      </c>
      <c r="F3849" s="4" t="s">
        <v>8056</v>
      </c>
    </row>
    <row r="3850" spans="1:6">
      <c r="A3850" s="4" t="s">
        <v>8057</v>
      </c>
      <c r="B3850" s="6" t="s">
        <v>8053</v>
      </c>
      <c r="C3850" s="4" t="s">
        <v>27</v>
      </c>
      <c r="D3850" s="4">
        <v>14</v>
      </c>
      <c r="E3850" s="4" t="s">
        <v>1253</v>
      </c>
      <c r="F3850" s="4" t="s">
        <v>8056</v>
      </c>
    </row>
    <row r="3851" spans="1:6">
      <c r="A3851" s="4" t="s">
        <v>8058</v>
      </c>
      <c r="B3851" s="6" t="s">
        <v>8059</v>
      </c>
      <c r="C3851" s="4" t="s">
        <v>354</v>
      </c>
      <c r="D3851" s="4">
        <v>13</v>
      </c>
      <c r="E3851" s="4" t="s">
        <v>2161</v>
      </c>
      <c r="F3851" s="4" t="s">
        <v>8060</v>
      </c>
    </row>
    <row r="3852" spans="1:6">
      <c r="A3852" s="4" t="s">
        <v>8061</v>
      </c>
      <c r="B3852" s="6" t="s">
        <v>8062</v>
      </c>
      <c r="C3852" s="4" t="s">
        <v>448</v>
      </c>
      <c r="D3852" s="4">
        <v>3</v>
      </c>
      <c r="E3852" s="4" t="s">
        <v>1253</v>
      </c>
      <c r="F3852" s="4" t="s">
        <v>5210</v>
      </c>
    </row>
    <row r="3853" spans="1:6">
      <c r="A3853" s="4" t="s">
        <v>8063</v>
      </c>
      <c r="B3853" s="6" t="s">
        <v>8062</v>
      </c>
      <c r="C3853" s="4" t="s">
        <v>53</v>
      </c>
      <c r="D3853" s="4">
        <v>7</v>
      </c>
      <c r="E3853" s="4" t="s">
        <v>1253</v>
      </c>
      <c r="F3853" s="4" t="s">
        <v>8064</v>
      </c>
    </row>
    <row r="3854" spans="1:6">
      <c r="A3854" s="4" t="s">
        <v>8065</v>
      </c>
      <c r="B3854" s="6" t="s">
        <v>8062</v>
      </c>
      <c r="C3854" s="4" t="s">
        <v>254</v>
      </c>
      <c r="D3854" s="4">
        <v>5</v>
      </c>
      <c r="E3854" s="4" t="s">
        <v>1253</v>
      </c>
    </row>
    <row r="3855" spans="1:6">
      <c r="A3855" s="4" t="s">
        <v>8066</v>
      </c>
      <c r="B3855" s="6" t="s">
        <v>8067</v>
      </c>
      <c r="C3855" s="4" t="s">
        <v>520</v>
      </c>
      <c r="D3855" s="4">
        <v>5</v>
      </c>
      <c r="F3855" s="4" t="s">
        <v>8068</v>
      </c>
    </row>
    <row r="3856" spans="1:6">
      <c r="A3856" s="4" t="s">
        <v>8069</v>
      </c>
      <c r="B3856" s="6" t="s">
        <v>8070</v>
      </c>
      <c r="C3856" s="4" t="s">
        <v>19</v>
      </c>
      <c r="D3856" s="4">
        <v>10</v>
      </c>
      <c r="E3856" s="4" t="s">
        <v>8071</v>
      </c>
      <c r="F3856" s="4" t="s">
        <v>8072</v>
      </c>
    </row>
    <row r="3857" spans="1:6">
      <c r="A3857" s="4" t="s">
        <v>8073</v>
      </c>
      <c r="B3857" s="6" t="s">
        <v>8070</v>
      </c>
      <c r="C3857" s="4" t="s">
        <v>439</v>
      </c>
      <c r="D3857" s="4">
        <v>20</v>
      </c>
      <c r="E3857" s="4" t="s">
        <v>1249</v>
      </c>
    </row>
    <row r="3858" spans="1:6">
      <c r="A3858" s="4" t="s">
        <v>8074</v>
      </c>
      <c r="B3858" s="6" t="s">
        <v>8075</v>
      </c>
      <c r="C3858" s="4" t="s">
        <v>254</v>
      </c>
      <c r="D3858" s="4">
        <v>17</v>
      </c>
      <c r="E3858" s="4" t="s">
        <v>1249</v>
      </c>
      <c r="F3858" s="4" t="s">
        <v>7046</v>
      </c>
    </row>
    <row r="3859" spans="1:6">
      <c r="A3859" s="4" t="s">
        <v>8076</v>
      </c>
      <c r="B3859" s="6" t="s">
        <v>8077</v>
      </c>
      <c r="C3859" s="4" t="s">
        <v>87</v>
      </c>
      <c r="D3859" s="4">
        <v>15</v>
      </c>
      <c r="E3859" s="4" t="s">
        <v>2161</v>
      </c>
      <c r="F3859" s="4" t="s">
        <v>6758</v>
      </c>
    </row>
    <row r="3860" spans="1:6">
      <c r="A3860" s="4" t="s">
        <v>8078</v>
      </c>
      <c r="B3860" s="6" t="s">
        <v>8077</v>
      </c>
      <c r="C3860" s="4" t="s">
        <v>81</v>
      </c>
      <c r="D3860" s="4">
        <v>18</v>
      </c>
      <c r="E3860" s="4" t="s">
        <v>2161</v>
      </c>
      <c r="F3860" s="4" t="s">
        <v>8079</v>
      </c>
    </row>
    <row r="3861" spans="1:6">
      <c r="A3861" s="4" t="s">
        <v>8080</v>
      </c>
      <c r="B3861" s="6" t="s">
        <v>8081</v>
      </c>
      <c r="C3861" s="4" t="s">
        <v>34</v>
      </c>
      <c r="D3861" s="4">
        <v>8</v>
      </c>
      <c r="E3861" s="4" t="s">
        <v>1161</v>
      </c>
    </row>
    <row r="3862" spans="1:6">
      <c r="A3862" s="4" t="s">
        <v>8082</v>
      </c>
      <c r="B3862" s="6" t="s">
        <v>8083</v>
      </c>
      <c r="C3862" s="4" t="s">
        <v>403</v>
      </c>
      <c r="D3862" s="4">
        <v>14</v>
      </c>
      <c r="E3862" s="4" t="s">
        <v>6192</v>
      </c>
      <c r="F3862" s="4" t="s">
        <v>8084</v>
      </c>
    </row>
    <row r="3863" spans="1:6">
      <c r="A3863" s="4" t="s">
        <v>8085</v>
      </c>
      <c r="B3863" s="6" t="s">
        <v>8083</v>
      </c>
      <c r="C3863" s="4" t="s">
        <v>238</v>
      </c>
      <c r="D3863" s="4">
        <v>8</v>
      </c>
      <c r="E3863" s="4" t="s">
        <v>6192</v>
      </c>
    </row>
    <row r="3864" spans="1:6">
      <c r="A3864" s="4" t="s">
        <v>8086</v>
      </c>
      <c r="B3864" s="6" t="s">
        <v>8087</v>
      </c>
      <c r="C3864" s="4" t="s">
        <v>453</v>
      </c>
      <c r="D3864" s="4">
        <v>12</v>
      </c>
      <c r="E3864" s="4" t="s">
        <v>1249</v>
      </c>
      <c r="F3864" s="4" t="s">
        <v>6412</v>
      </c>
    </row>
    <row r="3865" spans="1:6">
      <c r="A3865" s="4" t="s">
        <v>8088</v>
      </c>
      <c r="B3865" s="6" t="s">
        <v>8087</v>
      </c>
      <c r="C3865" s="4" t="s">
        <v>34</v>
      </c>
      <c r="D3865" s="4">
        <v>7</v>
      </c>
      <c r="E3865" s="4" t="s">
        <v>6452</v>
      </c>
    </row>
    <row r="3866" spans="1:6">
      <c r="A3866" s="4" t="s">
        <v>8089</v>
      </c>
      <c r="B3866" s="6" t="s">
        <v>8087</v>
      </c>
      <c r="C3866" s="4" t="s">
        <v>53</v>
      </c>
      <c r="D3866" s="4">
        <v>8</v>
      </c>
      <c r="E3866" s="4" t="s">
        <v>1249</v>
      </c>
    </row>
    <row r="3867" spans="1:6">
      <c r="A3867" s="4" t="s">
        <v>8090</v>
      </c>
      <c r="B3867" s="6" t="s">
        <v>8087</v>
      </c>
      <c r="C3867" s="4" t="s">
        <v>254</v>
      </c>
      <c r="D3867" s="4">
        <v>7</v>
      </c>
      <c r="E3867" s="4" t="s">
        <v>1249</v>
      </c>
      <c r="F3867" s="4" t="s">
        <v>8091</v>
      </c>
    </row>
    <row r="3868" spans="1:6">
      <c r="A3868" s="4" t="s">
        <v>8092</v>
      </c>
      <c r="B3868" s="6" t="s">
        <v>8093</v>
      </c>
      <c r="C3868" s="4" t="s">
        <v>995</v>
      </c>
      <c r="D3868" s="4">
        <v>8</v>
      </c>
      <c r="E3868" s="4" t="s">
        <v>8094</v>
      </c>
      <c r="F3868" s="4" t="s">
        <v>8095</v>
      </c>
    </row>
    <row r="3869" spans="1:6">
      <c r="A3869" s="4" t="s">
        <v>8096</v>
      </c>
      <c r="B3869" s="6" t="s">
        <v>8093</v>
      </c>
      <c r="C3869" s="4" t="s">
        <v>27</v>
      </c>
      <c r="D3869" s="4">
        <v>11</v>
      </c>
      <c r="E3869" s="4" t="s">
        <v>1208</v>
      </c>
      <c r="F3869" s="4" t="s">
        <v>8097</v>
      </c>
    </row>
    <row r="3870" spans="1:6">
      <c r="A3870" s="4" t="s">
        <v>8098</v>
      </c>
      <c r="B3870" s="6" t="s">
        <v>8099</v>
      </c>
      <c r="C3870" s="4" t="s">
        <v>254</v>
      </c>
      <c r="D3870" s="4">
        <v>10</v>
      </c>
      <c r="E3870" s="4" t="s">
        <v>1004</v>
      </c>
      <c r="F3870" s="4" t="s">
        <v>4857</v>
      </c>
    </row>
    <row r="3871" spans="1:6">
      <c r="A3871" s="4" t="s">
        <v>8100</v>
      </c>
      <c r="B3871" s="6" t="s">
        <v>8099</v>
      </c>
      <c r="C3871" s="4" t="s">
        <v>354</v>
      </c>
      <c r="D3871" s="4">
        <v>11</v>
      </c>
      <c r="E3871" s="4" t="s">
        <v>1069</v>
      </c>
    </row>
    <row r="3872" spans="1:6">
      <c r="A3872" s="4" t="s">
        <v>8101</v>
      </c>
      <c r="B3872" s="6" t="s">
        <v>8099</v>
      </c>
      <c r="C3872" s="4" t="s">
        <v>221</v>
      </c>
      <c r="D3872" s="4">
        <v>12</v>
      </c>
      <c r="E3872" s="4" t="s">
        <v>8102</v>
      </c>
      <c r="F3872" s="4" t="s">
        <v>8103</v>
      </c>
    </row>
    <row r="3873" spans="1:6">
      <c r="A3873" s="4" t="s">
        <v>8104</v>
      </c>
      <c r="B3873" s="6" t="s">
        <v>8099</v>
      </c>
      <c r="C3873" s="4" t="s">
        <v>1851</v>
      </c>
    </row>
    <row r="3874" spans="1:6">
      <c r="A3874" s="4" t="s">
        <v>8105</v>
      </c>
      <c r="B3874" s="6" t="s">
        <v>8099</v>
      </c>
      <c r="C3874" s="4" t="s">
        <v>49</v>
      </c>
      <c r="D3874" s="4">
        <v>13</v>
      </c>
      <c r="E3874" s="4" t="s">
        <v>1004</v>
      </c>
    </row>
    <row r="3875" spans="1:6">
      <c r="A3875" s="4" t="s">
        <v>8106</v>
      </c>
      <c r="B3875" s="6" t="s">
        <v>8107</v>
      </c>
      <c r="C3875" s="4" t="s">
        <v>275</v>
      </c>
      <c r="D3875" s="4">
        <v>15</v>
      </c>
      <c r="E3875" s="4" t="s">
        <v>7256</v>
      </c>
    </row>
    <row r="3876" spans="1:6">
      <c r="A3876" s="4" t="s">
        <v>8108</v>
      </c>
      <c r="B3876" s="6" t="s">
        <v>8107</v>
      </c>
      <c r="C3876" s="4" t="s">
        <v>87</v>
      </c>
      <c r="D3876" s="4">
        <v>9</v>
      </c>
      <c r="E3876" s="4" t="s">
        <v>1164</v>
      </c>
    </row>
    <row r="3877" spans="1:6">
      <c r="A3877" s="4" t="s">
        <v>8109</v>
      </c>
      <c r="B3877" s="6" t="s">
        <v>8107</v>
      </c>
      <c r="C3877" s="4" t="s">
        <v>81</v>
      </c>
      <c r="D3877" s="4">
        <v>9</v>
      </c>
      <c r="E3877" s="4" t="s">
        <v>1164</v>
      </c>
    </row>
    <row r="3878" spans="1:6">
      <c r="A3878" s="4" t="s">
        <v>8110</v>
      </c>
      <c r="B3878" s="6" t="s">
        <v>8107</v>
      </c>
      <c r="C3878" s="4" t="s">
        <v>351</v>
      </c>
      <c r="D3878" s="4">
        <v>9</v>
      </c>
      <c r="E3878" s="4" t="s">
        <v>1164</v>
      </c>
    </row>
    <row r="3879" spans="1:6">
      <c r="A3879" s="4" t="s">
        <v>8111</v>
      </c>
      <c r="B3879" s="6" t="s">
        <v>8112</v>
      </c>
      <c r="C3879" s="4" t="s">
        <v>254</v>
      </c>
      <c r="D3879" s="4">
        <v>9</v>
      </c>
      <c r="E3879" s="4" t="s">
        <v>7158</v>
      </c>
    </row>
    <row r="3880" spans="1:6">
      <c r="A3880" s="4" t="s">
        <v>8113</v>
      </c>
      <c r="B3880" s="6" t="s">
        <v>8112</v>
      </c>
      <c r="C3880" s="4" t="s">
        <v>268</v>
      </c>
      <c r="D3880" s="4">
        <v>17</v>
      </c>
      <c r="E3880" s="4" t="s">
        <v>7158</v>
      </c>
    </row>
    <row r="3881" spans="1:6">
      <c r="A3881" s="4" t="s">
        <v>8114</v>
      </c>
      <c r="B3881" s="6" t="s">
        <v>8112</v>
      </c>
      <c r="C3881" s="4" t="s">
        <v>285</v>
      </c>
      <c r="D3881" s="4">
        <v>10</v>
      </c>
      <c r="E3881" s="4" t="s">
        <v>7158</v>
      </c>
    </row>
    <row r="3882" spans="1:6">
      <c r="A3882" s="4" t="s">
        <v>8115</v>
      </c>
      <c r="B3882" s="6" t="s">
        <v>8112</v>
      </c>
      <c r="C3882" s="4" t="s">
        <v>254</v>
      </c>
      <c r="D3882" s="4">
        <v>15</v>
      </c>
      <c r="E3882" s="4" t="s">
        <v>7158</v>
      </c>
    </row>
    <row r="3883" spans="1:6">
      <c r="A3883" s="4" t="s">
        <v>8116</v>
      </c>
      <c r="B3883" s="6" t="s">
        <v>8112</v>
      </c>
      <c r="C3883" s="4" t="s">
        <v>87</v>
      </c>
      <c r="D3883" s="4">
        <v>10</v>
      </c>
      <c r="E3883" s="4" t="s">
        <v>7158</v>
      </c>
      <c r="F3883" s="4" t="s">
        <v>8117</v>
      </c>
    </row>
    <row r="3884" spans="1:6">
      <c r="A3884" s="4" t="s">
        <v>8118</v>
      </c>
      <c r="B3884" s="6" t="s">
        <v>8119</v>
      </c>
      <c r="C3884" s="4" t="s">
        <v>1078</v>
      </c>
      <c r="D3884" s="4">
        <v>6</v>
      </c>
      <c r="E3884" s="4" t="s">
        <v>8120</v>
      </c>
      <c r="F3884" s="4" t="s">
        <v>3703</v>
      </c>
    </row>
    <row r="3885" spans="1:6">
      <c r="A3885" s="4" t="s">
        <v>8121</v>
      </c>
      <c r="B3885" s="6" t="s">
        <v>8119</v>
      </c>
      <c r="C3885" s="4" t="s">
        <v>81</v>
      </c>
      <c r="D3885" s="4">
        <v>9</v>
      </c>
      <c r="E3885" s="4" t="s">
        <v>8120</v>
      </c>
    </row>
    <row r="3886" spans="1:6">
      <c r="A3886" s="4" t="s">
        <v>8122</v>
      </c>
      <c r="B3886" s="6" t="s">
        <v>8123</v>
      </c>
      <c r="C3886" s="4" t="s">
        <v>275</v>
      </c>
      <c r="D3886" s="4">
        <v>6</v>
      </c>
      <c r="E3886" s="4" t="s">
        <v>1164</v>
      </c>
      <c r="F3886" s="4" t="s">
        <v>3164</v>
      </c>
    </row>
    <row r="3887" spans="1:6">
      <c r="A3887" s="4" t="s">
        <v>8124</v>
      </c>
      <c r="B3887" s="6" t="s">
        <v>8123</v>
      </c>
      <c r="C3887" s="4" t="s">
        <v>104</v>
      </c>
      <c r="D3887" s="4">
        <v>6</v>
      </c>
      <c r="E3887" s="4" t="s">
        <v>7256</v>
      </c>
      <c r="F3887" s="4" t="s">
        <v>8125</v>
      </c>
    </row>
    <row r="3888" spans="1:6">
      <c r="A3888" s="4" t="s">
        <v>8126</v>
      </c>
      <c r="B3888" s="6" t="s">
        <v>8123</v>
      </c>
      <c r="C3888" s="4" t="s">
        <v>351</v>
      </c>
      <c r="D3888" s="4">
        <v>12</v>
      </c>
      <c r="E3888" s="4" t="s">
        <v>1164</v>
      </c>
    </row>
    <row r="3889" spans="1:6">
      <c r="A3889" s="4" t="s">
        <v>8127</v>
      </c>
      <c r="B3889" s="6" t="s">
        <v>8128</v>
      </c>
      <c r="C3889" s="4" t="s">
        <v>544</v>
      </c>
      <c r="D3889" s="4">
        <v>10</v>
      </c>
      <c r="E3889" s="4" t="s">
        <v>1164</v>
      </c>
    </row>
    <row r="3890" spans="1:6">
      <c r="A3890" s="4" t="s">
        <v>8129</v>
      </c>
      <c r="B3890" s="6" t="s">
        <v>8130</v>
      </c>
      <c r="C3890" s="4" t="s">
        <v>675</v>
      </c>
      <c r="D3890" s="4">
        <v>13</v>
      </c>
      <c r="E3890" s="4" t="s">
        <v>6635</v>
      </c>
      <c r="F3890" s="4" t="s">
        <v>8131</v>
      </c>
    </row>
    <row r="3891" spans="1:6">
      <c r="A3891" s="4" t="s">
        <v>8132</v>
      </c>
      <c r="B3891" s="6" t="s">
        <v>8133</v>
      </c>
      <c r="C3891" s="4" t="s">
        <v>458</v>
      </c>
      <c r="D3891" s="4">
        <v>15</v>
      </c>
      <c r="E3891" s="4" t="s">
        <v>6397</v>
      </c>
      <c r="F3891" s="4" t="s">
        <v>5644</v>
      </c>
    </row>
    <row r="3892" spans="1:6">
      <c r="A3892" s="4" t="s">
        <v>8134</v>
      </c>
      <c r="B3892" s="6" t="s">
        <v>8133</v>
      </c>
      <c r="C3892" s="4" t="s">
        <v>81</v>
      </c>
      <c r="D3892" s="4">
        <v>15</v>
      </c>
      <c r="E3892" s="4" t="s">
        <v>852</v>
      </c>
    </row>
    <row r="3893" spans="1:6">
      <c r="A3893" s="4" t="s">
        <v>8135</v>
      </c>
      <c r="B3893" s="6" t="s">
        <v>8133</v>
      </c>
      <c r="C3893" s="4" t="s">
        <v>1624</v>
      </c>
      <c r="D3893" s="4">
        <v>11</v>
      </c>
      <c r="E3893" s="4" t="s">
        <v>8136</v>
      </c>
    </row>
    <row r="3894" spans="1:6">
      <c r="A3894" s="4" t="s">
        <v>8137</v>
      </c>
      <c r="B3894" s="6" t="s">
        <v>8138</v>
      </c>
      <c r="C3894" s="4" t="s">
        <v>301</v>
      </c>
      <c r="D3894" s="4">
        <v>16</v>
      </c>
      <c r="E3894" s="4" t="s">
        <v>5336</v>
      </c>
      <c r="F3894" s="4" t="s">
        <v>7260</v>
      </c>
    </row>
    <row r="3895" spans="1:6">
      <c r="A3895" s="4" t="s">
        <v>8139</v>
      </c>
      <c r="B3895" s="6" t="s">
        <v>8138</v>
      </c>
      <c r="C3895" s="4" t="s">
        <v>285</v>
      </c>
      <c r="D3895" s="4">
        <v>13</v>
      </c>
      <c r="E3895" s="4" t="s">
        <v>8140</v>
      </c>
      <c r="F3895" s="4" t="s">
        <v>4360</v>
      </c>
    </row>
    <row r="3896" spans="1:6">
      <c r="A3896" s="4" t="s">
        <v>8141</v>
      </c>
      <c r="B3896" s="6" t="s">
        <v>8138</v>
      </c>
      <c r="C3896" s="4" t="s">
        <v>53</v>
      </c>
      <c r="D3896" s="4">
        <v>15</v>
      </c>
      <c r="E3896" s="4" t="s">
        <v>1069</v>
      </c>
      <c r="F3896" s="4" t="s">
        <v>2498</v>
      </c>
    </row>
    <row r="3897" spans="1:6">
      <c r="A3897" s="4" t="s">
        <v>8142</v>
      </c>
      <c r="B3897" s="6" t="s">
        <v>8143</v>
      </c>
      <c r="C3897" s="4" t="s">
        <v>45</v>
      </c>
      <c r="D3897" s="4">
        <v>9</v>
      </c>
      <c r="E3897" s="4" t="s">
        <v>1064</v>
      </c>
    </row>
    <row r="3898" spans="1:6">
      <c r="A3898" s="4" t="s">
        <v>8144</v>
      </c>
      <c r="B3898" s="6" t="s">
        <v>8143</v>
      </c>
      <c r="C3898" s="4" t="s">
        <v>74</v>
      </c>
      <c r="D3898" s="4">
        <v>6</v>
      </c>
      <c r="E3898" s="4" t="s">
        <v>752</v>
      </c>
      <c r="F3898" s="4" t="s">
        <v>2429</v>
      </c>
    </row>
    <row r="3899" spans="1:6">
      <c r="A3899" s="4" t="s">
        <v>8145</v>
      </c>
      <c r="B3899" s="6" t="s">
        <v>8146</v>
      </c>
      <c r="C3899" s="4" t="s">
        <v>301</v>
      </c>
      <c r="D3899" s="4">
        <v>15</v>
      </c>
      <c r="E3899" s="4" t="s">
        <v>1064</v>
      </c>
      <c r="F3899" s="4" t="s">
        <v>875</v>
      </c>
    </row>
    <row r="3900" spans="1:6">
      <c r="A3900" s="4" t="s">
        <v>8147</v>
      </c>
      <c r="B3900" s="6" t="s">
        <v>8146</v>
      </c>
      <c r="C3900" s="4" t="s">
        <v>354</v>
      </c>
      <c r="D3900" s="4">
        <v>13</v>
      </c>
      <c r="E3900" s="4" t="s">
        <v>1064</v>
      </c>
    </row>
    <row r="3901" spans="1:6">
      <c r="A3901" s="4" t="s">
        <v>8148</v>
      </c>
      <c r="B3901" s="6" t="s">
        <v>8149</v>
      </c>
      <c r="C3901" s="4" t="s">
        <v>63</v>
      </c>
      <c r="D3901" s="4">
        <v>11</v>
      </c>
      <c r="E3901" s="4" t="s">
        <v>1187</v>
      </c>
      <c r="F3901" s="4" t="s">
        <v>8150</v>
      </c>
    </row>
    <row r="3902" spans="1:6">
      <c r="A3902" s="4" t="s">
        <v>8151</v>
      </c>
      <c r="B3902" s="6" t="s">
        <v>8149</v>
      </c>
      <c r="C3902" s="4" t="s">
        <v>1129</v>
      </c>
      <c r="D3902" s="4">
        <v>22</v>
      </c>
      <c r="E3902" s="4" t="s">
        <v>1187</v>
      </c>
      <c r="F3902" s="4" t="s">
        <v>8152</v>
      </c>
    </row>
    <row r="3903" spans="1:6">
      <c r="A3903" s="4" t="s">
        <v>8153</v>
      </c>
      <c r="B3903" s="6" t="s">
        <v>8154</v>
      </c>
      <c r="C3903" s="4" t="s">
        <v>87</v>
      </c>
      <c r="D3903" s="4">
        <v>9</v>
      </c>
      <c r="E3903" s="4" t="s">
        <v>1064</v>
      </c>
      <c r="F3903" s="4" t="s">
        <v>8155</v>
      </c>
    </row>
    <row r="3904" spans="1:6">
      <c r="A3904" s="4" t="s">
        <v>8156</v>
      </c>
      <c r="B3904" s="6" t="s">
        <v>8157</v>
      </c>
      <c r="C3904" s="4" t="s">
        <v>275</v>
      </c>
      <c r="D3904" s="4">
        <v>15</v>
      </c>
      <c r="E3904" s="4" t="s">
        <v>1064</v>
      </c>
      <c r="F3904" s="4" t="s">
        <v>8158</v>
      </c>
    </row>
    <row r="3905" spans="1:6">
      <c r="A3905" s="4" t="s">
        <v>8159</v>
      </c>
      <c r="B3905" s="6" t="s">
        <v>8160</v>
      </c>
      <c r="C3905" s="4" t="s">
        <v>301</v>
      </c>
      <c r="D3905" s="4">
        <v>12</v>
      </c>
      <c r="E3905" s="4" t="s">
        <v>7079</v>
      </c>
      <c r="F3905" s="4" t="s">
        <v>4842</v>
      </c>
    </row>
    <row r="3906" spans="1:6">
      <c r="A3906" s="4" t="s">
        <v>8161</v>
      </c>
      <c r="B3906" s="6" t="s">
        <v>8162</v>
      </c>
      <c r="C3906" s="4" t="s">
        <v>458</v>
      </c>
      <c r="D3906" s="4">
        <v>7</v>
      </c>
      <c r="E3906" s="4" t="s">
        <v>1217</v>
      </c>
      <c r="F3906" s="4" t="s">
        <v>8163</v>
      </c>
    </row>
    <row r="3907" spans="1:6">
      <c r="A3907" s="4" t="s">
        <v>439</v>
      </c>
      <c r="B3907" s="6" t="s">
        <v>8164</v>
      </c>
      <c r="C3907" s="4" t="s">
        <v>439</v>
      </c>
      <c r="D3907" s="4">
        <v>7</v>
      </c>
      <c r="E3907" s="4" t="s">
        <v>6722</v>
      </c>
      <c r="F3907" s="4" t="s">
        <v>8165</v>
      </c>
    </row>
    <row r="3908" spans="1:6">
      <c r="A3908" s="4" t="s">
        <v>8166</v>
      </c>
      <c r="B3908" s="6" t="s">
        <v>8164</v>
      </c>
      <c r="C3908" s="4" t="s">
        <v>7368</v>
      </c>
      <c r="D3908" s="4">
        <v>11</v>
      </c>
      <c r="E3908" s="4" t="s">
        <v>1205</v>
      </c>
    </row>
    <row r="3909" spans="1:6">
      <c r="A3909" s="4" t="s">
        <v>8167</v>
      </c>
      <c r="B3909" s="6" t="s">
        <v>8164</v>
      </c>
      <c r="C3909" s="4" t="s">
        <v>34</v>
      </c>
      <c r="D3909" s="4">
        <v>10</v>
      </c>
      <c r="E3909" s="4" t="s">
        <v>8168</v>
      </c>
      <c r="F3909" s="4" t="s">
        <v>8169</v>
      </c>
    </row>
    <row r="3910" spans="1:6">
      <c r="A3910" s="4" t="s">
        <v>8170</v>
      </c>
      <c r="B3910" s="6" t="s">
        <v>8164</v>
      </c>
      <c r="C3910" s="4" t="s">
        <v>1211</v>
      </c>
      <c r="D3910" s="4">
        <v>12</v>
      </c>
      <c r="E3910" s="4" t="s">
        <v>8171</v>
      </c>
      <c r="F3910" s="4" t="s">
        <v>4564</v>
      </c>
    </row>
    <row r="3911" spans="1:6">
      <c r="A3911" s="4" t="s">
        <v>8172</v>
      </c>
      <c r="B3911" s="6" t="s">
        <v>8164</v>
      </c>
      <c r="C3911" s="4" t="s">
        <v>7368</v>
      </c>
      <c r="D3911" s="4">
        <v>13</v>
      </c>
      <c r="E3911" s="4" t="s">
        <v>1205</v>
      </c>
    </row>
    <row r="3912" spans="1:6">
      <c r="A3912" s="4" t="s">
        <v>8173</v>
      </c>
      <c r="B3912" s="6" t="s">
        <v>8164</v>
      </c>
      <c r="C3912" s="4" t="s">
        <v>1569</v>
      </c>
      <c r="D3912" s="4">
        <v>6</v>
      </c>
      <c r="E3912" s="4" t="s">
        <v>1205</v>
      </c>
      <c r="F3912" s="4" t="s">
        <v>8174</v>
      </c>
    </row>
    <row r="3913" spans="1:6">
      <c r="A3913" s="4" t="s">
        <v>8175</v>
      </c>
      <c r="B3913" s="6" t="s">
        <v>8176</v>
      </c>
      <c r="C3913" s="4" t="s">
        <v>53</v>
      </c>
      <c r="D3913" s="4">
        <v>15</v>
      </c>
      <c r="E3913" s="4" t="s">
        <v>1107</v>
      </c>
    </row>
    <row r="3914" spans="1:6">
      <c r="A3914" s="4" t="s">
        <v>8177</v>
      </c>
      <c r="B3914" s="6" t="s">
        <v>8178</v>
      </c>
      <c r="C3914" s="4" t="s">
        <v>45</v>
      </c>
      <c r="D3914" s="4">
        <v>11</v>
      </c>
      <c r="E3914" s="4" t="s">
        <v>8179</v>
      </c>
      <c r="F3914" s="4" t="s">
        <v>8180</v>
      </c>
    </row>
    <row r="3915" spans="1:6">
      <c r="A3915" s="4" t="s">
        <v>8181</v>
      </c>
      <c r="B3915" s="6" t="s">
        <v>8182</v>
      </c>
      <c r="C3915" s="4" t="s">
        <v>439</v>
      </c>
      <c r="D3915" s="4">
        <v>18</v>
      </c>
      <c r="E3915" s="4" t="s">
        <v>1205</v>
      </c>
    </row>
    <row r="3916" spans="1:6">
      <c r="A3916" s="4" t="s">
        <v>8183</v>
      </c>
      <c r="B3916" s="6" t="s">
        <v>8184</v>
      </c>
      <c r="C3916" s="4" t="s">
        <v>1211</v>
      </c>
      <c r="D3916" s="4">
        <v>10</v>
      </c>
      <c r="E3916" s="4" t="s">
        <v>8185</v>
      </c>
      <c r="F3916" s="4" t="s">
        <v>8186</v>
      </c>
    </row>
    <row r="3917" spans="1:6">
      <c r="A3917" s="4" t="s">
        <v>8187</v>
      </c>
      <c r="B3917" s="6" t="s">
        <v>8184</v>
      </c>
      <c r="C3917" s="4" t="s">
        <v>1262</v>
      </c>
      <c r="D3917" s="4">
        <v>11</v>
      </c>
      <c r="E3917" s="4" t="s">
        <v>6397</v>
      </c>
      <c r="F3917" s="4" t="s">
        <v>8188</v>
      </c>
    </row>
    <row r="3918" spans="1:6">
      <c r="A3918" s="4" t="s">
        <v>8189</v>
      </c>
      <c r="B3918" s="6" t="s">
        <v>8190</v>
      </c>
      <c r="C3918" s="4" t="s">
        <v>1335</v>
      </c>
      <c r="D3918" s="4">
        <v>5</v>
      </c>
      <c r="E3918" s="4" t="s">
        <v>1004</v>
      </c>
      <c r="F3918" s="4" t="s">
        <v>8191</v>
      </c>
    </row>
    <row r="3919" spans="1:6">
      <c r="A3919" s="4" t="s">
        <v>8192</v>
      </c>
      <c r="B3919" s="6" t="s">
        <v>8190</v>
      </c>
      <c r="C3919" s="4" t="s">
        <v>87</v>
      </c>
      <c r="D3919" s="4">
        <v>8</v>
      </c>
      <c r="E3919" s="4" t="s">
        <v>1004</v>
      </c>
    </row>
    <row r="3920" spans="1:6">
      <c r="A3920" s="4" t="s">
        <v>8193</v>
      </c>
      <c r="B3920" s="6" t="s">
        <v>8190</v>
      </c>
      <c r="C3920" s="4" t="s">
        <v>1262</v>
      </c>
      <c r="D3920" s="4">
        <v>9</v>
      </c>
      <c r="E3920" s="4" t="s">
        <v>1004</v>
      </c>
    </row>
    <row r="3921" spans="1:6">
      <c r="A3921" s="4" t="s">
        <v>8194</v>
      </c>
      <c r="B3921" s="6" t="s">
        <v>8195</v>
      </c>
      <c r="C3921" s="4" t="s">
        <v>53</v>
      </c>
      <c r="D3921" s="4">
        <v>8</v>
      </c>
      <c r="E3921" s="4" t="s">
        <v>1069</v>
      </c>
      <c r="F3921" s="4" t="s">
        <v>8196</v>
      </c>
    </row>
    <row r="3922" spans="1:6">
      <c r="A3922" s="4" t="s">
        <v>8197</v>
      </c>
      <c r="B3922" s="6" t="s">
        <v>8195</v>
      </c>
      <c r="C3922" s="4" t="s">
        <v>53</v>
      </c>
      <c r="D3922" s="4">
        <v>8</v>
      </c>
      <c r="E3922" s="4" t="s">
        <v>1069</v>
      </c>
      <c r="F3922" s="4" t="s">
        <v>8196</v>
      </c>
    </row>
    <row r="3923" spans="1:6">
      <c r="A3923" s="4" t="s">
        <v>8198</v>
      </c>
      <c r="B3923" s="6" t="s">
        <v>8199</v>
      </c>
      <c r="C3923" s="4" t="s">
        <v>351</v>
      </c>
      <c r="D3923" s="4">
        <v>10</v>
      </c>
      <c r="E3923" s="4" t="s">
        <v>8200</v>
      </c>
      <c r="F3923" s="4" t="s">
        <v>8201</v>
      </c>
    </row>
    <row r="3924" spans="1:6">
      <c r="A3924" s="4" t="s">
        <v>8202</v>
      </c>
      <c r="B3924" s="6" t="s">
        <v>8199</v>
      </c>
      <c r="C3924" s="4" t="s">
        <v>351</v>
      </c>
      <c r="D3924" s="4">
        <v>11</v>
      </c>
      <c r="E3924" s="4" t="s">
        <v>8200</v>
      </c>
      <c r="F3924" s="4" t="s">
        <v>8201</v>
      </c>
    </row>
    <row r="3925" spans="1:6">
      <c r="A3925" s="4" t="s">
        <v>8203</v>
      </c>
      <c r="B3925" s="6" t="s">
        <v>8199</v>
      </c>
      <c r="C3925" s="4" t="s">
        <v>1756</v>
      </c>
      <c r="D3925" s="4">
        <v>16</v>
      </c>
      <c r="E3925" s="4" t="s">
        <v>6192</v>
      </c>
      <c r="F3925" s="4" t="s">
        <v>8204</v>
      </c>
    </row>
    <row r="3926" spans="1:6">
      <c r="A3926" s="4" t="s">
        <v>8205</v>
      </c>
      <c r="B3926" s="6" t="s">
        <v>8199</v>
      </c>
      <c r="C3926" s="4" t="s">
        <v>254</v>
      </c>
      <c r="D3926" s="4">
        <v>4</v>
      </c>
      <c r="E3926" s="4" t="s">
        <v>1019</v>
      </c>
    </row>
    <row r="3927" spans="1:6">
      <c r="A3927" s="4" t="s">
        <v>8206</v>
      </c>
      <c r="B3927" s="6" t="s">
        <v>8207</v>
      </c>
      <c r="C3927" s="4" t="s">
        <v>19</v>
      </c>
      <c r="D3927" s="4">
        <v>12</v>
      </c>
      <c r="E3927" s="4" t="s">
        <v>5320</v>
      </c>
      <c r="F3927" s="4" t="s">
        <v>8201</v>
      </c>
    </row>
    <row r="3928" spans="1:6">
      <c r="A3928" s="4" t="s">
        <v>8208</v>
      </c>
      <c r="B3928" s="6" t="s">
        <v>8209</v>
      </c>
      <c r="C3928" s="4" t="s">
        <v>19</v>
      </c>
      <c r="D3928" s="4">
        <v>12</v>
      </c>
      <c r="E3928" s="4" t="s">
        <v>5320</v>
      </c>
      <c r="F3928" s="4" t="s">
        <v>8201</v>
      </c>
    </row>
    <row r="3929" spans="1:6">
      <c r="A3929" s="4" t="s">
        <v>8210</v>
      </c>
      <c r="B3929" s="6" t="s">
        <v>8211</v>
      </c>
      <c r="C3929" s="4" t="s">
        <v>81</v>
      </c>
      <c r="D3929" s="4">
        <v>10</v>
      </c>
      <c r="E3929" s="4" t="s">
        <v>1069</v>
      </c>
    </row>
    <row r="3930" spans="1:6">
      <c r="A3930" s="4" t="s">
        <v>8212</v>
      </c>
      <c r="B3930" s="6" t="s">
        <v>8211</v>
      </c>
      <c r="C3930" s="4" t="s">
        <v>81</v>
      </c>
      <c r="D3930" s="4">
        <v>15</v>
      </c>
      <c r="E3930" s="4" t="s">
        <v>1069</v>
      </c>
    </row>
    <row r="3931" spans="1:6">
      <c r="A3931" s="4" t="s">
        <v>8213</v>
      </c>
      <c r="B3931" s="6" t="s">
        <v>8214</v>
      </c>
      <c r="C3931" s="4" t="s">
        <v>1359</v>
      </c>
      <c r="D3931" s="4">
        <v>19</v>
      </c>
      <c r="E3931" s="4" t="s">
        <v>5320</v>
      </c>
    </row>
    <row r="3932" spans="1:6">
      <c r="A3932" s="4" t="s">
        <v>8215</v>
      </c>
      <c r="B3932" s="6" t="s">
        <v>8216</v>
      </c>
      <c r="C3932" s="4" t="s">
        <v>223</v>
      </c>
      <c r="D3932" s="4">
        <v>10</v>
      </c>
      <c r="E3932" s="4" t="s">
        <v>1004</v>
      </c>
      <c r="F3932" s="4" t="s">
        <v>8217</v>
      </c>
    </row>
    <row r="3933" spans="1:6">
      <c r="A3933" s="4" t="s">
        <v>8218</v>
      </c>
      <c r="B3933" s="6" t="s">
        <v>8216</v>
      </c>
      <c r="C3933" s="4" t="s">
        <v>1282</v>
      </c>
      <c r="D3933" s="4">
        <v>14</v>
      </c>
      <c r="E3933" s="4" t="s">
        <v>1004</v>
      </c>
    </row>
    <row r="3934" spans="1:6">
      <c r="A3934" s="4" t="s">
        <v>8219</v>
      </c>
      <c r="B3934" s="6" t="s">
        <v>8220</v>
      </c>
      <c r="C3934" s="4" t="s">
        <v>301</v>
      </c>
      <c r="D3934" s="4">
        <v>13</v>
      </c>
      <c r="E3934" s="4" t="s">
        <v>6737</v>
      </c>
      <c r="F3934" s="4" t="s">
        <v>8221</v>
      </c>
    </row>
    <row r="3935" spans="1:6">
      <c r="A3935" s="4" t="s">
        <v>8222</v>
      </c>
      <c r="B3935" s="6" t="s">
        <v>8220</v>
      </c>
      <c r="C3935" s="4" t="s">
        <v>254</v>
      </c>
      <c r="D3935" s="4">
        <v>9</v>
      </c>
      <c r="E3935" s="4" t="s">
        <v>6737</v>
      </c>
    </row>
    <row r="3936" spans="1:6">
      <c r="A3936" s="4" t="s">
        <v>8223</v>
      </c>
      <c r="B3936" s="6" t="s">
        <v>8224</v>
      </c>
      <c r="C3936" s="4" t="s">
        <v>37</v>
      </c>
      <c r="D3936" s="4">
        <v>11</v>
      </c>
      <c r="E3936" s="4" t="s">
        <v>1069</v>
      </c>
    </row>
    <row r="3937" spans="1:6">
      <c r="A3937" s="4" t="s">
        <v>8225</v>
      </c>
      <c r="B3937" s="6" t="s">
        <v>8224</v>
      </c>
      <c r="C3937" s="4" t="s">
        <v>221</v>
      </c>
      <c r="D3937" s="4">
        <v>13</v>
      </c>
      <c r="E3937" s="4" t="s">
        <v>1069</v>
      </c>
    </row>
    <row r="3938" spans="1:6">
      <c r="A3938" s="4" t="s">
        <v>8226</v>
      </c>
      <c r="B3938" s="6" t="s">
        <v>8224</v>
      </c>
      <c r="C3938" s="4" t="s">
        <v>37</v>
      </c>
      <c r="D3938" s="4">
        <v>14</v>
      </c>
      <c r="E3938" s="4" t="s">
        <v>8227</v>
      </c>
      <c r="F3938" s="4" t="s">
        <v>8228</v>
      </c>
    </row>
    <row r="3939" spans="1:6">
      <c r="A3939" s="4" t="s">
        <v>8229</v>
      </c>
      <c r="B3939" s="6" t="s">
        <v>8230</v>
      </c>
      <c r="C3939" s="4" t="s">
        <v>354</v>
      </c>
      <c r="D3939" s="4">
        <v>15</v>
      </c>
      <c r="E3939" s="4" t="s">
        <v>6397</v>
      </c>
    </row>
    <row r="3940" spans="1:6">
      <c r="A3940" s="4" t="s">
        <v>8231</v>
      </c>
      <c r="B3940" s="6" t="s">
        <v>8230</v>
      </c>
      <c r="C3940" s="4" t="s">
        <v>81</v>
      </c>
      <c r="D3940" s="4">
        <v>11</v>
      </c>
      <c r="E3940" s="4" t="s">
        <v>6397</v>
      </c>
    </row>
    <row r="3941" spans="1:6">
      <c r="A3941" s="4" t="s">
        <v>8232</v>
      </c>
      <c r="B3941" s="6" t="s">
        <v>8230</v>
      </c>
      <c r="C3941" s="4" t="s">
        <v>76</v>
      </c>
      <c r="D3941" s="4">
        <v>13</v>
      </c>
      <c r="E3941" s="4" t="s">
        <v>6397</v>
      </c>
    </row>
    <row r="3942" spans="1:6">
      <c r="A3942" s="4" t="s">
        <v>8233</v>
      </c>
      <c r="B3942" s="6" t="s">
        <v>8234</v>
      </c>
      <c r="C3942" s="4" t="s">
        <v>87</v>
      </c>
      <c r="D3942" s="4">
        <v>12</v>
      </c>
      <c r="E3942" s="4" t="s">
        <v>5512</v>
      </c>
    </row>
    <row r="3943" spans="1:6">
      <c r="A3943" s="4" t="s">
        <v>8235</v>
      </c>
      <c r="B3943" s="6" t="s">
        <v>8234</v>
      </c>
      <c r="C3943" s="4" t="s">
        <v>81</v>
      </c>
      <c r="D3943" s="4">
        <v>9</v>
      </c>
      <c r="E3943" s="4" t="s">
        <v>1047</v>
      </c>
      <c r="F3943" s="4" t="s">
        <v>8236</v>
      </c>
    </row>
    <row r="3944" spans="1:6">
      <c r="A3944" s="4" t="s">
        <v>8237</v>
      </c>
      <c r="B3944" s="6" t="s">
        <v>8234</v>
      </c>
      <c r="C3944" s="4" t="s">
        <v>458</v>
      </c>
      <c r="D3944" s="4">
        <v>7</v>
      </c>
      <c r="E3944" s="4" t="s">
        <v>1047</v>
      </c>
      <c r="F3944" s="4" t="s">
        <v>8238</v>
      </c>
    </row>
    <row r="3945" spans="1:6">
      <c r="A3945" s="4" t="s">
        <v>8239</v>
      </c>
      <c r="B3945" s="6" t="s">
        <v>8234</v>
      </c>
      <c r="C3945" s="4" t="s">
        <v>453</v>
      </c>
      <c r="D3945" s="4">
        <v>13</v>
      </c>
      <c r="E3945" s="4" t="s">
        <v>1047</v>
      </c>
    </row>
    <row r="3946" spans="1:6">
      <c r="A3946" s="4" t="s">
        <v>8240</v>
      </c>
      <c r="B3946" s="6" t="s">
        <v>8234</v>
      </c>
      <c r="C3946" s="4" t="s">
        <v>14</v>
      </c>
      <c r="D3946" s="4">
        <v>9</v>
      </c>
      <c r="E3946" s="4" t="s">
        <v>1047</v>
      </c>
      <c r="F3946" s="4" t="s">
        <v>8241</v>
      </c>
    </row>
    <row r="3947" spans="1:6">
      <c r="A3947" s="4" t="s">
        <v>8242</v>
      </c>
      <c r="B3947" s="6" t="s">
        <v>8234</v>
      </c>
      <c r="C3947" s="4" t="s">
        <v>81</v>
      </c>
      <c r="D3947" s="4">
        <v>10</v>
      </c>
      <c r="E3947" s="4" t="s">
        <v>1047</v>
      </c>
    </row>
    <row r="3948" spans="1:6">
      <c r="A3948" s="4" t="s">
        <v>8243</v>
      </c>
      <c r="B3948" s="6" t="s">
        <v>8234</v>
      </c>
      <c r="C3948" s="4" t="s">
        <v>876</v>
      </c>
      <c r="D3948" s="4">
        <v>12</v>
      </c>
      <c r="E3948" s="4" t="s">
        <v>1047</v>
      </c>
      <c r="F3948" s="4" t="s">
        <v>6488</v>
      </c>
    </row>
    <row r="3949" spans="1:6">
      <c r="A3949" s="4" t="s">
        <v>8244</v>
      </c>
      <c r="B3949" s="6" t="s">
        <v>8234</v>
      </c>
      <c r="C3949" s="4" t="s">
        <v>3020</v>
      </c>
      <c r="D3949" s="4">
        <v>16</v>
      </c>
      <c r="E3949" s="4" t="s">
        <v>1047</v>
      </c>
      <c r="F3949" s="4" t="s">
        <v>8245</v>
      </c>
    </row>
    <row r="3950" spans="1:6">
      <c r="A3950" s="4" t="s">
        <v>8246</v>
      </c>
      <c r="B3950" s="6" t="s">
        <v>8234</v>
      </c>
      <c r="C3950" s="4" t="s">
        <v>41</v>
      </c>
      <c r="D3950" s="4">
        <v>15</v>
      </c>
      <c r="E3950" s="4" t="s">
        <v>1047</v>
      </c>
    </row>
    <row r="3951" spans="1:6">
      <c r="A3951" s="4" t="s">
        <v>8247</v>
      </c>
      <c r="B3951" s="6" t="s">
        <v>8234</v>
      </c>
      <c r="C3951" s="4" t="s">
        <v>254</v>
      </c>
      <c r="D3951" s="4">
        <v>11</v>
      </c>
      <c r="E3951" s="4" t="s">
        <v>6245</v>
      </c>
      <c r="F3951" s="4" t="s">
        <v>5246</v>
      </c>
    </row>
    <row r="3952" spans="1:6">
      <c r="A3952" s="4" t="s">
        <v>8248</v>
      </c>
      <c r="B3952" s="6" t="s">
        <v>8234</v>
      </c>
      <c r="C3952" s="4" t="s">
        <v>708</v>
      </c>
      <c r="D3952" s="4">
        <v>7</v>
      </c>
      <c r="E3952" s="4" t="s">
        <v>1047</v>
      </c>
    </row>
    <row r="3953" spans="1:6">
      <c r="A3953" s="4" t="s">
        <v>8249</v>
      </c>
      <c r="B3953" s="6" t="s">
        <v>8250</v>
      </c>
      <c r="C3953" s="4" t="s">
        <v>23</v>
      </c>
      <c r="D3953" s="4">
        <v>5</v>
      </c>
      <c r="E3953" s="4" t="s">
        <v>1047</v>
      </c>
      <c r="F3953" s="4" t="s">
        <v>8251</v>
      </c>
    </row>
    <row r="3954" spans="1:6">
      <c r="A3954" s="4" t="s">
        <v>8906</v>
      </c>
      <c r="B3954" s="6" t="s">
        <v>8253</v>
      </c>
      <c r="C3954" s="23" t="s">
        <v>8908</v>
      </c>
      <c r="D3954" s="4">
        <v>17</v>
      </c>
      <c r="E3954" s="23" t="s">
        <v>8907</v>
      </c>
    </row>
    <row r="3955" spans="1:6">
      <c r="A3955" s="4" t="s">
        <v>8252</v>
      </c>
      <c r="B3955" s="6" t="s">
        <v>8253</v>
      </c>
    </row>
    <row r="3956" spans="1:6">
      <c r="A3956" s="4" t="s">
        <v>8254</v>
      </c>
      <c r="B3956" s="6" t="s">
        <v>8253</v>
      </c>
      <c r="C3956" s="4" t="s">
        <v>870</v>
      </c>
      <c r="D3956" s="4">
        <v>12</v>
      </c>
      <c r="E3956" s="4" t="s">
        <v>1157</v>
      </c>
      <c r="F3956" s="4" t="s">
        <v>8255</v>
      </c>
    </row>
    <row r="3957" spans="1:6">
      <c r="A3957" s="4" t="s">
        <v>8256</v>
      </c>
      <c r="B3957" s="6" t="s">
        <v>8253</v>
      </c>
      <c r="C3957" s="4" t="s">
        <v>87</v>
      </c>
      <c r="D3957" s="4">
        <v>15</v>
      </c>
      <c r="E3957" s="4" t="s">
        <v>1069</v>
      </c>
    </row>
    <row r="3958" spans="1:6">
      <c r="A3958" s="4" t="s">
        <v>8257</v>
      </c>
      <c r="B3958" s="6" t="s">
        <v>8258</v>
      </c>
      <c r="C3958" s="4" t="s">
        <v>403</v>
      </c>
      <c r="D3958" s="4">
        <v>15</v>
      </c>
      <c r="E3958" s="4" t="s">
        <v>6197</v>
      </c>
      <c r="F3958" s="4" t="s">
        <v>2702</v>
      </c>
    </row>
    <row r="3959" spans="1:6">
      <c r="A3959" s="4" t="s">
        <v>8259</v>
      </c>
      <c r="B3959" s="6" t="s">
        <v>8260</v>
      </c>
      <c r="C3959" s="4" t="s">
        <v>995</v>
      </c>
      <c r="D3959" s="4">
        <v>9</v>
      </c>
      <c r="E3959" s="4" t="s">
        <v>6197</v>
      </c>
      <c r="F3959" s="4" t="s">
        <v>3915</v>
      </c>
    </row>
    <row r="3960" spans="1:6">
      <c r="A3960" s="4" t="s">
        <v>8261</v>
      </c>
      <c r="B3960" s="6" t="s">
        <v>8260</v>
      </c>
      <c r="C3960" s="4" t="s">
        <v>1180</v>
      </c>
      <c r="D3960" s="4">
        <v>11</v>
      </c>
      <c r="E3960" s="4" t="s">
        <v>1069</v>
      </c>
    </row>
    <row r="3961" spans="1:6">
      <c r="A3961" s="4" t="s">
        <v>8262</v>
      </c>
      <c r="B3961" s="6" t="s">
        <v>8263</v>
      </c>
      <c r="C3961" s="4" t="s">
        <v>6877</v>
      </c>
      <c r="D3961" s="4">
        <v>17</v>
      </c>
      <c r="E3961" s="4" t="s">
        <v>1263</v>
      </c>
    </row>
    <row r="3962" spans="1:6">
      <c r="A3962" s="4" t="s">
        <v>8264</v>
      </c>
      <c r="B3962" s="6" t="s">
        <v>8263</v>
      </c>
      <c r="C3962" s="4" t="s">
        <v>271</v>
      </c>
      <c r="D3962" s="4">
        <v>9</v>
      </c>
      <c r="E3962" s="4" t="s">
        <v>6207</v>
      </c>
      <c r="F3962" s="4" t="s">
        <v>8265</v>
      </c>
    </row>
    <row r="3963" spans="1:6">
      <c r="A3963" s="4" t="s">
        <v>8266</v>
      </c>
      <c r="B3963" s="6" t="s">
        <v>8263</v>
      </c>
      <c r="C3963" s="4" t="s">
        <v>1106</v>
      </c>
      <c r="D3963" s="4">
        <v>11</v>
      </c>
      <c r="E3963" s="4" t="s">
        <v>8267</v>
      </c>
      <c r="F3963" s="4" t="s">
        <v>8268</v>
      </c>
    </row>
    <row r="3964" spans="1:6">
      <c r="A3964" s="4" t="s">
        <v>8269</v>
      </c>
      <c r="B3964" s="6" t="s">
        <v>8263</v>
      </c>
      <c r="C3964" s="4" t="s">
        <v>23</v>
      </c>
      <c r="D3964" s="4">
        <v>21</v>
      </c>
      <c r="E3964" s="4" t="s">
        <v>1263</v>
      </c>
    </row>
    <row r="3965" spans="1:6">
      <c r="A3965" s="4" t="s">
        <v>8270</v>
      </c>
      <c r="B3965" s="6" t="s">
        <v>8271</v>
      </c>
      <c r="C3965" s="4" t="s">
        <v>1180</v>
      </c>
      <c r="D3965" s="4">
        <v>10</v>
      </c>
      <c r="E3965" s="4" t="s">
        <v>1069</v>
      </c>
      <c r="F3965" s="4" t="s">
        <v>8272</v>
      </c>
    </row>
    <row r="3966" spans="1:6">
      <c r="A3966" s="4" t="s">
        <v>8273</v>
      </c>
      <c r="B3966" s="6" t="s">
        <v>8274</v>
      </c>
      <c r="C3966" s="4" t="s">
        <v>461</v>
      </c>
      <c r="D3966" s="4">
        <v>10</v>
      </c>
      <c r="E3966" s="4" t="s">
        <v>1069</v>
      </c>
    </row>
    <row r="3967" spans="1:6">
      <c r="A3967" s="4" t="s">
        <v>8275</v>
      </c>
      <c r="B3967" s="6" t="s">
        <v>8274</v>
      </c>
      <c r="C3967" s="4" t="s">
        <v>37</v>
      </c>
      <c r="D3967" s="4">
        <v>13</v>
      </c>
      <c r="E3967" s="4" t="s">
        <v>1069</v>
      </c>
      <c r="F3967" s="4" t="s">
        <v>8276</v>
      </c>
    </row>
    <row r="3968" spans="1:6">
      <c r="A3968" s="4" t="s">
        <v>8277</v>
      </c>
      <c r="B3968" s="6" t="s">
        <v>8274</v>
      </c>
      <c r="C3968" s="4" t="s">
        <v>1679</v>
      </c>
      <c r="D3968" s="4">
        <v>12</v>
      </c>
      <c r="E3968" s="4" t="s">
        <v>1069</v>
      </c>
      <c r="F3968" s="4" t="s">
        <v>2419</v>
      </c>
    </row>
    <row r="3969" spans="1:6">
      <c r="A3969" s="4" t="s">
        <v>8278</v>
      </c>
      <c r="B3969" s="6" t="s">
        <v>8274</v>
      </c>
      <c r="C3969" s="4" t="s">
        <v>53</v>
      </c>
      <c r="D3969" s="4">
        <v>17</v>
      </c>
      <c r="E3969" s="4" t="s">
        <v>1069</v>
      </c>
    </row>
    <row r="3970" spans="1:6">
      <c r="A3970" s="4" t="s">
        <v>8279</v>
      </c>
      <c r="B3970" s="6" t="s">
        <v>8274</v>
      </c>
      <c r="C3970" s="4" t="s">
        <v>27</v>
      </c>
      <c r="D3970" s="4">
        <v>16</v>
      </c>
      <c r="E3970" s="4" t="s">
        <v>1069</v>
      </c>
    </row>
    <row r="3971" spans="1:6">
      <c r="A3971" s="4" t="s">
        <v>8280</v>
      </c>
      <c r="B3971" s="6" t="s">
        <v>8274</v>
      </c>
      <c r="C3971" s="4" t="s">
        <v>41</v>
      </c>
      <c r="D3971" s="4">
        <v>9</v>
      </c>
      <c r="E3971" s="4" t="s">
        <v>1069</v>
      </c>
    </row>
    <row r="3972" spans="1:6">
      <c r="A3972" s="4" t="s">
        <v>8281</v>
      </c>
      <c r="B3972" s="6" t="s">
        <v>8282</v>
      </c>
      <c r="C3972" s="4" t="s">
        <v>49</v>
      </c>
      <c r="D3972" s="4">
        <v>16</v>
      </c>
      <c r="E3972" s="4" t="s">
        <v>8283</v>
      </c>
    </row>
    <row r="3973" spans="1:6">
      <c r="A3973" s="4" t="s">
        <v>8284</v>
      </c>
      <c r="B3973" s="6" t="s">
        <v>8285</v>
      </c>
      <c r="C3973" s="4" t="s">
        <v>121</v>
      </c>
      <c r="D3973" s="4">
        <v>13</v>
      </c>
      <c r="E3973" s="4" t="s">
        <v>1069</v>
      </c>
      <c r="F3973" s="4" t="s">
        <v>3700</v>
      </c>
    </row>
    <row r="3974" spans="1:6">
      <c r="A3974" s="4" t="s">
        <v>8286</v>
      </c>
      <c r="B3974" s="6" t="s">
        <v>8285</v>
      </c>
      <c r="C3974" s="4" t="s">
        <v>81</v>
      </c>
      <c r="D3974" s="4">
        <v>13</v>
      </c>
      <c r="E3974" s="4" t="s">
        <v>6192</v>
      </c>
      <c r="F3974" s="4" t="s">
        <v>8236</v>
      </c>
    </row>
    <row r="3975" spans="1:6">
      <c r="A3975" s="4" t="s">
        <v>8287</v>
      </c>
      <c r="B3975" s="6" t="s">
        <v>8285</v>
      </c>
      <c r="C3975" s="4" t="s">
        <v>121</v>
      </c>
      <c r="D3975" s="4">
        <v>14</v>
      </c>
      <c r="E3975" s="4" t="s">
        <v>1069</v>
      </c>
      <c r="F3975" s="4" t="s">
        <v>3700</v>
      </c>
    </row>
    <row r="3976" spans="1:6">
      <c r="A3976" s="4" t="s">
        <v>8288</v>
      </c>
      <c r="B3976" s="6" t="s">
        <v>8289</v>
      </c>
      <c r="C3976" s="4" t="s">
        <v>2393</v>
      </c>
      <c r="D3976" s="4">
        <v>12</v>
      </c>
      <c r="E3976" s="4" t="s">
        <v>8290</v>
      </c>
    </row>
    <row r="3977" spans="1:6">
      <c r="A3977" s="4" t="s">
        <v>8291</v>
      </c>
      <c r="B3977" s="6" t="s">
        <v>8289</v>
      </c>
      <c r="C3977" s="4" t="s">
        <v>254</v>
      </c>
      <c r="D3977" s="4">
        <v>14</v>
      </c>
      <c r="E3977" s="4" t="s">
        <v>8292</v>
      </c>
    </row>
    <row r="3978" spans="1:6">
      <c r="A3978" s="4" t="s">
        <v>8293</v>
      </c>
      <c r="B3978" s="6" t="s">
        <v>8289</v>
      </c>
      <c r="C3978" s="4" t="s">
        <v>2818</v>
      </c>
      <c r="D3978" s="4">
        <v>7</v>
      </c>
      <c r="E3978" s="4" t="s">
        <v>1069</v>
      </c>
      <c r="F3978" s="4" t="s">
        <v>1324</v>
      </c>
    </row>
    <row r="3979" spans="1:6">
      <c r="A3979" s="4" t="s">
        <v>8294</v>
      </c>
      <c r="B3979" s="6" t="s">
        <v>8289</v>
      </c>
      <c r="C3979" s="4" t="s">
        <v>53</v>
      </c>
      <c r="D3979" s="4">
        <v>16</v>
      </c>
      <c r="E3979" s="4" t="s">
        <v>1069</v>
      </c>
      <c r="F3979" s="4" t="s">
        <v>8295</v>
      </c>
    </row>
    <row r="3980" spans="1:6">
      <c r="A3980" s="4" t="s">
        <v>8296</v>
      </c>
      <c r="B3980" s="6" t="s">
        <v>8297</v>
      </c>
      <c r="C3980" s="4" t="s">
        <v>34</v>
      </c>
      <c r="D3980" s="4">
        <v>11</v>
      </c>
      <c r="E3980" s="4" t="s">
        <v>6192</v>
      </c>
    </row>
    <row r="3981" spans="1:6">
      <c r="A3981" s="4" t="s">
        <v>8298</v>
      </c>
      <c r="B3981" s="6" t="s">
        <v>8299</v>
      </c>
      <c r="C3981" s="4" t="s">
        <v>453</v>
      </c>
      <c r="D3981" s="4">
        <v>15</v>
      </c>
      <c r="E3981" s="4" t="s">
        <v>1047</v>
      </c>
      <c r="F3981" s="4" t="s">
        <v>8300</v>
      </c>
    </row>
    <row r="3982" spans="1:6">
      <c r="A3982" s="4" t="s">
        <v>8301</v>
      </c>
      <c r="B3982" s="6" t="s">
        <v>8299</v>
      </c>
      <c r="C3982" s="4" t="s">
        <v>1335</v>
      </c>
      <c r="D3982" s="4">
        <v>5</v>
      </c>
      <c r="E3982" s="4" t="s">
        <v>1047</v>
      </c>
      <c r="F3982" s="4" t="s">
        <v>8302</v>
      </c>
    </row>
    <row r="3983" spans="1:6">
      <c r="A3983" s="4" t="s">
        <v>8303</v>
      </c>
      <c r="B3983" s="6" t="s">
        <v>8299</v>
      </c>
      <c r="C3983" s="4" t="s">
        <v>87</v>
      </c>
      <c r="D3983" s="4">
        <v>8</v>
      </c>
      <c r="E3983" s="4" t="s">
        <v>1047</v>
      </c>
    </row>
    <row r="3984" spans="1:6">
      <c r="A3984" s="4" t="s">
        <v>8304</v>
      </c>
      <c r="B3984" s="6" t="s">
        <v>8305</v>
      </c>
      <c r="C3984" s="4" t="s">
        <v>81</v>
      </c>
      <c r="D3984" s="4">
        <v>10</v>
      </c>
      <c r="E3984" s="4" t="s">
        <v>7875</v>
      </c>
      <c r="F3984" s="4" t="s">
        <v>8186</v>
      </c>
    </row>
    <row r="3985" spans="1:6">
      <c r="A3985" s="4" t="s">
        <v>8306</v>
      </c>
      <c r="B3985" s="6" t="s">
        <v>8305</v>
      </c>
      <c r="C3985" s="4" t="s">
        <v>173</v>
      </c>
      <c r="D3985" s="4">
        <v>7</v>
      </c>
      <c r="E3985" s="4" t="s">
        <v>6722</v>
      </c>
      <c r="F3985" s="4" t="s">
        <v>8307</v>
      </c>
    </row>
    <row r="3986" spans="1:6">
      <c r="A3986" s="4" t="s">
        <v>8308</v>
      </c>
      <c r="B3986" s="6" t="s">
        <v>8305</v>
      </c>
      <c r="C3986" s="4" t="s">
        <v>23</v>
      </c>
      <c r="D3986" s="4">
        <v>12</v>
      </c>
      <c r="E3986" s="4" t="s">
        <v>7875</v>
      </c>
    </row>
    <row r="3987" spans="1:6">
      <c r="A3987" s="4" t="s">
        <v>8309</v>
      </c>
      <c r="B3987" s="6" t="s">
        <v>8310</v>
      </c>
      <c r="C3987" s="4" t="s">
        <v>485</v>
      </c>
      <c r="D3987" s="4">
        <v>14</v>
      </c>
      <c r="E3987" s="4" t="s">
        <v>5512</v>
      </c>
    </row>
    <row r="3988" spans="1:6">
      <c r="A3988" s="4" t="s">
        <v>8311</v>
      </c>
      <c r="B3988" s="6" t="s">
        <v>8310</v>
      </c>
      <c r="C3988" s="4" t="s">
        <v>554</v>
      </c>
      <c r="D3988" s="4">
        <v>13</v>
      </c>
      <c r="E3988" s="4" t="s">
        <v>7111</v>
      </c>
      <c r="F3988" s="4" t="s">
        <v>8312</v>
      </c>
    </row>
    <row r="3989" spans="1:6">
      <c r="A3989" s="4" t="s">
        <v>8313</v>
      </c>
      <c r="B3989" s="6" t="s">
        <v>8310</v>
      </c>
      <c r="C3989" s="4" t="s">
        <v>37</v>
      </c>
      <c r="D3989" s="4">
        <v>12</v>
      </c>
      <c r="E3989" s="4" t="s">
        <v>1047</v>
      </c>
      <c r="F3989" s="4" t="s">
        <v>8314</v>
      </c>
    </row>
    <row r="3990" spans="1:6">
      <c r="A3990" s="4" t="s">
        <v>8315</v>
      </c>
      <c r="B3990" s="6" t="s">
        <v>8310</v>
      </c>
      <c r="C3990" s="4" t="s">
        <v>81</v>
      </c>
      <c r="D3990" s="4">
        <v>13</v>
      </c>
      <c r="E3990" s="4" t="s">
        <v>5512</v>
      </c>
      <c r="F3990" s="4" t="s">
        <v>8316</v>
      </c>
    </row>
    <row r="3991" spans="1:6">
      <c r="A3991" s="4" t="s">
        <v>8317</v>
      </c>
      <c r="B3991" s="6" t="s">
        <v>8310</v>
      </c>
      <c r="C3991" s="4" t="s">
        <v>351</v>
      </c>
      <c r="D3991" s="4">
        <v>10</v>
      </c>
      <c r="E3991" s="4" t="s">
        <v>7374</v>
      </c>
      <c r="F3991" s="4" t="s">
        <v>8318</v>
      </c>
    </row>
    <row r="3992" spans="1:6">
      <c r="A3992" s="4" t="s">
        <v>8319</v>
      </c>
      <c r="B3992" s="6" t="s">
        <v>8310</v>
      </c>
      <c r="C3992" s="4" t="s">
        <v>708</v>
      </c>
      <c r="D3992" s="4">
        <v>12</v>
      </c>
      <c r="E3992" s="4" t="s">
        <v>7111</v>
      </c>
    </row>
    <row r="3993" spans="1:6">
      <c r="A3993" s="4" t="s">
        <v>8320</v>
      </c>
      <c r="B3993" s="6" t="s">
        <v>8310</v>
      </c>
      <c r="C3993" s="4" t="s">
        <v>461</v>
      </c>
      <c r="D3993" s="4">
        <v>10</v>
      </c>
      <c r="E3993" s="4" t="s">
        <v>1047</v>
      </c>
      <c r="F3993" s="4" t="s">
        <v>8321</v>
      </c>
    </row>
    <row r="3994" spans="1:6">
      <c r="A3994" s="4" t="s">
        <v>8322</v>
      </c>
      <c r="B3994" s="6" t="s">
        <v>8323</v>
      </c>
      <c r="C3994" s="4" t="s">
        <v>301</v>
      </c>
      <c r="D3994" s="4">
        <v>12</v>
      </c>
      <c r="E3994" s="4" t="s">
        <v>1047</v>
      </c>
      <c r="F3994" s="4" t="s">
        <v>8324</v>
      </c>
    </row>
    <row r="3995" spans="1:6">
      <c r="A3995" s="4" t="s">
        <v>8325</v>
      </c>
      <c r="B3995" s="6" t="s">
        <v>8323</v>
      </c>
      <c r="C3995" s="4" t="s">
        <v>544</v>
      </c>
      <c r="D3995" s="4">
        <v>6</v>
      </c>
      <c r="E3995" s="4" t="s">
        <v>1047</v>
      </c>
      <c r="F3995" s="4" t="s">
        <v>8326</v>
      </c>
    </row>
    <row r="3996" spans="1:6">
      <c r="A3996" s="4" t="s">
        <v>8327</v>
      </c>
      <c r="B3996" s="6" t="s">
        <v>8323</v>
      </c>
      <c r="C3996" s="4" t="s">
        <v>275</v>
      </c>
      <c r="D3996" s="4">
        <v>5</v>
      </c>
      <c r="F3996" s="4" t="s">
        <v>8328</v>
      </c>
    </row>
    <row r="3997" spans="1:6">
      <c r="A3997" s="4" t="s">
        <v>8329</v>
      </c>
      <c r="B3997" s="6" t="s">
        <v>8323</v>
      </c>
      <c r="C3997" s="4" t="s">
        <v>53</v>
      </c>
      <c r="D3997" s="4">
        <v>11</v>
      </c>
      <c r="E3997" s="4" t="s">
        <v>1047</v>
      </c>
      <c r="F3997" s="4" t="s">
        <v>8330</v>
      </c>
    </row>
    <row r="3998" spans="1:6">
      <c r="A3998" s="4" t="s">
        <v>708</v>
      </c>
      <c r="B3998" s="6" t="s">
        <v>8331</v>
      </c>
      <c r="C3998" s="4" t="s">
        <v>708</v>
      </c>
      <c r="D3998" s="4">
        <v>3</v>
      </c>
      <c r="E3998" s="4" t="s">
        <v>1047</v>
      </c>
      <c r="F3998" s="4" t="s">
        <v>8332</v>
      </c>
    </row>
    <row r="3999" spans="1:6">
      <c r="A3999" s="4" t="s">
        <v>8333</v>
      </c>
      <c r="B3999" s="6" t="s">
        <v>8334</v>
      </c>
      <c r="C3999" s="4" t="s">
        <v>1262</v>
      </c>
      <c r="D3999" s="4">
        <v>10</v>
      </c>
      <c r="E3999" s="4" t="s">
        <v>1157</v>
      </c>
      <c r="F3999" s="4" t="s">
        <v>8335</v>
      </c>
    </row>
    <row r="4000" spans="1:6">
      <c r="A4000" s="4" t="s">
        <v>8336</v>
      </c>
      <c r="B4000" s="6" t="s">
        <v>8337</v>
      </c>
      <c r="C4000" s="4" t="s">
        <v>301</v>
      </c>
      <c r="D4000" s="4">
        <v>14</v>
      </c>
      <c r="E4000" s="4" t="s">
        <v>8338</v>
      </c>
      <c r="F4000" s="4" t="s">
        <v>8339</v>
      </c>
    </row>
    <row r="4001" spans="1:6">
      <c r="A4001" s="4" t="s">
        <v>8340</v>
      </c>
      <c r="B4001" s="6" t="s">
        <v>8337</v>
      </c>
      <c r="C4001" s="4" t="s">
        <v>8340</v>
      </c>
      <c r="D4001" s="4">
        <v>6</v>
      </c>
      <c r="E4001" s="4" t="s">
        <v>7111</v>
      </c>
      <c r="F4001" s="4" t="s">
        <v>8341</v>
      </c>
    </row>
    <row r="4002" spans="1:6">
      <c r="A4002" s="4" t="s">
        <v>8342</v>
      </c>
      <c r="B4002" s="6" t="s">
        <v>8337</v>
      </c>
      <c r="C4002" s="4" t="s">
        <v>254</v>
      </c>
      <c r="D4002" s="4">
        <v>7</v>
      </c>
      <c r="E4002" s="4" t="s">
        <v>5512</v>
      </c>
      <c r="F4002" s="4" t="s">
        <v>1293</v>
      </c>
    </row>
    <row r="4003" spans="1:6">
      <c r="A4003" s="4" t="s">
        <v>8343</v>
      </c>
      <c r="B4003" s="6" t="s">
        <v>8337</v>
      </c>
      <c r="C4003" s="4" t="s">
        <v>195</v>
      </c>
      <c r="D4003" s="4">
        <v>13</v>
      </c>
      <c r="E4003" s="4" t="s">
        <v>1047</v>
      </c>
      <c r="F4003" s="4" t="s">
        <v>4502</v>
      </c>
    </row>
    <row r="4004" spans="1:6">
      <c r="A4004" s="4" t="s">
        <v>8344</v>
      </c>
      <c r="B4004" s="6" t="s">
        <v>8337</v>
      </c>
      <c r="C4004" s="4" t="s">
        <v>1756</v>
      </c>
      <c r="D4004" s="4">
        <v>9</v>
      </c>
      <c r="E4004" s="4" t="s">
        <v>7374</v>
      </c>
    </row>
    <row r="4005" spans="1:6">
      <c r="A4005" s="4" t="s">
        <v>8345</v>
      </c>
      <c r="B4005" s="6" t="s">
        <v>8337</v>
      </c>
      <c r="C4005" s="4" t="s">
        <v>23</v>
      </c>
      <c r="D4005" s="4">
        <v>13</v>
      </c>
      <c r="E4005" s="4" t="s">
        <v>1047</v>
      </c>
    </row>
    <row r="4006" spans="1:6">
      <c r="A4006" s="4" t="s">
        <v>8346</v>
      </c>
      <c r="B4006" s="6" t="s">
        <v>8337</v>
      </c>
      <c r="C4006" s="4" t="s">
        <v>1180</v>
      </c>
      <c r="D4006" s="4">
        <v>6</v>
      </c>
      <c r="E4006" s="4" t="s">
        <v>5512</v>
      </c>
      <c r="F4006" s="4" t="s">
        <v>8347</v>
      </c>
    </row>
    <row r="4007" spans="1:6">
      <c r="A4007" s="4" t="s">
        <v>8348</v>
      </c>
      <c r="B4007" s="6" t="s">
        <v>8337</v>
      </c>
      <c r="C4007" s="4" t="s">
        <v>708</v>
      </c>
      <c r="D4007" s="4">
        <v>6</v>
      </c>
      <c r="E4007" s="4" t="s">
        <v>5512</v>
      </c>
      <c r="F4007" s="4" t="s">
        <v>1099</v>
      </c>
    </row>
    <row r="4008" spans="1:6">
      <c r="A4008" s="4" t="s">
        <v>8349</v>
      </c>
      <c r="B4008" s="6" t="s">
        <v>8337</v>
      </c>
      <c r="C4008" s="4" t="s">
        <v>41</v>
      </c>
      <c r="D4008" s="4">
        <v>7</v>
      </c>
      <c r="E4008" s="4" t="s">
        <v>7374</v>
      </c>
    </row>
    <row r="4009" spans="1:6">
      <c r="A4009" s="4" t="s">
        <v>8350</v>
      </c>
      <c r="B4009" s="6" t="s">
        <v>8337</v>
      </c>
      <c r="C4009" s="4" t="s">
        <v>414</v>
      </c>
      <c r="D4009" s="4">
        <v>11</v>
      </c>
      <c r="E4009" s="4" t="s">
        <v>7374</v>
      </c>
    </row>
    <row r="4010" spans="1:6">
      <c r="A4010" s="4" t="s">
        <v>8351</v>
      </c>
      <c r="B4010" s="6" t="s">
        <v>8337</v>
      </c>
      <c r="C4010" s="4" t="s">
        <v>1328</v>
      </c>
      <c r="D4010" s="4">
        <v>11</v>
      </c>
      <c r="E4010" s="4" t="s">
        <v>7374</v>
      </c>
    </row>
    <row r="4011" spans="1:6">
      <c r="A4011" s="4" t="s">
        <v>8352</v>
      </c>
      <c r="B4011" s="6" t="s">
        <v>8353</v>
      </c>
      <c r="C4011" s="4" t="s">
        <v>87</v>
      </c>
      <c r="D4011" s="4">
        <v>8</v>
      </c>
      <c r="E4011" s="4" t="s">
        <v>7371</v>
      </c>
    </row>
    <row r="4012" spans="1:6">
      <c r="A4012" s="4" t="s">
        <v>8354</v>
      </c>
      <c r="B4012" s="6" t="s">
        <v>8355</v>
      </c>
      <c r="C4012" s="4" t="s">
        <v>4474</v>
      </c>
      <c r="D4012" s="4">
        <v>12</v>
      </c>
      <c r="E4012" s="4" t="s">
        <v>1004</v>
      </c>
      <c r="F4012" s="4" t="s">
        <v>8356</v>
      </c>
    </row>
    <row r="4013" spans="1:6">
      <c r="A4013" s="4" t="s">
        <v>8357</v>
      </c>
      <c r="B4013" s="6" t="s">
        <v>8358</v>
      </c>
      <c r="C4013" s="4" t="s">
        <v>37</v>
      </c>
      <c r="D4013" s="4">
        <v>16</v>
      </c>
      <c r="E4013" s="4" t="s">
        <v>1047</v>
      </c>
      <c r="F4013" s="4" t="s">
        <v>2377</v>
      </c>
    </row>
    <row r="4014" spans="1:6">
      <c r="A4014" s="4" t="s">
        <v>8359</v>
      </c>
      <c r="B4014" s="6" t="s">
        <v>8360</v>
      </c>
      <c r="C4014" s="4" t="s">
        <v>23</v>
      </c>
      <c r="D4014" s="4">
        <v>9</v>
      </c>
      <c r="E4014" s="4" t="s">
        <v>1047</v>
      </c>
    </row>
    <row r="4015" spans="1:6">
      <c r="A4015" s="4" t="s">
        <v>8361</v>
      </c>
      <c r="B4015" s="6" t="s">
        <v>8362</v>
      </c>
      <c r="C4015" s="4" t="s">
        <v>263</v>
      </c>
      <c r="D4015" s="4">
        <v>9</v>
      </c>
      <c r="E4015" s="4" t="s">
        <v>391</v>
      </c>
      <c r="F4015" s="4" t="s">
        <v>8363</v>
      </c>
    </row>
    <row r="4016" spans="1:6">
      <c r="A4016" s="4" t="s">
        <v>8364</v>
      </c>
      <c r="B4016" s="6" t="s">
        <v>8365</v>
      </c>
      <c r="C4016" s="4" t="s">
        <v>87</v>
      </c>
      <c r="D4016" s="4">
        <v>14</v>
      </c>
      <c r="E4016" s="4" t="s">
        <v>1047</v>
      </c>
      <c r="F4016" s="4" t="s">
        <v>8366</v>
      </c>
    </row>
    <row r="4017" spans="1:6">
      <c r="A4017" s="4" t="s">
        <v>8367</v>
      </c>
      <c r="B4017" s="6" t="s">
        <v>8365</v>
      </c>
      <c r="C4017" s="4" t="s">
        <v>41</v>
      </c>
      <c r="D4017" s="4">
        <v>7</v>
      </c>
      <c r="E4017" s="4" t="s">
        <v>391</v>
      </c>
      <c r="F4017" s="4" t="s">
        <v>8368</v>
      </c>
    </row>
    <row r="4018" spans="1:6">
      <c r="A4018" s="4" t="s">
        <v>8369</v>
      </c>
      <c r="B4018" s="6" t="s">
        <v>8370</v>
      </c>
      <c r="C4018" s="4" t="s">
        <v>49</v>
      </c>
      <c r="D4018" s="4">
        <v>9</v>
      </c>
      <c r="E4018" s="4" t="s">
        <v>7111</v>
      </c>
      <c r="F4018" s="4" t="s">
        <v>1500</v>
      </c>
    </row>
    <row r="4019" spans="1:6">
      <c r="A4019" s="4" t="s">
        <v>8371</v>
      </c>
      <c r="B4019" s="6" t="s">
        <v>8370</v>
      </c>
      <c r="C4019" s="4" t="s">
        <v>53</v>
      </c>
      <c r="D4019" s="4">
        <v>8</v>
      </c>
      <c r="E4019" s="4" t="s">
        <v>569</v>
      </c>
    </row>
    <row r="4020" spans="1:6">
      <c r="A4020" s="4" t="s">
        <v>8372</v>
      </c>
      <c r="B4020" s="6" t="s">
        <v>8370</v>
      </c>
      <c r="C4020" s="4" t="s">
        <v>76</v>
      </c>
      <c r="D4020" s="4">
        <v>11</v>
      </c>
      <c r="E4020" s="4" t="s">
        <v>1047</v>
      </c>
      <c r="F4020" s="4" t="s">
        <v>8373</v>
      </c>
    </row>
    <row r="4021" spans="1:6">
      <c r="A4021" s="4" t="s">
        <v>8374</v>
      </c>
      <c r="B4021" s="6" t="s">
        <v>8370</v>
      </c>
      <c r="C4021" s="4" t="s">
        <v>354</v>
      </c>
      <c r="D4021" s="4">
        <v>11</v>
      </c>
      <c r="E4021" s="4" t="s">
        <v>391</v>
      </c>
    </row>
    <row r="4022" spans="1:6">
      <c r="A4022" s="4" t="s">
        <v>8375</v>
      </c>
      <c r="B4022" s="6" t="s">
        <v>8370</v>
      </c>
      <c r="C4022" s="4" t="s">
        <v>218</v>
      </c>
      <c r="D4022" s="4">
        <v>12</v>
      </c>
      <c r="E4022" s="4" t="s">
        <v>569</v>
      </c>
    </row>
    <row r="4023" spans="1:6">
      <c r="A4023" s="4" t="s">
        <v>8376</v>
      </c>
      <c r="B4023" s="6" t="s">
        <v>8370</v>
      </c>
      <c r="C4023" s="4" t="s">
        <v>14</v>
      </c>
      <c r="D4023" s="4">
        <v>11</v>
      </c>
      <c r="E4023" s="4" t="s">
        <v>391</v>
      </c>
    </row>
    <row r="4024" spans="1:6">
      <c r="A4024" s="4" t="s">
        <v>8377</v>
      </c>
      <c r="B4024" s="6" t="s">
        <v>8378</v>
      </c>
      <c r="C4024" s="4" t="s">
        <v>57</v>
      </c>
      <c r="D4024" s="4">
        <v>19</v>
      </c>
      <c r="E4024" s="4" t="s">
        <v>5512</v>
      </c>
    </row>
    <row r="4025" spans="1:6">
      <c r="A4025" s="4" t="s">
        <v>8379</v>
      </c>
      <c r="B4025" s="6" t="s">
        <v>8378</v>
      </c>
      <c r="C4025" s="4" t="s">
        <v>14</v>
      </c>
      <c r="D4025" s="4">
        <v>7</v>
      </c>
      <c r="E4025" s="4" t="s">
        <v>391</v>
      </c>
    </row>
    <row r="4026" spans="1:6">
      <c r="A4026" s="4" t="s">
        <v>8380</v>
      </c>
      <c r="B4026" s="6" t="s">
        <v>8381</v>
      </c>
      <c r="C4026" s="4" t="s">
        <v>14</v>
      </c>
      <c r="D4026" s="4">
        <v>8</v>
      </c>
      <c r="E4026" s="4" t="s">
        <v>1047</v>
      </c>
      <c r="F4026" s="4" t="s">
        <v>7379</v>
      </c>
    </row>
    <row r="4027" spans="1:6">
      <c r="A4027" s="4" t="s">
        <v>8382</v>
      </c>
      <c r="B4027" s="6" t="s">
        <v>8381</v>
      </c>
      <c r="C4027" s="4" t="s">
        <v>254</v>
      </c>
      <c r="D4027" s="4">
        <v>10</v>
      </c>
      <c r="E4027" s="4" t="s">
        <v>8383</v>
      </c>
    </row>
    <row r="4028" spans="1:6">
      <c r="A4028" s="4" t="s">
        <v>8384</v>
      </c>
      <c r="B4028" s="6" t="s">
        <v>8385</v>
      </c>
      <c r="C4028" s="4" t="s">
        <v>8384</v>
      </c>
      <c r="D4028" s="4">
        <v>4</v>
      </c>
      <c r="E4028" s="4" t="s">
        <v>569</v>
      </c>
      <c r="F4028" s="4" t="s">
        <v>2577</v>
      </c>
    </row>
    <row r="4029" spans="1:6">
      <c r="A4029" s="4" t="s">
        <v>8386</v>
      </c>
      <c r="B4029" s="6" t="s">
        <v>8387</v>
      </c>
      <c r="C4029" s="4" t="s">
        <v>254</v>
      </c>
      <c r="D4029" s="4">
        <v>7</v>
      </c>
      <c r="E4029" s="4" t="s">
        <v>1047</v>
      </c>
      <c r="F4029" s="4" t="s">
        <v>8388</v>
      </c>
    </row>
    <row r="4030" spans="1:6">
      <c r="A4030" s="4" t="s">
        <v>8389</v>
      </c>
      <c r="B4030" s="6" t="s">
        <v>8390</v>
      </c>
      <c r="C4030" s="4" t="s">
        <v>275</v>
      </c>
      <c r="D4030" s="4">
        <v>16</v>
      </c>
      <c r="E4030" s="4" t="s">
        <v>391</v>
      </c>
      <c r="F4030" s="4" t="s">
        <v>8391</v>
      </c>
    </row>
    <row r="4031" spans="1:6">
      <c r="A4031" s="4" t="s">
        <v>2756</v>
      </c>
      <c r="B4031" s="6" t="s">
        <v>8390</v>
      </c>
      <c r="C4031" s="4" t="s">
        <v>2756</v>
      </c>
      <c r="D4031" s="4">
        <v>14</v>
      </c>
      <c r="E4031" s="4" t="s">
        <v>617</v>
      </c>
      <c r="F4031" s="4" t="s">
        <v>2981</v>
      </c>
    </row>
    <row r="4032" spans="1:6">
      <c r="A4032" s="4" t="s">
        <v>8392</v>
      </c>
      <c r="B4032" s="6" t="s">
        <v>8390</v>
      </c>
      <c r="C4032" s="4" t="s">
        <v>214</v>
      </c>
      <c r="D4032" s="4">
        <v>3</v>
      </c>
      <c r="E4032" s="4" t="s">
        <v>1047</v>
      </c>
      <c r="F4032" s="4" t="s">
        <v>6899</v>
      </c>
    </row>
    <row r="4033" spans="1:6">
      <c r="A4033" s="4" t="s">
        <v>8393</v>
      </c>
      <c r="B4033" s="6" t="s">
        <v>8390</v>
      </c>
      <c r="C4033" s="4" t="s">
        <v>23</v>
      </c>
      <c r="D4033" s="4">
        <v>17</v>
      </c>
      <c r="E4033" s="4" t="s">
        <v>8394</v>
      </c>
    </row>
    <row r="4034" spans="1:6">
      <c r="A4034" s="4" t="s">
        <v>8395</v>
      </c>
      <c r="B4034" s="6" t="s">
        <v>8396</v>
      </c>
      <c r="C4034" s="4" t="s">
        <v>149</v>
      </c>
      <c r="D4034" s="4">
        <v>9</v>
      </c>
      <c r="E4034" s="4" t="s">
        <v>177</v>
      </c>
      <c r="F4034" s="4" t="s">
        <v>8397</v>
      </c>
    </row>
    <row r="4035" spans="1:6">
      <c r="A4035" s="4" t="s">
        <v>8398</v>
      </c>
      <c r="B4035" s="6" t="s">
        <v>8399</v>
      </c>
      <c r="C4035" s="4" t="s">
        <v>53</v>
      </c>
      <c r="D4035" s="4">
        <v>25</v>
      </c>
      <c r="E4035" s="4" t="s">
        <v>8400</v>
      </c>
    </row>
    <row r="4036" spans="1:6">
      <c r="A4036" s="4" t="s">
        <v>8401</v>
      </c>
      <c r="B4036" s="6" t="s">
        <v>8399</v>
      </c>
      <c r="C4036" s="4" t="s">
        <v>8402</v>
      </c>
      <c r="D4036" s="4">
        <v>29</v>
      </c>
      <c r="E4036" s="4" t="s">
        <v>8400</v>
      </c>
    </row>
    <row r="4037" spans="1:6">
      <c r="A4037" s="4" t="s">
        <v>8403</v>
      </c>
      <c r="B4037" s="6" t="s">
        <v>8404</v>
      </c>
      <c r="C4037" s="4" t="s">
        <v>27</v>
      </c>
      <c r="D4037" s="4">
        <v>16</v>
      </c>
      <c r="E4037" s="4" t="s">
        <v>188</v>
      </c>
    </row>
    <row r="4038" spans="1:6">
      <c r="A4038" s="4" t="s">
        <v>8405</v>
      </c>
      <c r="B4038" s="6" t="s">
        <v>8404</v>
      </c>
      <c r="C4038" s="4" t="s">
        <v>76</v>
      </c>
      <c r="D4038" s="4">
        <v>23</v>
      </c>
      <c r="E4038" s="4" t="s">
        <v>188</v>
      </c>
    </row>
    <row r="4039" spans="1:6">
      <c r="A4039" s="4" t="s">
        <v>8406</v>
      </c>
      <c r="B4039" s="6" t="s">
        <v>8404</v>
      </c>
      <c r="C4039" s="4" t="s">
        <v>41</v>
      </c>
      <c r="D4039" s="4">
        <v>21</v>
      </c>
      <c r="E4039" s="4" t="s">
        <v>188</v>
      </c>
    </row>
    <row r="4040" spans="1:6">
      <c r="A4040" s="4" t="s">
        <v>8407</v>
      </c>
      <c r="B4040" s="6" t="s">
        <v>8408</v>
      </c>
      <c r="C4040" s="4" t="s">
        <v>87</v>
      </c>
      <c r="D4040" s="4">
        <v>7</v>
      </c>
      <c r="E4040" s="4" t="s">
        <v>54</v>
      </c>
    </row>
    <row r="4041" spans="1:6">
      <c r="A4041" s="4" t="s">
        <v>8409</v>
      </c>
      <c r="B4041" s="6" t="s">
        <v>8410</v>
      </c>
      <c r="C4041" s="4" t="s">
        <v>53</v>
      </c>
      <c r="D4041" s="4">
        <v>8</v>
      </c>
      <c r="E4041" s="4" t="s">
        <v>54</v>
      </c>
    </row>
    <row r="4042" spans="1:6">
      <c r="A4042" s="4" t="s">
        <v>8411</v>
      </c>
      <c r="B4042" s="6" t="s">
        <v>8412</v>
      </c>
      <c r="C4042" s="4" t="s">
        <v>14</v>
      </c>
      <c r="D4042" s="4">
        <v>9</v>
      </c>
      <c r="E4042" s="4" t="s">
        <v>1609</v>
      </c>
      <c r="F4042" s="4" t="s">
        <v>2675</v>
      </c>
    </row>
    <row r="4043" spans="1:6">
      <c r="A4043" s="4" t="s">
        <v>8413</v>
      </c>
      <c r="B4043" s="6" t="s">
        <v>8414</v>
      </c>
      <c r="C4043" s="4" t="s">
        <v>87</v>
      </c>
      <c r="D4043" s="4">
        <v>11</v>
      </c>
      <c r="E4043" s="4" t="s">
        <v>1634</v>
      </c>
      <c r="F4043" s="4" t="s">
        <v>8415</v>
      </c>
    </row>
    <row r="4044" spans="1:6">
      <c r="A4044" s="4" t="s">
        <v>8416</v>
      </c>
      <c r="B4044" s="6" t="s">
        <v>8417</v>
      </c>
      <c r="C4044" s="4" t="s">
        <v>45</v>
      </c>
      <c r="D4044" s="4">
        <v>8</v>
      </c>
      <c r="E4044" s="4" t="s">
        <v>1634</v>
      </c>
      <c r="F4044" s="4" t="s">
        <v>8418</v>
      </c>
    </row>
    <row r="4045" spans="1:6">
      <c r="A4045" s="4" t="s">
        <v>8419</v>
      </c>
      <c r="B4045" s="6" t="s">
        <v>8417</v>
      </c>
      <c r="C4045" s="4" t="s">
        <v>49</v>
      </c>
      <c r="D4045" s="4">
        <v>8</v>
      </c>
      <c r="E4045" s="4" t="s">
        <v>5541</v>
      </c>
      <c r="F4045" s="4" t="s">
        <v>8420</v>
      </c>
    </row>
    <row r="4046" spans="1:6">
      <c r="A4046" s="4" t="s">
        <v>8421</v>
      </c>
      <c r="B4046" s="6" t="s">
        <v>8417</v>
      </c>
      <c r="C4046" s="4" t="s">
        <v>427</v>
      </c>
      <c r="D4046" s="4">
        <v>14</v>
      </c>
      <c r="E4046" s="4" t="s">
        <v>1634</v>
      </c>
    </row>
    <row r="4047" spans="1:6">
      <c r="A4047" s="4" t="s">
        <v>8422</v>
      </c>
      <c r="B4047" s="6" t="s">
        <v>8417</v>
      </c>
      <c r="C4047" s="4" t="s">
        <v>14</v>
      </c>
      <c r="D4047" s="4">
        <v>11</v>
      </c>
      <c r="E4047" s="4" t="s">
        <v>1634</v>
      </c>
    </row>
    <row r="4048" spans="1:6">
      <c r="A4048" s="4" t="s">
        <v>8423</v>
      </c>
      <c r="B4048" s="6" t="s">
        <v>8424</v>
      </c>
      <c r="C4048" s="4" t="s">
        <v>1180</v>
      </c>
      <c r="D4048" s="4">
        <v>11</v>
      </c>
      <c r="E4048" s="4" t="s">
        <v>1609</v>
      </c>
    </row>
    <row r="4049" spans="1:6">
      <c r="A4049" s="4" t="s">
        <v>8425</v>
      </c>
      <c r="B4049" s="6" t="s">
        <v>8424</v>
      </c>
      <c r="C4049" s="4" t="s">
        <v>81</v>
      </c>
      <c r="D4049" s="4">
        <v>15</v>
      </c>
      <c r="E4049" s="4" t="s">
        <v>1609</v>
      </c>
      <c r="F4049" s="4" t="s">
        <v>8426</v>
      </c>
    </row>
    <row r="4050" spans="1:6">
      <c r="A4050" s="4" t="s">
        <v>8427</v>
      </c>
      <c r="B4050" s="6" t="s">
        <v>8428</v>
      </c>
      <c r="C4050" s="4" t="s">
        <v>179</v>
      </c>
      <c r="D4050" s="4">
        <v>9</v>
      </c>
      <c r="E4050" s="4" t="s">
        <v>1830</v>
      </c>
    </row>
    <row r="4051" spans="1:6">
      <c r="A4051" s="4" t="s">
        <v>8429</v>
      </c>
      <c r="B4051" s="6" t="s">
        <v>8430</v>
      </c>
      <c r="C4051" s="4" t="s">
        <v>595</v>
      </c>
      <c r="D4051" s="4">
        <v>18</v>
      </c>
      <c r="E4051" s="4" t="s">
        <v>191</v>
      </c>
      <c r="F4051" s="4" t="s">
        <v>6100</v>
      </c>
    </row>
    <row r="4052" spans="1:6">
      <c r="A4052" s="4" t="s">
        <v>8431</v>
      </c>
      <c r="B4052" s="6" t="s">
        <v>8432</v>
      </c>
      <c r="C4052" s="4" t="s">
        <v>49</v>
      </c>
      <c r="D4052" s="4">
        <v>11</v>
      </c>
      <c r="E4052" s="4" t="s">
        <v>1609</v>
      </c>
      <c r="F4052" s="4" t="s">
        <v>8433</v>
      </c>
    </row>
    <row r="4053" spans="1:6">
      <c r="A4053" s="4" t="s">
        <v>8434</v>
      </c>
      <c r="B4053" s="6" t="s">
        <v>8435</v>
      </c>
      <c r="C4053" s="4" t="s">
        <v>254</v>
      </c>
      <c r="D4053" s="4">
        <v>14</v>
      </c>
      <c r="E4053" s="4" t="s">
        <v>3212</v>
      </c>
    </row>
    <row r="4054" spans="1:6">
      <c r="A4054" s="4" t="s">
        <v>8436</v>
      </c>
      <c r="B4054" s="6" t="s">
        <v>8437</v>
      </c>
      <c r="C4054" s="4" t="s">
        <v>34</v>
      </c>
      <c r="D4054" s="4">
        <v>16</v>
      </c>
      <c r="E4054" s="4" t="s">
        <v>188</v>
      </c>
      <c r="F4054" s="4" t="s">
        <v>8438</v>
      </c>
    </row>
    <row r="4055" spans="1:6">
      <c r="A4055" s="4" t="s">
        <v>8439</v>
      </c>
      <c r="B4055" s="6" t="s">
        <v>8440</v>
      </c>
      <c r="C4055" s="4" t="s">
        <v>14</v>
      </c>
      <c r="D4055" s="4">
        <v>8</v>
      </c>
      <c r="E4055" s="4" t="s">
        <v>1609</v>
      </c>
      <c r="F4055" s="4" t="s">
        <v>8441</v>
      </c>
    </row>
    <row r="4056" spans="1:6">
      <c r="A4056" s="4" t="s">
        <v>8442</v>
      </c>
      <c r="B4056" s="6" t="s">
        <v>8443</v>
      </c>
      <c r="C4056" s="4" t="s">
        <v>296</v>
      </c>
      <c r="D4056" s="4">
        <v>8</v>
      </c>
      <c r="E4056" s="4" t="s">
        <v>5554</v>
      </c>
      <c r="F4056" s="4" t="s">
        <v>8339</v>
      </c>
    </row>
    <row r="4057" spans="1:6">
      <c r="A4057" s="4" t="s">
        <v>8444</v>
      </c>
      <c r="B4057" s="6" t="s">
        <v>8443</v>
      </c>
      <c r="C4057" s="4" t="s">
        <v>23</v>
      </c>
      <c r="D4057" s="4">
        <v>11</v>
      </c>
      <c r="E4057" s="4" t="s">
        <v>8445</v>
      </c>
    </row>
    <row r="4058" spans="1:6">
      <c r="A4058" s="4" t="s">
        <v>8446</v>
      </c>
      <c r="B4058" s="6" t="s">
        <v>8447</v>
      </c>
      <c r="C4058" s="4" t="s">
        <v>132</v>
      </c>
      <c r="D4058" s="4">
        <v>24</v>
      </c>
      <c r="E4058" s="4" t="s">
        <v>188</v>
      </c>
      <c r="F4058" s="4" t="s">
        <v>8448</v>
      </c>
    </row>
    <row r="4059" spans="1:6">
      <c r="A4059" s="4" t="s">
        <v>8449</v>
      </c>
      <c r="B4059" s="6" t="s">
        <v>8447</v>
      </c>
      <c r="C4059" s="4" t="s">
        <v>354</v>
      </c>
      <c r="D4059" s="4">
        <v>17</v>
      </c>
      <c r="E4059" s="4" t="s">
        <v>188</v>
      </c>
    </row>
    <row r="4060" spans="1:6">
      <c r="A4060" s="4" t="s">
        <v>8450</v>
      </c>
      <c r="B4060" s="6" t="s">
        <v>8451</v>
      </c>
      <c r="C4060" s="4" t="s">
        <v>121</v>
      </c>
      <c r="D4060" s="4">
        <v>5</v>
      </c>
      <c r="E4060" s="4" t="s">
        <v>54</v>
      </c>
    </row>
    <row r="4061" spans="1:6">
      <c r="A4061" s="4" t="s">
        <v>8452</v>
      </c>
      <c r="B4061" s="6" t="s">
        <v>8451</v>
      </c>
      <c r="C4061" s="4" t="s">
        <v>544</v>
      </c>
      <c r="D4061" s="4">
        <v>9</v>
      </c>
      <c r="E4061" s="4" t="s">
        <v>54</v>
      </c>
    </row>
    <row r="4062" spans="1:6">
      <c r="A4062" s="4" t="s">
        <v>8453</v>
      </c>
      <c r="B4062" s="6" t="s">
        <v>8454</v>
      </c>
      <c r="C4062" s="4" t="s">
        <v>87</v>
      </c>
      <c r="D4062" s="4">
        <v>8</v>
      </c>
      <c r="E4062" s="4" t="s">
        <v>8455</v>
      </c>
    </row>
    <row r="4063" spans="1:6">
      <c r="A4063" s="4" t="s">
        <v>8456</v>
      </c>
      <c r="B4063" s="6" t="s">
        <v>8457</v>
      </c>
      <c r="C4063" s="4" t="s">
        <v>301</v>
      </c>
      <c r="D4063" s="4">
        <v>9</v>
      </c>
      <c r="E4063" s="4" t="s">
        <v>96</v>
      </c>
    </row>
    <row r="4064" spans="1:6">
      <c r="A4064" s="4" t="s">
        <v>8458</v>
      </c>
      <c r="B4064" s="6" t="s">
        <v>8457</v>
      </c>
      <c r="C4064" s="4" t="s">
        <v>14</v>
      </c>
      <c r="D4064" s="4">
        <v>6</v>
      </c>
      <c r="E4064" s="4" t="s">
        <v>1263</v>
      </c>
    </row>
    <row r="4065" spans="1:6">
      <c r="A4065" s="4" t="s">
        <v>8459</v>
      </c>
      <c r="B4065" s="6" t="s">
        <v>8460</v>
      </c>
      <c r="C4065" s="4" t="s">
        <v>81</v>
      </c>
      <c r="D4065" s="4">
        <v>8</v>
      </c>
      <c r="E4065" s="4" t="s">
        <v>54</v>
      </c>
    </row>
    <row r="4066" spans="1:6">
      <c r="A4066" s="4" t="s">
        <v>8461</v>
      </c>
      <c r="B4066" s="6" t="s">
        <v>8462</v>
      </c>
      <c r="C4066" s="4" t="s">
        <v>254</v>
      </c>
      <c r="D4066" s="4">
        <v>17</v>
      </c>
      <c r="E4066" s="4" t="s">
        <v>177</v>
      </c>
      <c r="F4066" s="4" t="s">
        <v>8463</v>
      </c>
    </row>
    <row r="4067" spans="1:6">
      <c r="A4067" s="4" t="s">
        <v>8464</v>
      </c>
      <c r="B4067" s="6" t="s">
        <v>8462</v>
      </c>
      <c r="C4067" s="4" t="s">
        <v>81</v>
      </c>
      <c r="D4067" s="4">
        <v>15</v>
      </c>
      <c r="E4067" s="4" t="s">
        <v>177</v>
      </c>
      <c r="F4067" s="4" t="s">
        <v>8465</v>
      </c>
    </row>
    <row r="4068" spans="1:6">
      <c r="A4068" s="4" t="s">
        <v>8466</v>
      </c>
      <c r="B4068" s="6" t="s">
        <v>8467</v>
      </c>
      <c r="C4068" s="4" t="s">
        <v>254</v>
      </c>
      <c r="D4068" s="4">
        <v>15</v>
      </c>
      <c r="E4068" s="4" t="s">
        <v>8468</v>
      </c>
    </row>
    <row r="4069" spans="1:6">
      <c r="A4069" s="4" t="s">
        <v>8469</v>
      </c>
      <c r="B4069" s="6" t="s">
        <v>8467</v>
      </c>
      <c r="C4069" s="4" t="s">
        <v>81</v>
      </c>
      <c r="D4069" s="4">
        <v>16</v>
      </c>
      <c r="E4069" s="4" t="s">
        <v>8468</v>
      </c>
    </row>
    <row r="4070" spans="1:6">
      <c r="A4070" s="4" t="s">
        <v>8470</v>
      </c>
      <c r="B4070" s="6" t="s">
        <v>8467</v>
      </c>
      <c r="C4070" s="4" t="s">
        <v>34</v>
      </c>
      <c r="D4070" s="4">
        <v>7</v>
      </c>
      <c r="E4070" s="4" t="s">
        <v>1601</v>
      </c>
      <c r="F4070" s="4" t="s">
        <v>8471</v>
      </c>
    </row>
    <row r="4071" spans="1:6">
      <c r="A4071" s="4" t="s">
        <v>8472</v>
      </c>
      <c r="B4071" s="6" t="s">
        <v>8467</v>
      </c>
      <c r="C4071" s="4" t="s">
        <v>354</v>
      </c>
      <c r="D4071" s="4">
        <v>17</v>
      </c>
      <c r="E4071" s="4" t="s">
        <v>8468</v>
      </c>
    </row>
    <row r="4072" spans="1:6">
      <c r="A4072" s="4" t="s">
        <v>8473</v>
      </c>
      <c r="B4072" s="6" t="s">
        <v>8474</v>
      </c>
      <c r="C4072" s="4" t="s">
        <v>81</v>
      </c>
      <c r="D4072" s="4">
        <v>7</v>
      </c>
      <c r="E4072" s="4" t="s">
        <v>54</v>
      </c>
      <c r="F4072" s="4" t="s">
        <v>8475</v>
      </c>
    </row>
    <row r="4073" spans="1:6">
      <c r="A4073" s="4" t="s">
        <v>8476</v>
      </c>
      <c r="B4073" s="6" t="s">
        <v>8474</v>
      </c>
      <c r="C4073" s="4" t="s">
        <v>81</v>
      </c>
      <c r="D4073" s="4">
        <v>17</v>
      </c>
      <c r="E4073" s="4" t="s">
        <v>54</v>
      </c>
      <c r="F4073" s="4" t="s">
        <v>8475</v>
      </c>
    </row>
    <row r="4074" spans="1:6">
      <c r="A4074" s="4" t="s">
        <v>8477</v>
      </c>
      <c r="B4074" s="6" t="s">
        <v>8478</v>
      </c>
      <c r="C4074" s="4" t="s">
        <v>140</v>
      </c>
      <c r="D4074" s="4">
        <v>17</v>
      </c>
      <c r="E4074" s="4" t="s">
        <v>177</v>
      </c>
    </row>
    <row r="4075" spans="1:6">
      <c r="A4075" s="4" t="s">
        <v>8479</v>
      </c>
      <c r="B4075" s="6" t="s">
        <v>8480</v>
      </c>
      <c r="C4075" s="4" t="s">
        <v>427</v>
      </c>
      <c r="D4075" s="4">
        <v>20</v>
      </c>
      <c r="E4075" s="4" t="s">
        <v>50</v>
      </c>
    </row>
    <row r="4076" spans="1:6">
      <c r="A4076" s="4" t="s">
        <v>8481</v>
      </c>
      <c r="B4076" s="6" t="s">
        <v>8482</v>
      </c>
      <c r="C4076" s="4" t="s">
        <v>104</v>
      </c>
      <c r="D4076" s="4">
        <v>12</v>
      </c>
      <c r="E4076" s="4" t="s">
        <v>8483</v>
      </c>
    </row>
    <row r="4077" spans="1:6">
      <c r="A4077" s="4" t="s">
        <v>8484</v>
      </c>
      <c r="B4077" s="6" t="s">
        <v>8482</v>
      </c>
      <c r="C4077" s="4" t="s">
        <v>34</v>
      </c>
      <c r="D4077" s="4">
        <v>11</v>
      </c>
      <c r="E4077" s="4" t="s">
        <v>8483</v>
      </c>
      <c r="F4077" s="4" t="s">
        <v>1589</v>
      </c>
    </row>
    <row r="4078" spans="1:6">
      <c r="A4078" s="4" t="s">
        <v>8485</v>
      </c>
      <c r="B4078" s="6" t="s">
        <v>8486</v>
      </c>
      <c r="C4078" s="4" t="s">
        <v>351</v>
      </c>
      <c r="D4078" s="4">
        <v>8</v>
      </c>
      <c r="E4078" s="4" t="s">
        <v>54</v>
      </c>
    </row>
    <row r="4079" spans="1:6">
      <c r="A4079" s="4" t="s">
        <v>8487</v>
      </c>
      <c r="B4079" s="6" t="s">
        <v>8488</v>
      </c>
      <c r="C4079" s="4" t="s">
        <v>448</v>
      </c>
      <c r="D4079" s="4">
        <v>3</v>
      </c>
      <c r="E4079" s="4" t="s">
        <v>4464</v>
      </c>
      <c r="F4079" s="4" t="s">
        <v>8489</v>
      </c>
    </row>
    <row r="4080" spans="1:6">
      <c r="A4080" s="4" t="s">
        <v>8490</v>
      </c>
      <c r="B4080" s="6" t="s">
        <v>8488</v>
      </c>
      <c r="C4080" s="4" t="s">
        <v>263</v>
      </c>
      <c r="D4080" s="4">
        <v>6</v>
      </c>
      <c r="E4080" s="4" t="s">
        <v>4464</v>
      </c>
      <c r="F4080" s="4" t="s">
        <v>8491</v>
      </c>
    </row>
    <row r="4081" spans="1:6">
      <c r="A4081" s="4" t="s">
        <v>8492</v>
      </c>
      <c r="B4081" s="6" t="s">
        <v>8493</v>
      </c>
      <c r="C4081" s="4" t="s">
        <v>63</v>
      </c>
      <c r="D4081" s="4">
        <v>12</v>
      </c>
      <c r="E4081" s="4" t="s">
        <v>5566</v>
      </c>
      <c r="F4081" s="4" t="s">
        <v>8494</v>
      </c>
    </row>
    <row r="4082" spans="1:6">
      <c r="A4082" s="4" t="s">
        <v>8495</v>
      </c>
      <c r="B4082" s="6" t="s">
        <v>8493</v>
      </c>
      <c r="C4082" s="4" t="s">
        <v>74</v>
      </c>
      <c r="D4082" s="4">
        <v>4</v>
      </c>
      <c r="E4082" s="4" t="s">
        <v>5566</v>
      </c>
      <c r="F4082" s="4" t="s">
        <v>8496</v>
      </c>
    </row>
    <row r="4083" spans="1:6">
      <c r="A4083" s="4" t="s">
        <v>8497</v>
      </c>
      <c r="B4083" s="6" t="s">
        <v>8498</v>
      </c>
      <c r="C4083" s="4" t="s">
        <v>23</v>
      </c>
      <c r="D4083" s="4">
        <v>11</v>
      </c>
      <c r="E4083" s="4" t="s">
        <v>4728</v>
      </c>
      <c r="F4083" s="4" t="s">
        <v>8499</v>
      </c>
    </row>
    <row r="4084" spans="1:6">
      <c r="A4084" s="4" t="s">
        <v>8500</v>
      </c>
      <c r="B4084" s="6" t="s">
        <v>8501</v>
      </c>
      <c r="C4084" s="4" t="s">
        <v>544</v>
      </c>
      <c r="D4084" s="4">
        <v>14</v>
      </c>
      <c r="E4084" s="4" t="s">
        <v>164</v>
      </c>
    </row>
    <row r="4085" spans="1:6">
      <c r="A4085" s="4" t="s">
        <v>8502</v>
      </c>
      <c r="B4085" s="6" t="s">
        <v>8501</v>
      </c>
      <c r="C4085" s="4" t="s">
        <v>271</v>
      </c>
      <c r="D4085" s="4">
        <v>6</v>
      </c>
      <c r="E4085" s="4" t="s">
        <v>5684</v>
      </c>
      <c r="F4085" s="4" t="s">
        <v>323</v>
      </c>
    </row>
    <row r="4086" spans="1:6">
      <c r="A4086" s="4" t="s">
        <v>8503</v>
      </c>
      <c r="B4086" s="6" t="s">
        <v>8501</v>
      </c>
      <c r="C4086" s="4" t="s">
        <v>23</v>
      </c>
      <c r="D4086" s="4">
        <v>7</v>
      </c>
      <c r="E4086" s="4" t="s">
        <v>8504</v>
      </c>
    </row>
    <row r="4087" spans="1:6">
      <c r="A4087" s="4" t="s">
        <v>8505</v>
      </c>
      <c r="B4087" s="6" t="s">
        <v>8506</v>
      </c>
      <c r="C4087" s="4" t="s">
        <v>275</v>
      </c>
      <c r="D4087" s="4">
        <v>12</v>
      </c>
      <c r="E4087" s="4" t="s">
        <v>5566</v>
      </c>
      <c r="F4087" s="4" t="s">
        <v>8507</v>
      </c>
    </row>
    <row r="4088" spans="1:6">
      <c r="A4088" s="4" t="s">
        <v>8508</v>
      </c>
      <c r="B4088" s="6" t="s">
        <v>8506</v>
      </c>
      <c r="C4088" s="4" t="s">
        <v>156</v>
      </c>
      <c r="D4088" s="4">
        <v>19</v>
      </c>
      <c r="E4088" s="4" t="s">
        <v>8509</v>
      </c>
    </row>
    <row r="4089" spans="1:6">
      <c r="A4089" s="4" t="s">
        <v>8510</v>
      </c>
      <c r="B4089" s="6" t="s">
        <v>8511</v>
      </c>
      <c r="C4089" s="4" t="s">
        <v>2111</v>
      </c>
      <c r="D4089" s="4">
        <v>8</v>
      </c>
      <c r="E4089" s="4" t="s">
        <v>8512</v>
      </c>
      <c r="F4089" s="4" t="s">
        <v>2611</v>
      </c>
    </row>
    <row r="4090" spans="1:6">
      <c r="A4090" s="4" t="s">
        <v>8513</v>
      </c>
      <c r="B4090" s="6" t="s">
        <v>8511</v>
      </c>
      <c r="C4090" s="4" t="s">
        <v>81</v>
      </c>
      <c r="D4090" s="4">
        <v>12</v>
      </c>
      <c r="E4090" s="4" t="s">
        <v>6192</v>
      </c>
    </row>
    <row r="4091" spans="1:6">
      <c r="A4091" s="4" t="s">
        <v>8514</v>
      </c>
      <c r="B4091" s="6" t="s">
        <v>8511</v>
      </c>
      <c r="C4091" s="4" t="s">
        <v>243</v>
      </c>
      <c r="D4091" s="4">
        <v>4</v>
      </c>
      <c r="E4091" s="4" t="s">
        <v>8515</v>
      </c>
      <c r="F4091" s="4" t="s">
        <v>8516</v>
      </c>
    </row>
    <row r="4092" spans="1:6">
      <c r="A4092" s="4" t="s">
        <v>8517</v>
      </c>
      <c r="B4092" s="6" t="s">
        <v>8518</v>
      </c>
      <c r="C4092" s="4" t="s">
        <v>301</v>
      </c>
      <c r="D4092" s="4">
        <v>10</v>
      </c>
      <c r="E4092" s="4" t="s">
        <v>4728</v>
      </c>
    </row>
    <row r="4093" spans="1:6">
      <c r="A4093" s="4" t="s">
        <v>8519</v>
      </c>
      <c r="B4093" s="6" t="s">
        <v>8518</v>
      </c>
      <c r="C4093" s="4" t="s">
        <v>427</v>
      </c>
      <c r="D4093" s="4">
        <v>10</v>
      </c>
      <c r="E4093" s="4" t="s">
        <v>8520</v>
      </c>
      <c r="F4093" s="4" t="s">
        <v>8521</v>
      </c>
    </row>
    <row r="4094" spans="1:6">
      <c r="A4094" s="4" t="s">
        <v>8522</v>
      </c>
      <c r="B4094" s="6" t="s">
        <v>8518</v>
      </c>
      <c r="C4094" s="4" t="s">
        <v>1282</v>
      </c>
      <c r="D4094" s="4">
        <v>14</v>
      </c>
      <c r="E4094" s="4" t="s">
        <v>8523</v>
      </c>
      <c r="F4094" s="4" t="s">
        <v>2952</v>
      </c>
    </row>
    <row r="4095" spans="1:6">
      <c r="A4095" s="4" t="s">
        <v>226</v>
      </c>
      <c r="B4095" s="6" t="s">
        <v>8518</v>
      </c>
      <c r="C4095" s="4" t="s">
        <v>226</v>
      </c>
      <c r="D4095" s="4">
        <v>4</v>
      </c>
      <c r="E4095" s="4" t="s">
        <v>8523</v>
      </c>
      <c r="F4095" s="4" t="s">
        <v>8524</v>
      </c>
    </row>
    <row r="4096" spans="1:6">
      <c r="A4096" s="4" t="s">
        <v>8525</v>
      </c>
      <c r="B4096" s="6" t="s">
        <v>8526</v>
      </c>
      <c r="C4096" s="4" t="s">
        <v>301</v>
      </c>
      <c r="D4096" s="4">
        <v>10</v>
      </c>
      <c r="E4096" s="4" t="s">
        <v>4577</v>
      </c>
    </row>
    <row r="4097" spans="1:6">
      <c r="A4097" s="4" t="s">
        <v>8527</v>
      </c>
      <c r="B4097" s="6" t="s">
        <v>8528</v>
      </c>
      <c r="C4097" s="4" t="s">
        <v>1420</v>
      </c>
      <c r="D4097" s="4">
        <v>16</v>
      </c>
      <c r="E4097" s="4" t="s">
        <v>50</v>
      </c>
    </row>
    <row r="4098" spans="1:6">
      <c r="A4098" s="4" t="s">
        <v>8529</v>
      </c>
      <c r="B4098" s="6" t="s">
        <v>8528</v>
      </c>
      <c r="C4098" s="4" t="s">
        <v>1420</v>
      </c>
      <c r="D4098" s="4">
        <v>16</v>
      </c>
      <c r="E4098" s="4" t="s">
        <v>50</v>
      </c>
    </row>
    <row r="4099" spans="1:6">
      <c r="A4099" s="4" t="s">
        <v>8530</v>
      </c>
      <c r="B4099" s="6" t="s">
        <v>8531</v>
      </c>
      <c r="C4099" s="4" t="s">
        <v>275</v>
      </c>
      <c r="D4099" s="4">
        <v>13</v>
      </c>
      <c r="E4099" s="4" t="s">
        <v>1609</v>
      </c>
      <c r="F4099" s="4" t="s">
        <v>8532</v>
      </c>
    </row>
    <row r="4100" spans="1:6">
      <c r="A4100" s="4" t="s">
        <v>8533</v>
      </c>
      <c r="B4100" s="6" t="s">
        <v>8531</v>
      </c>
      <c r="C4100" s="4" t="s">
        <v>1335</v>
      </c>
      <c r="D4100" s="4">
        <v>7</v>
      </c>
      <c r="E4100" s="4" t="s">
        <v>1609</v>
      </c>
      <c r="F4100" s="4" t="s">
        <v>8534</v>
      </c>
    </row>
    <row r="4101" spans="1:6">
      <c r="A4101" s="4" t="s">
        <v>8535</v>
      </c>
      <c r="B4101" s="6" t="s">
        <v>8531</v>
      </c>
      <c r="C4101" s="4" t="s">
        <v>686</v>
      </c>
      <c r="D4101" s="4">
        <v>9</v>
      </c>
      <c r="E4101" s="4" t="s">
        <v>1609</v>
      </c>
      <c r="F4101" s="4" t="s">
        <v>8536</v>
      </c>
    </row>
    <row r="4102" spans="1:6">
      <c r="A4102" s="4" t="s">
        <v>8537</v>
      </c>
      <c r="B4102" s="6" t="s">
        <v>8531</v>
      </c>
      <c r="C4102" s="4" t="s">
        <v>351</v>
      </c>
      <c r="D4102" s="4">
        <v>13</v>
      </c>
      <c r="E4102" s="4" t="s">
        <v>617</v>
      </c>
      <c r="F4102" s="4" t="s">
        <v>8397</v>
      </c>
    </row>
    <row r="4103" spans="1:6">
      <c r="A4103" s="4" t="s">
        <v>8538</v>
      </c>
      <c r="B4103" s="6" t="s">
        <v>8531</v>
      </c>
      <c r="C4103" s="4" t="s">
        <v>49</v>
      </c>
      <c r="D4103" s="4">
        <v>12</v>
      </c>
      <c r="E4103" s="4" t="s">
        <v>1609</v>
      </c>
      <c r="F4103" s="4" t="s">
        <v>1480</v>
      </c>
    </row>
    <row r="4104" spans="1:6">
      <c r="A4104" s="4" t="s">
        <v>8539</v>
      </c>
      <c r="B4104" s="6" t="s">
        <v>8531</v>
      </c>
      <c r="C4104" s="4" t="s">
        <v>49</v>
      </c>
      <c r="D4104" s="4">
        <v>16</v>
      </c>
      <c r="E4104" s="4" t="s">
        <v>617</v>
      </c>
      <c r="F4104" s="4" t="s">
        <v>8540</v>
      </c>
    </row>
    <row r="4105" spans="1:6">
      <c r="A4105" s="4" t="s">
        <v>1335</v>
      </c>
      <c r="B4105" s="6" t="s">
        <v>8531</v>
      </c>
      <c r="C4105" s="4" t="s">
        <v>1335</v>
      </c>
      <c r="D4105" s="4">
        <v>3</v>
      </c>
      <c r="E4105" s="4" t="s">
        <v>8541</v>
      </c>
    </row>
    <row r="4106" spans="1:6">
      <c r="A4106" s="4" t="s">
        <v>8542</v>
      </c>
      <c r="B4106" s="6" t="s">
        <v>8531</v>
      </c>
      <c r="C4106" s="4" t="s">
        <v>1335</v>
      </c>
      <c r="D4106" s="4">
        <v>12</v>
      </c>
      <c r="E4106" s="4" t="s">
        <v>8543</v>
      </c>
    </row>
    <row r="4107" spans="1:6">
      <c r="A4107" s="4" t="s">
        <v>8544</v>
      </c>
      <c r="B4107" s="6" t="s">
        <v>8531</v>
      </c>
      <c r="C4107" s="4" t="s">
        <v>238</v>
      </c>
      <c r="D4107" s="4">
        <v>12</v>
      </c>
      <c r="E4107" s="4" t="s">
        <v>1609</v>
      </c>
    </row>
    <row r="4108" spans="1:6">
      <c r="A4108" s="4" t="s">
        <v>8545</v>
      </c>
      <c r="B4108" s="6" t="s">
        <v>8546</v>
      </c>
      <c r="C4108" s="4" t="s">
        <v>686</v>
      </c>
      <c r="D4108" s="4">
        <v>8</v>
      </c>
      <c r="E4108" s="4" t="s">
        <v>1634</v>
      </c>
      <c r="F4108" s="4" t="s">
        <v>8547</v>
      </c>
    </row>
    <row r="4109" spans="1:6">
      <c r="A4109" s="4" t="s">
        <v>8548</v>
      </c>
      <c r="B4109" s="6" t="s">
        <v>8549</v>
      </c>
      <c r="C4109" s="4" t="s">
        <v>1248</v>
      </c>
      <c r="D4109" s="4">
        <v>12</v>
      </c>
      <c r="E4109" s="4" t="s">
        <v>1634</v>
      </c>
      <c r="F4109" s="4" t="s">
        <v>8550</v>
      </c>
    </row>
    <row r="4110" spans="1:6">
      <c r="A4110" s="4" t="s">
        <v>8551</v>
      </c>
      <c r="B4110" s="6" t="s">
        <v>8549</v>
      </c>
      <c r="C4110" s="4" t="s">
        <v>917</v>
      </c>
      <c r="D4110" s="4">
        <v>4</v>
      </c>
      <c r="E4110" s="4" t="s">
        <v>1634</v>
      </c>
      <c r="F4110" s="4" t="s">
        <v>8552</v>
      </c>
    </row>
    <row r="4111" spans="1:6">
      <c r="A4111" s="4" t="s">
        <v>8553</v>
      </c>
      <c r="B4111" s="6" t="s">
        <v>8549</v>
      </c>
      <c r="C4111" s="4" t="s">
        <v>23</v>
      </c>
      <c r="D4111" s="4">
        <v>10</v>
      </c>
      <c r="E4111" s="4" t="s">
        <v>164</v>
      </c>
    </row>
    <row r="4112" spans="1:6">
      <c r="A4112" s="4" t="s">
        <v>8554</v>
      </c>
      <c r="B4112" s="6" t="s">
        <v>8549</v>
      </c>
      <c r="C4112" s="4" t="s">
        <v>1335</v>
      </c>
      <c r="D4112" s="4">
        <v>13</v>
      </c>
      <c r="E4112" s="4" t="s">
        <v>1634</v>
      </c>
      <c r="F4112" s="4" t="s">
        <v>8420</v>
      </c>
    </row>
    <row r="4113" spans="1:6">
      <c r="A4113" s="4" t="s">
        <v>8555</v>
      </c>
      <c r="B4113" s="6" t="s">
        <v>8549</v>
      </c>
      <c r="C4113" s="4" t="s">
        <v>27</v>
      </c>
      <c r="D4113" s="4">
        <v>9</v>
      </c>
      <c r="E4113" s="4" t="s">
        <v>1634</v>
      </c>
      <c r="F4113" s="4" t="s">
        <v>7139</v>
      </c>
    </row>
    <row r="4114" spans="1:6">
      <c r="A4114" s="4" t="s">
        <v>8556</v>
      </c>
      <c r="B4114" s="6" t="s">
        <v>8549</v>
      </c>
      <c r="C4114" s="4" t="s">
        <v>1335</v>
      </c>
      <c r="D4114" s="4">
        <v>13</v>
      </c>
      <c r="E4114" s="4" t="s">
        <v>1634</v>
      </c>
      <c r="F4114" s="4" t="s">
        <v>8552</v>
      </c>
    </row>
    <row r="4115" spans="1:6">
      <c r="A4115" s="4" t="s">
        <v>8557</v>
      </c>
      <c r="B4115" s="6" t="s">
        <v>8549</v>
      </c>
      <c r="C4115" s="4" t="s">
        <v>223</v>
      </c>
      <c r="D4115" s="4">
        <v>10</v>
      </c>
      <c r="E4115" s="4" t="s">
        <v>1634</v>
      </c>
    </row>
    <row r="4116" spans="1:6">
      <c r="A4116" s="4" t="s">
        <v>766</v>
      </c>
      <c r="B4116" s="6" t="s">
        <v>8558</v>
      </c>
      <c r="C4116" s="4" t="s">
        <v>766</v>
      </c>
      <c r="D4116" s="4">
        <v>4</v>
      </c>
      <c r="E4116" s="4" t="s">
        <v>1795</v>
      </c>
      <c r="F4116" s="4" t="s">
        <v>8559</v>
      </c>
    </row>
    <row r="4117" spans="1:6">
      <c r="A4117" s="4" t="s">
        <v>8560</v>
      </c>
      <c r="B4117" s="6" t="s">
        <v>8561</v>
      </c>
      <c r="C4117" s="4" t="s">
        <v>275</v>
      </c>
      <c r="D4117" s="4">
        <v>13</v>
      </c>
      <c r="E4117" s="4" t="s">
        <v>5541</v>
      </c>
      <c r="F4117" s="4" t="s">
        <v>8562</v>
      </c>
    </row>
    <row r="4118" spans="1:6">
      <c r="A4118" s="4" t="s">
        <v>8563</v>
      </c>
      <c r="B4118" s="6" t="s">
        <v>8564</v>
      </c>
      <c r="C4118" s="4" t="s">
        <v>19</v>
      </c>
      <c r="D4118" s="4">
        <v>10</v>
      </c>
      <c r="E4118" s="4" t="s">
        <v>8565</v>
      </c>
    </row>
    <row r="4119" spans="1:6">
      <c r="A4119" s="4" t="s">
        <v>8566</v>
      </c>
      <c r="B4119" s="6" t="s">
        <v>8564</v>
      </c>
      <c r="C4119" s="4" t="s">
        <v>14</v>
      </c>
      <c r="D4119" s="4">
        <v>12</v>
      </c>
      <c r="E4119" s="4" t="s">
        <v>1634</v>
      </c>
      <c r="F4119" s="4" t="s">
        <v>1385</v>
      </c>
    </row>
    <row r="4120" spans="1:6">
      <c r="A4120" s="4" t="s">
        <v>8567</v>
      </c>
      <c r="B4120" s="6" t="s">
        <v>8568</v>
      </c>
      <c r="C4120" s="4" t="s">
        <v>34</v>
      </c>
      <c r="D4120" s="4">
        <v>12</v>
      </c>
      <c r="E4120" s="4" t="s">
        <v>1634</v>
      </c>
    </row>
    <row r="4121" spans="1:6">
      <c r="A4121" s="4" t="s">
        <v>8569</v>
      </c>
      <c r="B4121" s="6" t="s">
        <v>8570</v>
      </c>
      <c r="C4121" s="4" t="s">
        <v>1431</v>
      </c>
      <c r="D4121" s="4">
        <v>12</v>
      </c>
      <c r="E4121" s="4" t="s">
        <v>1795</v>
      </c>
      <c r="F4121" s="4" t="s">
        <v>4385</v>
      </c>
    </row>
    <row r="4122" spans="1:6">
      <c r="A4122" s="4" t="s">
        <v>8571</v>
      </c>
      <c r="B4122" s="6" t="s">
        <v>8570</v>
      </c>
      <c r="C4122" s="4" t="s">
        <v>1078</v>
      </c>
      <c r="D4122" s="4">
        <v>5</v>
      </c>
      <c r="E4122" s="4" t="s">
        <v>1795</v>
      </c>
    </row>
    <row r="4123" spans="1:6">
      <c r="A4123" s="4" t="s">
        <v>8572</v>
      </c>
      <c r="B4123" s="6" t="s">
        <v>8570</v>
      </c>
      <c r="C4123" s="4" t="s">
        <v>1211</v>
      </c>
      <c r="D4123" s="4">
        <v>12</v>
      </c>
      <c r="E4123" s="4" t="s">
        <v>1795</v>
      </c>
    </row>
    <row r="4124" spans="1:6">
      <c r="A4124" s="4" t="s">
        <v>8573</v>
      </c>
      <c r="B4124" s="6" t="s">
        <v>8574</v>
      </c>
      <c r="C4124" s="4" t="s">
        <v>53</v>
      </c>
      <c r="D4124" s="4">
        <v>9</v>
      </c>
      <c r="E4124" s="4" t="s">
        <v>50</v>
      </c>
      <c r="F4124" s="4" t="s">
        <v>8575</v>
      </c>
    </row>
    <row r="4125" spans="1:6">
      <c r="A4125" s="4" t="s">
        <v>8576</v>
      </c>
      <c r="B4125" s="6" t="s">
        <v>8574</v>
      </c>
      <c r="C4125" s="4" t="s">
        <v>53</v>
      </c>
      <c r="D4125" s="4">
        <v>14</v>
      </c>
      <c r="E4125" s="4" t="s">
        <v>50</v>
      </c>
      <c r="F4125" s="4" t="s">
        <v>8575</v>
      </c>
    </row>
    <row r="4126" spans="1:6">
      <c r="A4126" s="4" t="s">
        <v>8577</v>
      </c>
      <c r="B4126" s="6" t="s">
        <v>8578</v>
      </c>
      <c r="C4126" s="4" t="s">
        <v>301</v>
      </c>
      <c r="D4126" s="4">
        <v>16</v>
      </c>
      <c r="E4126" s="4" t="s">
        <v>1609</v>
      </c>
    </row>
    <row r="4127" spans="1:6">
      <c r="A4127" s="4" t="s">
        <v>8579</v>
      </c>
      <c r="B4127" s="6" t="s">
        <v>8578</v>
      </c>
      <c r="C4127" s="4" t="s">
        <v>254</v>
      </c>
      <c r="D4127" s="4">
        <v>12</v>
      </c>
      <c r="E4127" s="4" t="s">
        <v>1609</v>
      </c>
      <c r="F4127" s="4" t="s">
        <v>8580</v>
      </c>
    </row>
    <row r="4128" spans="1:6">
      <c r="A4128" s="4" t="s">
        <v>8581</v>
      </c>
      <c r="B4128" s="6" t="s">
        <v>8578</v>
      </c>
      <c r="C4128" s="4" t="s">
        <v>605</v>
      </c>
      <c r="D4128" s="4">
        <v>7</v>
      </c>
      <c r="E4128" s="4" t="s">
        <v>617</v>
      </c>
      <c r="F4128" s="4" t="s">
        <v>8339</v>
      </c>
    </row>
    <row r="4129" spans="1:6">
      <c r="A4129" s="4" t="s">
        <v>8582</v>
      </c>
      <c r="B4129" s="6" t="s">
        <v>8578</v>
      </c>
      <c r="C4129" s="4" t="s">
        <v>53</v>
      </c>
      <c r="D4129" s="4">
        <v>11</v>
      </c>
      <c r="E4129" s="4" t="s">
        <v>617</v>
      </c>
      <c r="F4129" s="4" t="s">
        <v>7503</v>
      </c>
    </row>
    <row r="4130" spans="1:6">
      <c r="A4130" s="4" t="s">
        <v>8583</v>
      </c>
      <c r="B4130" s="6" t="s">
        <v>8584</v>
      </c>
      <c r="C4130" s="4" t="s">
        <v>87</v>
      </c>
      <c r="D4130" s="4">
        <v>5</v>
      </c>
      <c r="E4130" s="4" t="s">
        <v>50</v>
      </c>
      <c r="F4130" s="4" t="s">
        <v>8054</v>
      </c>
    </row>
    <row r="4131" spans="1:6">
      <c r="A4131" s="4" t="s">
        <v>8585</v>
      </c>
      <c r="B4131" s="6" t="s">
        <v>8586</v>
      </c>
      <c r="C4131" s="4" t="s">
        <v>354</v>
      </c>
      <c r="D4131" s="4">
        <v>9</v>
      </c>
      <c r="E4131" s="4" t="s">
        <v>1609</v>
      </c>
    </row>
    <row r="4132" spans="1:6">
      <c r="A4132" s="4" t="s">
        <v>8587</v>
      </c>
      <c r="B4132" s="6" t="s">
        <v>8586</v>
      </c>
      <c r="C4132" s="4" t="s">
        <v>254</v>
      </c>
      <c r="D4132" s="4">
        <v>7</v>
      </c>
      <c r="E4132" s="4" t="s">
        <v>1609</v>
      </c>
      <c r="F4132" s="4" t="s">
        <v>8588</v>
      </c>
    </row>
    <row r="4133" spans="1:6">
      <c r="A4133" s="4" t="s">
        <v>8589</v>
      </c>
      <c r="B4133" s="6" t="s">
        <v>8586</v>
      </c>
      <c r="C4133" s="4" t="s">
        <v>23</v>
      </c>
      <c r="D4133" s="4">
        <v>8</v>
      </c>
      <c r="E4133" s="4" t="s">
        <v>4698</v>
      </c>
      <c r="F4133" s="4" t="s">
        <v>8590</v>
      </c>
    </row>
    <row r="4134" spans="1:6">
      <c r="A4134" s="4" t="s">
        <v>8591</v>
      </c>
      <c r="B4134" s="6" t="s">
        <v>8586</v>
      </c>
      <c r="C4134" s="4" t="s">
        <v>427</v>
      </c>
      <c r="D4134" s="4">
        <v>15</v>
      </c>
      <c r="E4134" s="4" t="s">
        <v>1609</v>
      </c>
    </row>
    <row r="4135" spans="1:6">
      <c r="A4135" s="4" t="s">
        <v>8592</v>
      </c>
      <c r="B4135" s="6" t="s">
        <v>8586</v>
      </c>
      <c r="C4135" s="4" t="s">
        <v>23</v>
      </c>
      <c r="D4135" s="4">
        <v>12</v>
      </c>
      <c r="E4135" s="4" t="s">
        <v>1378</v>
      </c>
    </row>
    <row r="4136" spans="1:6">
      <c r="A4136" s="4" t="s">
        <v>8593</v>
      </c>
      <c r="B4136" s="6" t="s">
        <v>8594</v>
      </c>
      <c r="C4136" s="4" t="s">
        <v>53</v>
      </c>
      <c r="D4136" s="4">
        <v>5</v>
      </c>
      <c r="E4136" s="4" t="s">
        <v>4698</v>
      </c>
      <c r="F4136" s="4" t="s">
        <v>8595</v>
      </c>
    </row>
    <row r="4137" spans="1:6">
      <c r="A4137" s="4" t="s">
        <v>8596</v>
      </c>
      <c r="B4137" s="6" t="s">
        <v>8597</v>
      </c>
      <c r="C4137" s="4" t="s">
        <v>87</v>
      </c>
      <c r="D4137" s="4">
        <v>8</v>
      </c>
      <c r="E4137" s="4" t="s">
        <v>8598</v>
      </c>
      <c r="F4137" s="4" t="s">
        <v>8599</v>
      </c>
    </row>
    <row r="4138" spans="1:6">
      <c r="A4138" s="4" t="s">
        <v>8600</v>
      </c>
      <c r="B4138" s="6" t="s">
        <v>8597</v>
      </c>
      <c r="C4138" s="4" t="s">
        <v>37</v>
      </c>
      <c r="D4138" s="4">
        <v>12</v>
      </c>
      <c r="E4138" s="4" t="s">
        <v>50</v>
      </c>
      <c r="F4138" s="4" t="s">
        <v>8601</v>
      </c>
    </row>
    <row r="4139" spans="1:6">
      <c r="A4139" s="4" t="s">
        <v>8602</v>
      </c>
      <c r="B4139" s="6" t="s">
        <v>8597</v>
      </c>
      <c r="C4139" s="4" t="s">
        <v>23</v>
      </c>
      <c r="D4139" s="4">
        <v>8</v>
      </c>
      <c r="E4139" s="4" t="s">
        <v>8598</v>
      </c>
    </row>
    <row r="4140" spans="1:6">
      <c r="A4140" s="4" t="s">
        <v>8603</v>
      </c>
      <c r="B4140" s="6" t="s">
        <v>8604</v>
      </c>
      <c r="C4140" s="4" t="s">
        <v>81</v>
      </c>
      <c r="D4140" s="4">
        <v>7</v>
      </c>
      <c r="E4140" s="4" t="s">
        <v>4468</v>
      </c>
      <c r="F4140" s="4" t="s">
        <v>8605</v>
      </c>
    </row>
    <row r="4141" spans="1:6">
      <c r="A4141" s="4" t="s">
        <v>8606</v>
      </c>
      <c r="B4141" s="6" t="s">
        <v>8607</v>
      </c>
      <c r="C4141" s="4" t="s">
        <v>405</v>
      </c>
      <c r="D4141" s="4">
        <v>3</v>
      </c>
      <c r="E4141" s="4" t="s">
        <v>4468</v>
      </c>
      <c r="F4141" s="4" t="s">
        <v>1672</v>
      </c>
    </row>
    <row r="4142" spans="1:6">
      <c r="A4142" s="4" t="s">
        <v>8608</v>
      </c>
      <c r="B4142" s="6" t="s">
        <v>8609</v>
      </c>
      <c r="C4142" s="4" t="s">
        <v>301</v>
      </c>
      <c r="D4142" s="4">
        <v>14</v>
      </c>
      <c r="E4142" s="4" t="s">
        <v>4477</v>
      </c>
      <c r="F4142" s="4" t="s">
        <v>8610</v>
      </c>
    </row>
    <row r="4143" spans="1:6">
      <c r="A4143" s="4" t="s">
        <v>8611</v>
      </c>
      <c r="B4143" s="6" t="s">
        <v>8609</v>
      </c>
      <c r="C4143" s="4" t="s">
        <v>81</v>
      </c>
      <c r="D4143" s="4">
        <v>11</v>
      </c>
      <c r="E4143" s="4" t="s">
        <v>4468</v>
      </c>
    </row>
    <row r="4144" spans="1:6">
      <c r="A4144" s="4" t="s">
        <v>390</v>
      </c>
      <c r="B4144" s="6" t="s">
        <v>8609</v>
      </c>
      <c r="C4144" s="4" t="s">
        <v>390</v>
      </c>
      <c r="D4144" s="4">
        <v>6</v>
      </c>
      <c r="E4144" s="4" t="s">
        <v>8612</v>
      </c>
    </row>
    <row r="4145" spans="1:6">
      <c r="A4145" s="4" t="s">
        <v>8613</v>
      </c>
      <c r="B4145" s="6" t="s">
        <v>8609</v>
      </c>
      <c r="C4145" s="4" t="s">
        <v>3168</v>
      </c>
      <c r="D4145" s="4">
        <v>18</v>
      </c>
      <c r="E4145" s="4" t="s">
        <v>4477</v>
      </c>
    </row>
    <row r="4146" spans="1:6">
      <c r="A4146" s="4" t="s">
        <v>8614</v>
      </c>
      <c r="B4146" s="6" t="s">
        <v>8609</v>
      </c>
      <c r="C4146" s="4" t="s">
        <v>390</v>
      </c>
      <c r="D4146" s="4">
        <v>8</v>
      </c>
      <c r="E4146" s="4" t="s">
        <v>8615</v>
      </c>
    </row>
    <row r="4147" spans="1:6">
      <c r="A4147" s="4" t="s">
        <v>8616</v>
      </c>
      <c r="B4147" s="6" t="s">
        <v>8617</v>
      </c>
      <c r="C4147" s="4" t="s">
        <v>57</v>
      </c>
      <c r="D4147" s="4">
        <v>11</v>
      </c>
      <c r="E4147" s="4" t="s">
        <v>4468</v>
      </c>
      <c r="F4147" s="4" t="s">
        <v>4017</v>
      </c>
    </row>
    <row r="4148" spans="1:6">
      <c r="A4148" s="4" t="s">
        <v>8618</v>
      </c>
      <c r="B4148" s="6" t="s">
        <v>8619</v>
      </c>
      <c r="C4148" s="4" t="s">
        <v>14</v>
      </c>
      <c r="D4148" s="4">
        <v>6</v>
      </c>
      <c r="E4148" s="4" t="s">
        <v>4483</v>
      </c>
      <c r="F4148" s="4" t="s">
        <v>8620</v>
      </c>
    </row>
    <row r="4149" spans="1:6">
      <c r="A4149" s="4" t="s">
        <v>8621</v>
      </c>
      <c r="B4149" s="6" t="s">
        <v>8622</v>
      </c>
      <c r="C4149" s="4" t="s">
        <v>81</v>
      </c>
      <c r="D4149" s="4">
        <v>15</v>
      </c>
      <c r="E4149" s="4" t="s">
        <v>5932</v>
      </c>
    </row>
    <row r="4150" spans="1:6">
      <c r="A4150" s="4" t="s">
        <v>3844</v>
      </c>
      <c r="B4150" s="6" t="s">
        <v>8622</v>
      </c>
      <c r="C4150" s="4" t="s">
        <v>3844</v>
      </c>
      <c r="D4150" s="4">
        <v>4</v>
      </c>
      <c r="E4150" s="4" t="s">
        <v>8623</v>
      </c>
    </row>
    <row r="4151" spans="1:6">
      <c r="A4151" s="4" t="s">
        <v>8624</v>
      </c>
      <c r="B4151" s="6" t="s">
        <v>8625</v>
      </c>
      <c r="C4151" s="4" t="s">
        <v>686</v>
      </c>
      <c r="D4151" s="4">
        <v>12</v>
      </c>
      <c r="E4151" s="4" t="s">
        <v>8623</v>
      </c>
      <c r="F4151" s="4" t="s">
        <v>8626</v>
      </c>
    </row>
    <row r="4152" spans="1:6">
      <c r="A4152" s="4" t="s">
        <v>8627</v>
      </c>
      <c r="B4152" s="6" t="s">
        <v>8625</v>
      </c>
      <c r="C4152" s="4" t="s">
        <v>23</v>
      </c>
      <c r="D4152" s="4">
        <v>15</v>
      </c>
      <c r="E4152" s="4" t="s">
        <v>5932</v>
      </c>
    </row>
    <row r="4153" spans="1:6">
      <c r="A4153" s="4" t="s">
        <v>1835</v>
      </c>
      <c r="B4153" s="6" t="s">
        <v>8628</v>
      </c>
      <c r="C4153" s="4" t="s">
        <v>1835</v>
      </c>
      <c r="D4153" s="4">
        <v>4</v>
      </c>
      <c r="E4153" s="4" t="s">
        <v>4586</v>
      </c>
      <c r="F4153" s="4" t="s">
        <v>4587</v>
      </c>
    </row>
    <row r="4154" spans="1:6">
      <c r="A4154" s="4" t="s">
        <v>5257</v>
      </c>
      <c r="B4154" s="6" t="s">
        <v>8909</v>
      </c>
      <c r="C4154" s="4" t="s">
        <v>275</v>
      </c>
      <c r="D4154" s="4">
        <v>5</v>
      </c>
      <c r="F4154" s="4" t="s">
        <v>5259</v>
      </c>
    </row>
    <row r="4155" spans="1:6">
      <c r="A4155" s="4" t="s">
        <v>8629</v>
      </c>
      <c r="B4155" s="6" t="s">
        <v>8630</v>
      </c>
      <c r="C4155" s="4" t="s">
        <v>74</v>
      </c>
      <c r="D4155" s="4">
        <v>3</v>
      </c>
      <c r="E4155" s="4" t="s">
        <v>208</v>
      </c>
    </row>
    <row r="4156" spans="1:6">
      <c r="A4156" s="4" t="s">
        <v>8631</v>
      </c>
      <c r="B4156" s="6" t="s">
        <v>8630</v>
      </c>
      <c r="C4156" s="4" t="s">
        <v>342</v>
      </c>
      <c r="D4156" s="4">
        <v>8</v>
      </c>
      <c r="E4156" s="4" t="s">
        <v>208</v>
      </c>
    </row>
    <row r="4157" spans="1:6">
      <c r="A4157" s="4" t="s">
        <v>8632</v>
      </c>
      <c r="B4157" s="6" t="s">
        <v>8630</v>
      </c>
      <c r="C4157" s="4" t="s">
        <v>275</v>
      </c>
      <c r="D4157" s="4">
        <v>6</v>
      </c>
      <c r="E4157" s="4" t="s">
        <v>208</v>
      </c>
    </row>
    <row r="4158" spans="1:6">
      <c r="A4158" s="4" t="s">
        <v>8633</v>
      </c>
      <c r="B4158" s="6" t="s">
        <v>8630</v>
      </c>
      <c r="C4158" s="4" t="s">
        <v>49</v>
      </c>
      <c r="D4158" s="4">
        <v>15</v>
      </c>
      <c r="E4158" s="4" t="s">
        <v>5932</v>
      </c>
    </row>
    <row r="4159" spans="1:6">
      <c r="A4159" s="4" t="s">
        <v>8634</v>
      </c>
      <c r="B4159" s="6" t="s">
        <v>8630</v>
      </c>
      <c r="C4159" s="4" t="s">
        <v>1323</v>
      </c>
      <c r="D4159" s="4">
        <v>7</v>
      </c>
      <c r="E4159" s="4" t="s">
        <v>629</v>
      </c>
      <c r="F4159" s="4" t="s">
        <v>8635</v>
      </c>
    </row>
    <row r="4160" spans="1:6">
      <c r="A4160" s="4" t="s">
        <v>8636</v>
      </c>
      <c r="B4160" s="6" t="s">
        <v>8630</v>
      </c>
      <c r="C4160" s="4" t="s">
        <v>37</v>
      </c>
      <c r="D4160" s="4">
        <v>14</v>
      </c>
      <c r="E4160" s="4" t="s">
        <v>449</v>
      </c>
    </row>
    <row r="4161" spans="1:6">
      <c r="A4161" s="4" t="s">
        <v>1679</v>
      </c>
      <c r="B4161" s="6" t="s">
        <v>8637</v>
      </c>
      <c r="C4161" s="4" t="s">
        <v>1679</v>
      </c>
      <c r="D4161" s="4">
        <v>6</v>
      </c>
      <c r="E4161" s="4" t="s">
        <v>208</v>
      </c>
      <c r="F4161" s="4" t="s">
        <v>8638</v>
      </c>
    </row>
    <row r="4162" spans="1:6">
      <c r="A4162" s="4" t="s">
        <v>8639</v>
      </c>
      <c r="B4162" s="6" t="s">
        <v>8637</v>
      </c>
      <c r="C4162" s="4" t="s">
        <v>8640</v>
      </c>
      <c r="D4162" s="4">
        <v>15</v>
      </c>
      <c r="E4162" s="4" t="s">
        <v>5932</v>
      </c>
      <c r="F4162" s="4" t="s">
        <v>8641</v>
      </c>
    </row>
    <row r="4163" spans="1:6">
      <c r="A4163" s="4" t="s">
        <v>8642</v>
      </c>
      <c r="B4163" s="6" t="s">
        <v>8637</v>
      </c>
      <c r="C4163" s="4" t="s">
        <v>45</v>
      </c>
      <c r="D4163" s="4">
        <v>6</v>
      </c>
      <c r="E4163" s="4" t="s">
        <v>208</v>
      </c>
    </row>
    <row r="4164" spans="1:6">
      <c r="A4164" s="4" t="s">
        <v>8643</v>
      </c>
      <c r="B4164" s="6" t="s">
        <v>8637</v>
      </c>
      <c r="C4164" s="4" t="s">
        <v>41</v>
      </c>
      <c r="D4164" s="4">
        <v>15</v>
      </c>
      <c r="E4164" s="4" t="s">
        <v>5932</v>
      </c>
    </row>
    <row r="4165" spans="1:6">
      <c r="A4165" s="4" t="s">
        <v>8644</v>
      </c>
      <c r="B4165" s="6" t="s">
        <v>8645</v>
      </c>
      <c r="C4165" s="4" t="s">
        <v>675</v>
      </c>
      <c r="D4165" s="4">
        <v>8</v>
      </c>
      <c r="E4165" s="4" t="s">
        <v>5932</v>
      </c>
      <c r="F4165" s="4" t="s">
        <v>8646</v>
      </c>
    </row>
    <row r="4166" spans="1:6">
      <c r="A4166" s="4" t="s">
        <v>63</v>
      </c>
      <c r="B4166" s="6" t="s">
        <v>8647</v>
      </c>
      <c r="C4166" s="4" t="s">
        <v>63</v>
      </c>
      <c r="D4166" s="4">
        <v>8</v>
      </c>
      <c r="E4166" s="4" t="s">
        <v>208</v>
      </c>
      <c r="F4166" s="4" t="s">
        <v>7026</v>
      </c>
    </row>
    <row r="4167" spans="1:6">
      <c r="A4167" s="4" t="s">
        <v>8648</v>
      </c>
      <c r="B4167" s="6" t="s">
        <v>8649</v>
      </c>
      <c r="C4167" s="4" t="s">
        <v>254</v>
      </c>
      <c r="D4167" s="4">
        <v>8</v>
      </c>
      <c r="E4167" s="4" t="s">
        <v>5932</v>
      </c>
      <c r="F4167" s="4" t="s">
        <v>8650</v>
      </c>
    </row>
    <row r="4168" spans="1:6">
      <c r="A4168" s="4" t="s">
        <v>8651</v>
      </c>
      <c r="B4168" s="6" t="s">
        <v>8652</v>
      </c>
      <c r="C4168" s="4" t="s">
        <v>705</v>
      </c>
      <c r="D4168" s="4">
        <v>11</v>
      </c>
      <c r="E4168" s="4" t="s">
        <v>4757</v>
      </c>
      <c r="F4168" s="4" t="s">
        <v>8653</v>
      </c>
    </row>
    <row r="4169" spans="1:6">
      <c r="A4169" s="4" t="s">
        <v>8654</v>
      </c>
      <c r="B4169" s="6" t="s">
        <v>8652</v>
      </c>
      <c r="C4169" s="4" t="s">
        <v>63</v>
      </c>
      <c r="D4169" s="4">
        <v>19</v>
      </c>
      <c r="E4169" s="4" t="s">
        <v>4757</v>
      </c>
      <c r="F4169" s="4" t="s">
        <v>2413</v>
      </c>
    </row>
    <row r="4170" spans="1:6">
      <c r="A4170" s="4" t="s">
        <v>57</v>
      </c>
      <c r="B4170" s="6" t="s">
        <v>8655</v>
      </c>
      <c r="C4170" s="4" t="s">
        <v>57</v>
      </c>
      <c r="D4170" s="4">
        <v>4</v>
      </c>
      <c r="E4170" s="4" t="s">
        <v>54</v>
      </c>
      <c r="F4170" s="4" t="s">
        <v>8656</v>
      </c>
    </row>
    <row r="4171" spans="1:6">
      <c r="A4171" s="4" t="s">
        <v>8657</v>
      </c>
      <c r="B4171" s="6" t="s">
        <v>8658</v>
      </c>
      <c r="C4171" s="4" t="s">
        <v>420</v>
      </c>
      <c r="D4171" s="4">
        <v>9</v>
      </c>
      <c r="F4171" s="4" t="s">
        <v>2411</v>
      </c>
    </row>
    <row r="4172" spans="1:6">
      <c r="A4172" s="4" t="s">
        <v>8659</v>
      </c>
      <c r="B4172" s="6" t="s">
        <v>8660</v>
      </c>
      <c r="C4172" s="4" t="s">
        <v>104</v>
      </c>
      <c r="D4172" s="4">
        <v>8</v>
      </c>
      <c r="E4172" s="4" t="s">
        <v>54</v>
      </c>
    </row>
    <row r="4173" spans="1:6">
      <c r="A4173" s="4" t="s">
        <v>8661</v>
      </c>
      <c r="B4173" s="6" t="s">
        <v>8662</v>
      </c>
      <c r="C4173" s="4" t="s">
        <v>76</v>
      </c>
      <c r="D4173" s="4">
        <v>9</v>
      </c>
      <c r="E4173" s="4" t="s">
        <v>177</v>
      </c>
      <c r="F4173" s="4" t="s">
        <v>8663</v>
      </c>
    </row>
    <row r="4174" spans="1:6">
      <c r="A4174" s="4" t="s">
        <v>8664</v>
      </c>
      <c r="B4174" s="6" t="s">
        <v>8662</v>
      </c>
      <c r="C4174" s="4" t="s">
        <v>4474</v>
      </c>
      <c r="D4174" s="4">
        <v>4</v>
      </c>
      <c r="E4174" s="4" t="s">
        <v>8665</v>
      </c>
      <c r="F4174" s="4" t="s">
        <v>7708</v>
      </c>
    </row>
    <row r="4175" spans="1:6">
      <c r="A4175" s="4" t="s">
        <v>8666</v>
      </c>
      <c r="B4175" s="6" t="s">
        <v>8667</v>
      </c>
      <c r="C4175" s="4" t="s">
        <v>27</v>
      </c>
      <c r="D4175" s="4">
        <v>11</v>
      </c>
      <c r="E4175" s="4" t="s">
        <v>8668</v>
      </c>
    </row>
    <row r="4176" spans="1:6">
      <c r="A4176" s="4" t="s">
        <v>8669</v>
      </c>
      <c r="B4176" s="6" t="s">
        <v>8670</v>
      </c>
      <c r="C4176" s="4" t="s">
        <v>104</v>
      </c>
      <c r="D4176" s="4">
        <v>13</v>
      </c>
      <c r="E4176" s="4" t="s">
        <v>5566</v>
      </c>
    </row>
    <row r="4177" spans="1:6">
      <c r="A4177" s="4" t="s">
        <v>8671</v>
      </c>
      <c r="B4177" s="6" t="s">
        <v>8672</v>
      </c>
      <c r="C4177" s="4" t="s">
        <v>1624</v>
      </c>
      <c r="D4177" s="4">
        <v>10</v>
      </c>
      <c r="E4177" s="4" t="s">
        <v>1609</v>
      </c>
    </row>
    <row r="4178" spans="1:6">
      <c r="A4178" s="4" t="s">
        <v>574</v>
      </c>
      <c r="B4178" s="6" t="s">
        <v>8673</v>
      </c>
      <c r="C4178" s="4" t="s">
        <v>574</v>
      </c>
      <c r="D4178" s="4">
        <v>7</v>
      </c>
      <c r="E4178" s="4" t="s">
        <v>983</v>
      </c>
      <c r="F4178" s="4" t="s">
        <v>8674</v>
      </c>
    </row>
    <row r="4179" spans="1:6">
      <c r="A4179" s="4" t="s">
        <v>8675</v>
      </c>
      <c r="B4179" s="6" t="s">
        <v>8673</v>
      </c>
      <c r="C4179" s="4" t="s">
        <v>254</v>
      </c>
      <c r="D4179" s="4">
        <v>9</v>
      </c>
      <c r="F4179" s="4" t="s">
        <v>8674</v>
      </c>
    </row>
    <row r="4180" spans="1:6">
      <c r="A4180" s="4" t="s">
        <v>8676</v>
      </c>
      <c r="B4180" s="6" t="s">
        <v>8673</v>
      </c>
      <c r="C4180" s="4" t="s">
        <v>121</v>
      </c>
      <c r="D4180" s="4">
        <v>12</v>
      </c>
      <c r="E4180" s="4" t="s">
        <v>983</v>
      </c>
      <c r="F4180" s="4" t="s">
        <v>8677</v>
      </c>
    </row>
    <row r="4181" spans="1:6">
      <c r="A4181" s="4" t="s">
        <v>8678</v>
      </c>
      <c r="B4181" s="6" t="s">
        <v>8679</v>
      </c>
      <c r="C4181" s="4" t="s">
        <v>8680</v>
      </c>
      <c r="D4181" s="4">
        <v>11</v>
      </c>
      <c r="E4181" s="4" t="s">
        <v>983</v>
      </c>
      <c r="F4181" s="4" t="s">
        <v>8681</v>
      </c>
    </row>
    <row r="4182" spans="1:6">
      <c r="A4182" s="4" t="s">
        <v>8682</v>
      </c>
      <c r="B4182" s="6" t="s">
        <v>8679</v>
      </c>
      <c r="C4182" s="4" t="s">
        <v>254</v>
      </c>
      <c r="D4182" s="4">
        <v>8</v>
      </c>
      <c r="E4182" s="4" t="s">
        <v>983</v>
      </c>
    </row>
    <row r="4183" spans="1:6">
      <c r="A4183" s="4" t="s">
        <v>8683</v>
      </c>
      <c r="B4183" s="6" t="s">
        <v>8679</v>
      </c>
      <c r="C4183" s="4" t="s">
        <v>285</v>
      </c>
      <c r="D4183" s="4">
        <v>7</v>
      </c>
      <c r="E4183" s="4" t="s">
        <v>1904</v>
      </c>
    </row>
    <row r="4184" spans="1:6">
      <c r="A4184" s="4" t="s">
        <v>8684</v>
      </c>
      <c r="B4184" s="6" t="s">
        <v>8685</v>
      </c>
      <c r="C4184" s="4" t="s">
        <v>163</v>
      </c>
      <c r="D4184" s="4">
        <v>11</v>
      </c>
      <c r="E4184" s="4" t="s">
        <v>789</v>
      </c>
      <c r="F4184" s="4" t="s">
        <v>2482</v>
      </c>
    </row>
    <row r="4185" spans="1:6">
      <c r="A4185" s="4" t="s">
        <v>8686</v>
      </c>
      <c r="B4185" s="6" t="s">
        <v>8685</v>
      </c>
      <c r="C4185" s="4" t="s">
        <v>485</v>
      </c>
      <c r="D4185" s="4">
        <v>15</v>
      </c>
      <c r="E4185" s="4" t="s">
        <v>789</v>
      </c>
      <c r="F4185" s="4" t="s">
        <v>8687</v>
      </c>
    </row>
    <row r="4186" spans="1:6">
      <c r="A4186" s="4" t="s">
        <v>8688</v>
      </c>
      <c r="B4186" s="6" t="s">
        <v>8689</v>
      </c>
      <c r="C4186" s="4" t="s">
        <v>686</v>
      </c>
      <c r="D4186" s="4">
        <v>17</v>
      </c>
      <c r="E4186" s="4" t="s">
        <v>6183</v>
      </c>
    </row>
    <row r="4187" spans="1:6">
      <c r="A4187" s="4" t="s">
        <v>8690</v>
      </c>
      <c r="B4187" s="6" t="s">
        <v>8691</v>
      </c>
      <c r="C4187" s="4" t="s">
        <v>427</v>
      </c>
      <c r="D4187" s="4">
        <v>11</v>
      </c>
      <c r="E4187" s="4" t="s">
        <v>8692</v>
      </c>
      <c r="F4187" s="4" t="s">
        <v>8693</v>
      </c>
    </row>
    <row r="4188" spans="1:6">
      <c r="A4188" s="4" t="s">
        <v>8694</v>
      </c>
      <c r="B4188" s="6" t="s">
        <v>8695</v>
      </c>
      <c r="C4188" s="4" t="s">
        <v>1323</v>
      </c>
      <c r="D4188" s="4">
        <v>5</v>
      </c>
      <c r="E4188" s="4" t="s">
        <v>752</v>
      </c>
      <c r="F4188" s="4" t="s">
        <v>8696</v>
      </c>
    </row>
    <row r="4189" spans="1:6">
      <c r="A4189" s="4" t="s">
        <v>8697</v>
      </c>
      <c r="B4189" s="6" t="s">
        <v>8698</v>
      </c>
      <c r="C4189" s="4" t="s">
        <v>461</v>
      </c>
      <c r="D4189" s="4">
        <v>7</v>
      </c>
      <c r="E4189" s="4" t="s">
        <v>983</v>
      </c>
      <c r="F4189" s="4" t="s">
        <v>8699</v>
      </c>
    </row>
    <row r="4190" spans="1:6">
      <c r="A4190" s="4" t="s">
        <v>8700</v>
      </c>
      <c r="B4190" s="6" t="s">
        <v>8701</v>
      </c>
      <c r="C4190" s="4" t="s">
        <v>1180</v>
      </c>
      <c r="D4190" s="4">
        <v>10</v>
      </c>
      <c r="E4190" s="4" t="s">
        <v>983</v>
      </c>
      <c r="F4190" s="4" t="s">
        <v>1198</v>
      </c>
    </row>
    <row r="4191" spans="1:6">
      <c r="A4191" s="4" t="s">
        <v>8702</v>
      </c>
      <c r="B4191" s="6" t="s">
        <v>8701</v>
      </c>
      <c r="C4191" s="4" t="s">
        <v>1231</v>
      </c>
      <c r="D4191" s="4">
        <v>21</v>
      </c>
      <c r="E4191" s="4" t="s">
        <v>8703</v>
      </c>
    </row>
    <row r="4192" spans="1:6">
      <c r="A4192" s="4" t="s">
        <v>8704</v>
      </c>
      <c r="B4192" s="6" t="s">
        <v>8705</v>
      </c>
      <c r="C4192" s="4" t="s">
        <v>254</v>
      </c>
      <c r="D4192" s="4">
        <v>9</v>
      </c>
      <c r="E4192" s="4" t="s">
        <v>989</v>
      </c>
      <c r="F4192" s="4" t="s">
        <v>4557</v>
      </c>
    </row>
    <row r="4193" spans="1:6">
      <c r="A4193" s="4" t="s">
        <v>8706</v>
      </c>
      <c r="B4193" s="6" t="s">
        <v>8707</v>
      </c>
      <c r="C4193" s="4" t="s">
        <v>427</v>
      </c>
      <c r="D4193" s="4">
        <v>10</v>
      </c>
      <c r="E4193" s="4" t="s">
        <v>1047</v>
      </c>
    </row>
    <row r="4194" spans="1:6">
      <c r="A4194" s="4" t="s">
        <v>8708</v>
      </c>
      <c r="B4194" s="6" t="s">
        <v>8709</v>
      </c>
      <c r="C4194" s="4" t="s">
        <v>104</v>
      </c>
      <c r="D4194" s="4">
        <v>16</v>
      </c>
      <c r="E4194" s="4" t="s">
        <v>1064</v>
      </c>
    </row>
    <row r="4195" spans="1:6">
      <c r="A4195" s="4" t="s">
        <v>8710</v>
      </c>
      <c r="B4195" s="6" t="s">
        <v>8711</v>
      </c>
      <c r="C4195" s="4" t="s">
        <v>34</v>
      </c>
      <c r="D4195" s="4">
        <v>12</v>
      </c>
      <c r="E4195" s="4" t="s">
        <v>1043</v>
      </c>
    </row>
    <row r="4196" spans="1:6">
      <c r="A4196" s="4" t="s">
        <v>8712</v>
      </c>
      <c r="B4196" s="6" t="s">
        <v>8713</v>
      </c>
      <c r="C4196" s="4" t="s">
        <v>254</v>
      </c>
      <c r="D4196" s="4">
        <v>6</v>
      </c>
      <c r="E4196" s="4" t="s">
        <v>1378</v>
      </c>
      <c r="F4196" s="4" t="s">
        <v>8714</v>
      </c>
    </row>
    <row r="4197" spans="1:6">
      <c r="A4197" s="4" t="s">
        <v>8715</v>
      </c>
      <c r="B4197" s="6" t="s">
        <v>8713</v>
      </c>
      <c r="C4197" s="4" t="s">
        <v>95</v>
      </c>
      <c r="D4197" s="4">
        <v>11</v>
      </c>
      <c r="E4197" s="4" t="s">
        <v>1047</v>
      </c>
      <c r="F4197" s="4" t="s">
        <v>6332</v>
      </c>
    </row>
    <row r="4198" spans="1:6">
      <c r="A4198" s="4" t="s">
        <v>8716</v>
      </c>
      <c r="B4198" s="6" t="s">
        <v>8713</v>
      </c>
      <c r="C4198" s="4" t="s">
        <v>238</v>
      </c>
      <c r="D4198" s="4">
        <v>15</v>
      </c>
      <c r="E4198" s="4" t="s">
        <v>1047</v>
      </c>
      <c r="F4198" s="4" t="s">
        <v>8717</v>
      </c>
    </row>
    <row r="4199" spans="1:6">
      <c r="A4199" s="4" t="s">
        <v>8680</v>
      </c>
      <c r="B4199" s="6" t="s">
        <v>8718</v>
      </c>
      <c r="C4199" s="4" t="s">
        <v>8680</v>
      </c>
      <c r="D4199" s="4">
        <v>7</v>
      </c>
      <c r="E4199" s="4" t="s">
        <v>7601</v>
      </c>
      <c r="F4199" s="4" t="s">
        <v>920</v>
      </c>
    </row>
    <row r="4200" spans="1:6">
      <c r="A4200" s="4" t="s">
        <v>8719</v>
      </c>
      <c r="B4200" s="6" t="s">
        <v>8718</v>
      </c>
      <c r="C4200" s="4" t="s">
        <v>605</v>
      </c>
      <c r="D4200" s="4">
        <v>4</v>
      </c>
      <c r="E4200" s="4" t="s">
        <v>7100</v>
      </c>
    </row>
    <row r="4201" spans="1:6">
      <c r="A4201" s="4" t="s">
        <v>8720</v>
      </c>
      <c r="B4201" s="6" t="s">
        <v>8718</v>
      </c>
      <c r="C4201" s="4" t="s">
        <v>876</v>
      </c>
      <c r="D4201" s="4">
        <v>5</v>
      </c>
      <c r="E4201" s="4" t="s">
        <v>1107</v>
      </c>
      <c r="F4201" s="4" t="s">
        <v>8721</v>
      </c>
    </row>
    <row r="4202" spans="1:6">
      <c r="A4202" s="4" t="s">
        <v>8722</v>
      </c>
      <c r="B4202" s="6" t="s">
        <v>8718</v>
      </c>
      <c r="C4202" s="4" t="s">
        <v>23</v>
      </c>
      <c r="D4202" s="4">
        <v>7</v>
      </c>
      <c r="F4202" s="4" t="s">
        <v>8723</v>
      </c>
    </row>
    <row r="4203" spans="1:6">
      <c r="A4203" s="4" t="s">
        <v>4178</v>
      </c>
      <c r="B4203" s="6" t="s">
        <v>8724</v>
      </c>
      <c r="C4203" s="4" t="s">
        <v>4178</v>
      </c>
      <c r="D4203" s="4">
        <v>12</v>
      </c>
      <c r="E4203" s="4" t="s">
        <v>1047</v>
      </c>
      <c r="F4203" s="4" t="s">
        <v>1631</v>
      </c>
    </row>
    <row r="4204" spans="1:6">
      <c r="A4204" s="4" t="s">
        <v>92</v>
      </c>
      <c r="B4204" s="6" t="s">
        <v>8724</v>
      </c>
      <c r="C4204" s="4" t="s">
        <v>92</v>
      </c>
      <c r="D4204" s="4">
        <v>15</v>
      </c>
      <c r="E4204" s="4" t="s">
        <v>1047</v>
      </c>
      <c r="F4204" s="4" t="s">
        <v>1631</v>
      </c>
    </row>
    <row r="4205" spans="1:6">
      <c r="A4205" s="4" t="s">
        <v>8725</v>
      </c>
      <c r="B4205" s="6" t="s">
        <v>8724</v>
      </c>
      <c r="C4205" s="4" t="s">
        <v>254</v>
      </c>
      <c r="D4205" s="4">
        <v>8</v>
      </c>
      <c r="E4205" s="4" t="s">
        <v>1047</v>
      </c>
    </row>
    <row r="4206" spans="1:6">
      <c r="A4206" s="4" t="s">
        <v>8726</v>
      </c>
      <c r="B4206" s="6" t="s">
        <v>8727</v>
      </c>
      <c r="C4206" s="4" t="s">
        <v>34</v>
      </c>
      <c r="D4206" s="4">
        <v>6</v>
      </c>
      <c r="E4206" s="4" t="s">
        <v>8728</v>
      </c>
    </row>
    <row r="4207" spans="1:6">
      <c r="A4207" s="4" t="s">
        <v>8729</v>
      </c>
      <c r="B4207" s="6" t="s">
        <v>8727</v>
      </c>
      <c r="C4207" s="4" t="s">
        <v>1756</v>
      </c>
      <c r="D4207" s="4">
        <v>3</v>
      </c>
      <c r="E4207" s="4" t="s">
        <v>6168</v>
      </c>
    </row>
    <row r="4208" spans="1:6">
      <c r="A4208" s="4" t="s">
        <v>8730</v>
      </c>
      <c r="B4208" s="6" t="s">
        <v>8731</v>
      </c>
      <c r="C4208" s="4" t="s">
        <v>53</v>
      </c>
      <c r="D4208" s="4">
        <v>16</v>
      </c>
      <c r="E4208" s="4" t="s">
        <v>6367</v>
      </c>
    </row>
    <row r="4209" spans="1:6">
      <c r="A4209" s="4" t="s">
        <v>8732</v>
      </c>
      <c r="B4209" s="6" t="s">
        <v>8733</v>
      </c>
      <c r="C4209" s="4" t="s">
        <v>53</v>
      </c>
      <c r="D4209" s="4">
        <v>8</v>
      </c>
      <c r="E4209" s="4" t="s">
        <v>6367</v>
      </c>
    </row>
    <row r="4210" spans="1:6">
      <c r="A4210" s="4" t="s">
        <v>8734</v>
      </c>
      <c r="B4210" s="6" t="s">
        <v>8735</v>
      </c>
      <c r="C4210" s="4" t="s">
        <v>104</v>
      </c>
      <c r="D4210" s="4">
        <v>9</v>
      </c>
      <c r="E4210" s="4" t="s">
        <v>7158</v>
      </c>
      <c r="F4210" s="4" t="s">
        <v>8736</v>
      </c>
    </row>
    <row r="4211" spans="1:6">
      <c r="A4211" s="4" t="s">
        <v>8737</v>
      </c>
      <c r="B4211" s="6" t="s">
        <v>8738</v>
      </c>
      <c r="C4211" s="4" t="s">
        <v>53</v>
      </c>
      <c r="D4211" s="4">
        <v>13</v>
      </c>
      <c r="E4211" s="4" t="s">
        <v>8739</v>
      </c>
      <c r="F4211" s="4" t="s">
        <v>8740</v>
      </c>
    </row>
    <row r="4212" spans="1:6">
      <c r="A4212" s="4" t="s">
        <v>8741</v>
      </c>
      <c r="B4212" s="6" t="s">
        <v>8742</v>
      </c>
      <c r="C4212" s="4" t="s">
        <v>3255</v>
      </c>
      <c r="D4212" s="4">
        <v>11</v>
      </c>
      <c r="E4212" s="4" t="s">
        <v>8743</v>
      </c>
      <c r="F4212" s="4" t="s">
        <v>8744</v>
      </c>
    </row>
    <row r="4213" spans="1:6">
      <c r="A4213" s="4" t="s">
        <v>8745</v>
      </c>
      <c r="B4213" s="6" t="s">
        <v>8742</v>
      </c>
      <c r="C4213" s="4" t="s">
        <v>69</v>
      </c>
      <c r="D4213" s="4">
        <v>5</v>
      </c>
      <c r="E4213" s="4" t="s">
        <v>8746</v>
      </c>
      <c r="F4213" s="4" t="s">
        <v>8747</v>
      </c>
    </row>
    <row r="4214" spans="1:6">
      <c r="A4214" s="4" t="s">
        <v>8748</v>
      </c>
      <c r="B4214" s="6" t="s">
        <v>8742</v>
      </c>
      <c r="C4214" s="4" t="s">
        <v>427</v>
      </c>
      <c r="D4214" s="4">
        <v>17</v>
      </c>
      <c r="E4214" s="4" t="s">
        <v>8746</v>
      </c>
    </row>
    <row r="4215" spans="1:6">
      <c r="A4215" s="4" t="s">
        <v>8749</v>
      </c>
      <c r="B4215" s="6" t="s">
        <v>8750</v>
      </c>
      <c r="C4215" s="4" t="s">
        <v>92</v>
      </c>
      <c r="D4215" s="4">
        <v>20</v>
      </c>
      <c r="E4215" s="4" t="s">
        <v>8751</v>
      </c>
    </row>
    <row r="4216" spans="1:6">
      <c r="A4216" s="4" t="s">
        <v>8752</v>
      </c>
      <c r="B4216" s="6" t="s">
        <v>8753</v>
      </c>
      <c r="C4216" s="4" t="s">
        <v>81</v>
      </c>
      <c r="D4216" s="4">
        <v>13</v>
      </c>
      <c r="E4216" s="4" t="s">
        <v>7158</v>
      </c>
    </row>
    <row r="4217" spans="1:6">
      <c r="A4217" s="4" t="s">
        <v>8754</v>
      </c>
      <c r="B4217" s="6" t="s">
        <v>8755</v>
      </c>
      <c r="C4217" s="4" t="s">
        <v>87</v>
      </c>
      <c r="D4217" s="4">
        <v>7</v>
      </c>
      <c r="E4217" s="4" t="s">
        <v>8756</v>
      </c>
      <c r="F4217" s="4" t="s">
        <v>8757</v>
      </c>
    </row>
    <row r="4218" spans="1:6">
      <c r="A4218" s="4" t="s">
        <v>8758</v>
      </c>
      <c r="B4218" s="6" t="s">
        <v>8755</v>
      </c>
      <c r="C4218" s="4" t="s">
        <v>1420</v>
      </c>
      <c r="D4218" s="4">
        <v>15</v>
      </c>
      <c r="E4218" s="4" t="s">
        <v>1175</v>
      </c>
      <c r="F4218" s="4" t="s">
        <v>483</v>
      </c>
    </row>
    <row r="4219" spans="1:6">
      <c r="A4219" s="4" t="s">
        <v>8759</v>
      </c>
      <c r="B4219" s="6" t="s">
        <v>8755</v>
      </c>
      <c r="C4219" s="4" t="s">
        <v>470</v>
      </c>
      <c r="D4219" s="4">
        <v>6</v>
      </c>
      <c r="E4219" s="4" t="s">
        <v>1161</v>
      </c>
    </row>
    <row r="4220" spans="1:6">
      <c r="A4220" s="4" t="s">
        <v>8760</v>
      </c>
      <c r="B4220" s="6" t="s">
        <v>8761</v>
      </c>
      <c r="C4220" s="4" t="s">
        <v>686</v>
      </c>
      <c r="D4220" s="4">
        <v>8</v>
      </c>
      <c r="E4220" s="4" t="s">
        <v>6397</v>
      </c>
      <c r="F4220" s="4" t="s">
        <v>8762</v>
      </c>
    </row>
    <row r="4221" spans="1:6">
      <c r="A4221" s="4" t="s">
        <v>8763</v>
      </c>
      <c r="B4221" s="6" t="s">
        <v>8764</v>
      </c>
      <c r="C4221" s="4" t="s">
        <v>23</v>
      </c>
      <c r="D4221" s="4">
        <v>7</v>
      </c>
      <c r="E4221" s="4" t="s">
        <v>6397</v>
      </c>
      <c r="F4221" s="4" t="s">
        <v>6707</v>
      </c>
    </row>
    <row r="4222" spans="1:6">
      <c r="A4222" s="4" t="s">
        <v>1003</v>
      </c>
      <c r="B4222" s="6" t="s">
        <v>8765</v>
      </c>
      <c r="C4222" s="4" t="s">
        <v>8766</v>
      </c>
      <c r="D4222" s="4">
        <v>3</v>
      </c>
      <c r="E4222" s="4" t="s">
        <v>1064</v>
      </c>
      <c r="F4222" s="4" t="s">
        <v>592</v>
      </c>
    </row>
    <row r="4223" spans="1:6">
      <c r="A4223" s="4" t="s">
        <v>8766</v>
      </c>
      <c r="B4223" s="6" t="s">
        <v>8765</v>
      </c>
      <c r="C4223" s="4" t="s">
        <v>8766</v>
      </c>
      <c r="D4223" s="4">
        <v>3</v>
      </c>
      <c r="E4223" s="4" t="s">
        <v>1064</v>
      </c>
      <c r="F4223" s="4" t="s">
        <v>592</v>
      </c>
    </row>
    <row r="4224" spans="1:6">
      <c r="A4224" s="4" t="s">
        <v>8767</v>
      </c>
      <c r="B4224" s="6" t="s">
        <v>8768</v>
      </c>
      <c r="C4224" s="4" t="s">
        <v>53</v>
      </c>
      <c r="D4224" s="4">
        <v>10</v>
      </c>
      <c r="E4224" s="4" t="s">
        <v>1064</v>
      </c>
    </row>
    <row r="4225" spans="1:6">
      <c r="A4225" s="4" t="s">
        <v>8769</v>
      </c>
      <c r="B4225" s="6" t="s">
        <v>8770</v>
      </c>
      <c r="C4225" s="4" t="s">
        <v>315</v>
      </c>
      <c r="D4225" s="4">
        <v>11</v>
      </c>
      <c r="E4225" s="4" t="s">
        <v>1064</v>
      </c>
    </row>
    <row r="4226" spans="1:6">
      <c r="A4226" s="4" t="s">
        <v>8771</v>
      </c>
      <c r="B4226" s="6" t="s">
        <v>8772</v>
      </c>
      <c r="C4226" s="4" t="s">
        <v>23</v>
      </c>
      <c r="D4226" s="4">
        <v>11</v>
      </c>
      <c r="E4226" s="4" t="s">
        <v>8773</v>
      </c>
    </row>
    <row r="4227" spans="1:6">
      <c r="A4227" s="4" t="s">
        <v>8774</v>
      </c>
      <c r="B4227" s="6" t="s">
        <v>8775</v>
      </c>
      <c r="C4227" s="4" t="s">
        <v>8340</v>
      </c>
      <c r="D4227" s="4">
        <v>9</v>
      </c>
      <c r="E4227" s="4" t="s">
        <v>1004</v>
      </c>
      <c r="F4227" s="4" t="s">
        <v>8776</v>
      </c>
    </row>
    <row r="4228" spans="1:6">
      <c r="A4228" s="4" t="s">
        <v>8777</v>
      </c>
      <c r="B4228" s="6" t="s">
        <v>8775</v>
      </c>
      <c r="C4228" s="4" t="s">
        <v>1262</v>
      </c>
      <c r="D4228" s="4">
        <v>17</v>
      </c>
      <c r="E4228" s="4" t="s">
        <v>1004</v>
      </c>
      <c r="F4228" s="4" t="s">
        <v>8778</v>
      </c>
    </row>
    <row r="4229" spans="1:6">
      <c r="A4229" s="4" t="s">
        <v>8779</v>
      </c>
      <c r="B4229" s="6" t="s">
        <v>8780</v>
      </c>
      <c r="C4229" s="4" t="s">
        <v>2570</v>
      </c>
      <c r="D4229" s="4">
        <v>13</v>
      </c>
      <c r="E4229" s="4" t="s">
        <v>8781</v>
      </c>
      <c r="F4229" s="4" t="s">
        <v>8782</v>
      </c>
    </row>
    <row r="4230" spans="1:6">
      <c r="A4230" s="4" t="s">
        <v>8783</v>
      </c>
      <c r="B4230" s="6" t="s">
        <v>8780</v>
      </c>
      <c r="C4230" s="4" t="s">
        <v>254</v>
      </c>
      <c r="D4230" s="4">
        <v>9</v>
      </c>
      <c r="E4230" s="4" t="s">
        <v>6722</v>
      </c>
      <c r="F4230" s="4" t="s">
        <v>8784</v>
      </c>
    </row>
    <row r="4231" spans="1:6">
      <c r="A4231" s="4" t="s">
        <v>8785</v>
      </c>
      <c r="B4231" s="6" t="s">
        <v>8780</v>
      </c>
      <c r="C4231" s="4" t="s">
        <v>439</v>
      </c>
      <c r="D4231" s="4">
        <v>19</v>
      </c>
      <c r="E4231" s="4" t="s">
        <v>1004</v>
      </c>
      <c r="F4231" s="4" t="s">
        <v>8786</v>
      </c>
    </row>
    <row r="4232" spans="1:6">
      <c r="A4232" s="4" t="s">
        <v>8787</v>
      </c>
      <c r="B4232" s="6" t="s">
        <v>8780</v>
      </c>
      <c r="C4232" s="4" t="s">
        <v>92</v>
      </c>
      <c r="D4232" s="4">
        <v>22</v>
      </c>
      <c r="E4232" s="4" t="s">
        <v>6207</v>
      </c>
    </row>
    <row r="4233" spans="1:6">
      <c r="A4233" s="4" t="s">
        <v>8788</v>
      </c>
      <c r="B4233" s="6" t="s">
        <v>8789</v>
      </c>
      <c r="C4233" s="4" t="s">
        <v>53</v>
      </c>
      <c r="D4233" s="4">
        <v>11</v>
      </c>
      <c r="E4233" s="4" t="s">
        <v>1249</v>
      </c>
    </row>
    <row r="4234" spans="1:6">
      <c r="A4234" s="4" t="s">
        <v>8790</v>
      </c>
      <c r="B4234" s="6" t="s">
        <v>8791</v>
      </c>
      <c r="C4234" s="4" t="s">
        <v>458</v>
      </c>
      <c r="D4234" s="4">
        <v>10</v>
      </c>
      <c r="E4234" s="4" t="s">
        <v>1069</v>
      </c>
      <c r="F4234" s="4" t="s">
        <v>8792</v>
      </c>
    </row>
    <row r="4235" spans="1:6">
      <c r="A4235" s="4" t="s">
        <v>8793</v>
      </c>
      <c r="B4235" s="6" t="s">
        <v>8794</v>
      </c>
      <c r="C4235" s="4" t="s">
        <v>104</v>
      </c>
      <c r="D4235" s="4">
        <v>8</v>
      </c>
      <c r="E4235" s="4" t="s">
        <v>1069</v>
      </c>
    </row>
    <row r="4236" spans="1:6">
      <c r="A4236" s="4" t="s">
        <v>8795</v>
      </c>
      <c r="B4236" s="6" t="s">
        <v>8796</v>
      </c>
      <c r="C4236" s="4" t="s">
        <v>23</v>
      </c>
      <c r="D4236" s="4">
        <v>11</v>
      </c>
      <c r="E4236" s="4" t="s">
        <v>1069</v>
      </c>
      <c r="F4236" s="4" t="s">
        <v>8797</v>
      </c>
    </row>
    <row r="4237" spans="1:6">
      <c r="A4237" s="4" t="s">
        <v>8798</v>
      </c>
      <c r="B4237" s="6" t="s">
        <v>8796</v>
      </c>
      <c r="C4237" s="4" t="s">
        <v>254</v>
      </c>
      <c r="D4237" s="4">
        <v>10</v>
      </c>
      <c r="E4237" s="4" t="s">
        <v>1069</v>
      </c>
    </row>
    <row r="4238" spans="1:6">
      <c r="A4238" s="4" t="s">
        <v>8799</v>
      </c>
      <c r="B4238" s="6" t="s">
        <v>8796</v>
      </c>
      <c r="C4238" s="4" t="s">
        <v>14</v>
      </c>
      <c r="D4238" s="4">
        <v>11</v>
      </c>
      <c r="E4238" s="4" t="s">
        <v>1069</v>
      </c>
    </row>
    <row r="4239" spans="1:6">
      <c r="A4239" s="4" t="s">
        <v>8800</v>
      </c>
      <c r="B4239" s="6" t="s">
        <v>8801</v>
      </c>
      <c r="C4239" s="4" t="s">
        <v>95</v>
      </c>
      <c r="D4239" s="4">
        <v>14</v>
      </c>
      <c r="E4239" s="4" t="s">
        <v>1069</v>
      </c>
    </row>
    <row r="4240" spans="1:6">
      <c r="A4240" s="4" t="s">
        <v>8802</v>
      </c>
      <c r="B4240" s="6" t="s">
        <v>8801</v>
      </c>
      <c r="C4240" s="4" t="s">
        <v>41</v>
      </c>
      <c r="D4240" s="4">
        <v>15</v>
      </c>
      <c r="E4240" s="4" t="s">
        <v>1069</v>
      </c>
    </row>
    <row r="4241" spans="1:6">
      <c r="A4241" s="4" t="s">
        <v>8803</v>
      </c>
      <c r="B4241" s="6" t="s">
        <v>8804</v>
      </c>
      <c r="C4241" s="4" t="s">
        <v>458</v>
      </c>
      <c r="D4241" s="4">
        <v>10</v>
      </c>
      <c r="E4241" s="4" t="s">
        <v>1069</v>
      </c>
      <c r="F4241" s="4" t="s">
        <v>8805</v>
      </c>
    </row>
    <row r="4242" spans="1:6">
      <c r="A4242" s="4" t="s">
        <v>8806</v>
      </c>
      <c r="B4242" s="6" t="s">
        <v>8807</v>
      </c>
      <c r="C4242" s="4" t="s">
        <v>3181</v>
      </c>
      <c r="D4242" s="4">
        <v>11</v>
      </c>
      <c r="E4242" s="4" t="s">
        <v>1244</v>
      </c>
      <c r="F4242" s="4" t="s">
        <v>6385</v>
      </c>
    </row>
    <row r="4243" spans="1:6">
      <c r="A4243" s="4" t="s">
        <v>8808</v>
      </c>
      <c r="B4243" s="6" t="s">
        <v>8809</v>
      </c>
      <c r="C4243" s="4" t="s">
        <v>487</v>
      </c>
      <c r="D4243" s="4">
        <v>5</v>
      </c>
      <c r="E4243" s="4" t="s">
        <v>1244</v>
      </c>
      <c r="F4243" s="4" t="s">
        <v>6385</v>
      </c>
    </row>
    <row r="4244" spans="1:6">
      <c r="A4244" s="4" t="s">
        <v>223</v>
      </c>
      <c r="B4244" s="6" t="s">
        <v>8810</v>
      </c>
      <c r="C4244" s="4" t="s">
        <v>223</v>
      </c>
      <c r="D4244" s="4">
        <v>6</v>
      </c>
      <c r="E4244" s="4" t="s">
        <v>8543</v>
      </c>
      <c r="F4244" s="4" t="s">
        <v>8811</v>
      </c>
    </row>
    <row r="4245" spans="1:6">
      <c r="A4245" s="4" t="s">
        <v>8812</v>
      </c>
      <c r="B4245" s="6" t="s">
        <v>8810</v>
      </c>
      <c r="C4245" s="4" t="s">
        <v>2818</v>
      </c>
      <c r="D4245" s="4">
        <v>8</v>
      </c>
      <c r="E4245" s="4" t="s">
        <v>1609</v>
      </c>
    </row>
    <row r="4246" spans="1:6">
      <c r="A4246" s="4" t="s">
        <v>8813</v>
      </c>
      <c r="B4246" s="6" t="s">
        <v>8810</v>
      </c>
      <c r="C4246" s="4" t="s">
        <v>254</v>
      </c>
      <c r="D4246" s="4">
        <v>6</v>
      </c>
      <c r="E4246" s="4" t="s">
        <v>1609</v>
      </c>
    </row>
    <row r="4247" spans="1:6">
      <c r="A4247" s="4" t="s">
        <v>8814</v>
      </c>
      <c r="B4247" s="6" t="s">
        <v>8810</v>
      </c>
      <c r="C4247" s="4" t="s">
        <v>31</v>
      </c>
      <c r="D4247" s="4">
        <v>12</v>
      </c>
      <c r="E4247" s="4" t="s">
        <v>8815</v>
      </c>
    </row>
    <row r="4248" spans="1:6">
      <c r="A4248" s="4" t="s">
        <v>8816</v>
      </c>
      <c r="B4248" s="6" t="s">
        <v>8817</v>
      </c>
      <c r="C4248" s="4" t="s">
        <v>254</v>
      </c>
      <c r="D4248" s="4">
        <v>10</v>
      </c>
      <c r="E4248" s="4" t="s">
        <v>1634</v>
      </c>
      <c r="F4248" s="4" t="s">
        <v>8818</v>
      </c>
    </row>
    <row r="4249" spans="1:6">
      <c r="A4249" s="4" t="s">
        <v>8819</v>
      </c>
      <c r="B4249" s="6" t="s">
        <v>8820</v>
      </c>
      <c r="C4249" s="4" t="s">
        <v>686</v>
      </c>
      <c r="D4249" s="4">
        <v>13</v>
      </c>
      <c r="E4249" s="4" t="s">
        <v>1634</v>
      </c>
      <c r="F4249" s="4" t="s">
        <v>8821</v>
      </c>
    </row>
    <row r="4250" spans="1:6">
      <c r="A4250" s="4" t="s">
        <v>8822</v>
      </c>
      <c r="B4250" s="6" t="s">
        <v>8820</v>
      </c>
      <c r="C4250" s="4" t="s">
        <v>686</v>
      </c>
      <c r="D4250" s="4">
        <v>11</v>
      </c>
      <c r="E4250" s="4" t="s">
        <v>1634</v>
      </c>
    </row>
    <row r="4251" spans="1:6">
      <c r="A4251" s="4" t="s">
        <v>8823</v>
      </c>
      <c r="B4251" s="6" t="s">
        <v>8820</v>
      </c>
      <c r="C4251" s="4" t="s">
        <v>27</v>
      </c>
      <c r="D4251" s="4">
        <v>12</v>
      </c>
      <c r="E4251" s="4" t="s">
        <v>164</v>
      </c>
    </row>
    <row r="4252" spans="1:6">
      <c r="A4252" s="4" t="s">
        <v>8824</v>
      </c>
      <c r="B4252" s="6" t="s">
        <v>8820</v>
      </c>
      <c r="C4252" s="4" t="s">
        <v>14</v>
      </c>
      <c r="D4252" s="4">
        <v>14</v>
      </c>
      <c r="E4252" s="4" t="s">
        <v>1634</v>
      </c>
    </row>
    <row r="4253" spans="1:6">
      <c r="A4253" s="4" t="s">
        <v>8825</v>
      </c>
      <c r="B4253" s="6" t="s">
        <v>8826</v>
      </c>
      <c r="C4253" s="4" t="s">
        <v>354</v>
      </c>
      <c r="D4253" s="4">
        <v>13</v>
      </c>
      <c r="E4253" s="4" t="s">
        <v>188</v>
      </c>
      <c r="F4253" s="4" t="s">
        <v>1848</v>
      </c>
    </row>
    <row r="4254" spans="1:6">
      <c r="A4254" s="4" t="s">
        <v>8827</v>
      </c>
      <c r="B4254" s="6" t="s">
        <v>8826</v>
      </c>
      <c r="C4254" s="4" t="s">
        <v>14</v>
      </c>
      <c r="D4254" s="4">
        <v>7</v>
      </c>
      <c r="E4254" s="4" t="s">
        <v>188</v>
      </c>
      <c r="F4254" s="4" t="s">
        <v>8828</v>
      </c>
    </row>
    <row r="4255" spans="1:6">
      <c r="A4255" s="4" t="s">
        <v>149</v>
      </c>
      <c r="B4255" s="6" t="s">
        <v>8826</v>
      </c>
      <c r="C4255" s="4" t="s">
        <v>149</v>
      </c>
      <c r="D4255" s="4">
        <v>3</v>
      </c>
      <c r="E4255" s="4" t="s">
        <v>188</v>
      </c>
    </row>
    <row r="4256" spans="1:6">
      <c r="A4256" s="4" t="s">
        <v>8829</v>
      </c>
      <c r="B4256" s="6" t="s">
        <v>8830</v>
      </c>
      <c r="C4256" s="4" t="s">
        <v>121</v>
      </c>
      <c r="D4256" s="4">
        <v>4</v>
      </c>
      <c r="E4256" s="4" t="s">
        <v>188</v>
      </c>
    </row>
    <row r="4257" spans="1:6">
      <c r="A4257" s="4" t="s">
        <v>8831</v>
      </c>
      <c r="B4257" s="6" t="s">
        <v>8832</v>
      </c>
      <c r="C4257" s="4" t="s">
        <v>95</v>
      </c>
      <c r="D4257" s="4">
        <v>14</v>
      </c>
      <c r="E4257" s="4" t="s">
        <v>1634</v>
      </c>
      <c r="F4257" s="4" t="s">
        <v>8833</v>
      </c>
    </row>
    <row r="4258" spans="1:6">
      <c r="A4258" s="4" t="s">
        <v>8834</v>
      </c>
      <c r="B4258" s="6" t="s">
        <v>8835</v>
      </c>
      <c r="C4258" s="4" t="s">
        <v>45</v>
      </c>
      <c r="D4258" s="4">
        <v>10</v>
      </c>
      <c r="E4258" s="4" t="s">
        <v>1634</v>
      </c>
      <c r="F4258" s="4" t="s">
        <v>8836</v>
      </c>
    </row>
    <row r="4259" spans="1:6">
      <c r="A4259" s="4" t="s">
        <v>8837</v>
      </c>
      <c r="B4259" s="6" t="s">
        <v>8835</v>
      </c>
      <c r="C4259" s="4" t="s">
        <v>104</v>
      </c>
      <c r="D4259" s="4">
        <v>10</v>
      </c>
      <c r="E4259" s="4" t="s">
        <v>38</v>
      </c>
    </row>
    <row r="4260" spans="1:6">
      <c r="A4260" s="4" t="s">
        <v>8838</v>
      </c>
      <c r="B4260" s="6" t="s">
        <v>8835</v>
      </c>
      <c r="C4260" s="4" t="s">
        <v>23</v>
      </c>
      <c r="D4260" s="4">
        <v>19</v>
      </c>
      <c r="E4260" s="4" t="s">
        <v>1634</v>
      </c>
    </row>
    <row r="4261" spans="1:6">
      <c r="A4261" s="4" t="s">
        <v>8839</v>
      </c>
      <c r="B4261" s="6" t="s">
        <v>8840</v>
      </c>
      <c r="C4261" s="4" t="s">
        <v>686</v>
      </c>
      <c r="D4261" s="4">
        <v>16</v>
      </c>
      <c r="E4261" s="4" t="s">
        <v>1634</v>
      </c>
      <c r="F4261" s="4" t="s">
        <v>8841</v>
      </c>
    </row>
    <row r="4262" spans="1:6">
      <c r="A4262" s="4" t="s">
        <v>8842</v>
      </c>
      <c r="B4262" s="6" t="s">
        <v>8843</v>
      </c>
      <c r="C4262" s="4" t="s">
        <v>1665</v>
      </c>
      <c r="D4262" s="4">
        <v>23</v>
      </c>
      <c r="E4262" s="4" t="s">
        <v>188</v>
      </c>
    </row>
    <row r="4263" spans="1:6">
      <c r="A4263" s="4" t="s">
        <v>8844</v>
      </c>
      <c r="B4263" s="6" t="s">
        <v>8845</v>
      </c>
      <c r="C4263" s="4" t="s">
        <v>37</v>
      </c>
      <c r="D4263" s="4">
        <v>15</v>
      </c>
      <c r="E4263" s="4" t="s">
        <v>1795</v>
      </c>
    </row>
    <row r="4264" spans="1:6">
      <c r="A4264" s="4" t="s">
        <v>8846</v>
      </c>
      <c r="B4264" s="6" t="s">
        <v>8845</v>
      </c>
      <c r="C4264" s="4" t="s">
        <v>34</v>
      </c>
      <c r="D4264" s="4">
        <v>11</v>
      </c>
      <c r="E4264" s="4" t="s">
        <v>852</v>
      </c>
      <c r="F4264" s="4" t="s">
        <v>8847</v>
      </c>
    </row>
    <row r="4265" spans="1:6">
      <c r="A4265" s="4" t="s">
        <v>8848</v>
      </c>
      <c r="B4265" s="6" t="s">
        <v>8849</v>
      </c>
      <c r="C4265" s="4" t="s">
        <v>574</v>
      </c>
      <c r="D4265" s="4">
        <v>8</v>
      </c>
      <c r="E4265" s="4" t="s">
        <v>128</v>
      </c>
      <c r="F4265" s="4" t="s">
        <v>8850</v>
      </c>
    </row>
    <row r="4266" spans="1:6">
      <c r="A4266" s="4" t="s">
        <v>8851</v>
      </c>
      <c r="B4266" s="6" t="s">
        <v>8852</v>
      </c>
      <c r="C4266" s="4" t="s">
        <v>252</v>
      </c>
      <c r="D4266" s="4">
        <v>9</v>
      </c>
      <c r="E4266" s="4" t="s">
        <v>188</v>
      </c>
      <c r="F4266" s="4" t="s">
        <v>1198</v>
      </c>
    </row>
    <row r="4267" spans="1:6">
      <c r="A4267" s="4" t="s">
        <v>8853</v>
      </c>
      <c r="B4267" s="6" t="s">
        <v>8854</v>
      </c>
      <c r="C4267" s="4" t="s">
        <v>34</v>
      </c>
      <c r="D4267" s="4">
        <v>11</v>
      </c>
      <c r="E4267" s="4" t="s">
        <v>1634</v>
      </c>
    </row>
    <row r="4268" spans="1:6">
      <c r="A4268" s="4" t="s">
        <v>8855</v>
      </c>
      <c r="B4268" s="6" t="s">
        <v>8854</v>
      </c>
      <c r="C4268" s="4" t="s">
        <v>140</v>
      </c>
      <c r="D4268" s="4">
        <v>26</v>
      </c>
      <c r="E4268" s="4" t="s">
        <v>8856</v>
      </c>
    </row>
    <row r="4269" spans="1:6">
      <c r="A4269" s="4" t="s">
        <v>8857</v>
      </c>
      <c r="B4269" s="6" t="s">
        <v>8854</v>
      </c>
      <c r="C4269" s="4" t="s">
        <v>3168</v>
      </c>
      <c r="D4269" s="4">
        <v>24</v>
      </c>
      <c r="E4269" s="4" t="s">
        <v>1634</v>
      </c>
      <c r="F4269" s="4" t="s">
        <v>8858</v>
      </c>
    </row>
    <row r="4270" spans="1:6">
      <c r="A4270" s="4" t="s">
        <v>8859</v>
      </c>
      <c r="B4270" s="6" t="s">
        <v>8854</v>
      </c>
      <c r="C4270" s="4" t="s">
        <v>121</v>
      </c>
      <c r="D4270" s="4">
        <v>8</v>
      </c>
      <c r="E4270" s="4" t="s">
        <v>1634</v>
      </c>
    </row>
    <row r="4271" spans="1:6">
      <c r="A4271" s="4" t="s">
        <v>8860</v>
      </c>
      <c r="B4271" s="6" t="s">
        <v>8861</v>
      </c>
      <c r="C4271" s="4" t="s">
        <v>254</v>
      </c>
      <c r="D4271" s="4">
        <v>11</v>
      </c>
      <c r="E4271" s="4" t="s">
        <v>1634</v>
      </c>
    </row>
    <row r="4272" spans="1:6">
      <c r="A4272" s="4" t="s">
        <v>8862</v>
      </c>
      <c r="B4272" s="6" t="s">
        <v>8861</v>
      </c>
      <c r="C4272" s="4" t="s">
        <v>27</v>
      </c>
      <c r="D4272" s="4">
        <v>12</v>
      </c>
      <c r="E4272" s="4" t="s">
        <v>1634</v>
      </c>
      <c r="F4272" s="4" t="s">
        <v>3418</v>
      </c>
    </row>
    <row r="4273" spans="1:6">
      <c r="A4273" s="4" t="s">
        <v>8863</v>
      </c>
      <c r="B4273" s="6" t="s">
        <v>8864</v>
      </c>
      <c r="C4273" s="4" t="s">
        <v>53</v>
      </c>
      <c r="D4273" s="4">
        <v>8</v>
      </c>
      <c r="E4273" s="4" t="s">
        <v>188</v>
      </c>
    </row>
    <row r="4274" spans="1:6">
      <c r="A4274" s="4" t="s">
        <v>8865</v>
      </c>
      <c r="B4274" s="6" t="s">
        <v>8864</v>
      </c>
      <c r="C4274" s="4" t="s">
        <v>544</v>
      </c>
      <c r="D4274" s="4">
        <v>8</v>
      </c>
      <c r="E4274" s="4" t="s">
        <v>188</v>
      </c>
    </row>
    <row r="4275" spans="1:6">
      <c r="A4275" s="4" t="s">
        <v>8866</v>
      </c>
      <c r="B4275" s="6" t="s">
        <v>8867</v>
      </c>
      <c r="C4275" s="4" t="s">
        <v>81</v>
      </c>
      <c r="D4275" s="4">
        <v>13</v>
      </c>
      <c r="E4275" s="4" t="s">
        <v>1609</v>
      </c>
    </row>
    <row r="4276" spans="1:6">
      <c r="A4276" s="4" t="s">
        <v>8868</v>
      </c>
      <c r="B4276" s="6" t="s">
        <v>8867</v>
      </c>
      <c r="C4276" s="4" t="s">
        <v>81</v>
      </c>
      <c r="D4276" s="4">
        <v>18</v>
      </c>
      <c r="E4276" s="4" t="s">
        <v>1609</v>
      </c>
    </row>
    <row r="4277" spans="1:6">
      <c r="A4277" s="4" t="s">
        <v>8869</v>
      </c>
      <c r="B4277" s="6" t="s">
        <v>8867</v>
      </c>
      <c r="C4277" s="4" t="s">
        <v>23</v>
      </c>
      <c r="D4277" s="4">
        <v>16</v>
      </c>
      <c r="E4277" s="4" t="s">
        <v>1609</v>
      </c>
    </row>
    <row r="4278" spans="1:6">
      <c r="A4278" s="4" t="s">
        <v>8870</v>
      </c>
      <c r="B4278" s="6" t="s">
        <v>8871</v>
      </c>
      <c r="C4278" s="4" t="s">
        <v>254</v>
      </c>
      <c r="D4278" s="4">
        <v>10</v>
      </c>
      <c r="E4278" s="4" t="s">
        <v>1609</v>
      </c>
    </row>
    <row r="4279" spans="1:6">
      <c r="A4279" s="4" t="s">
        <v>8872</v>
      </c>
      <c r="B4279" s="6" t="s">
        <v>8873</v>
      </c>
      <c r="C4279" s="4" t="s">
        <v>254</v>
      </c>
      <c r="D4279" s="4">
        <v>8</v>
      </c>
      <c r="E4279" s="4" t="s">
        <v>8543</v>
      </c>
      <c r="F4279" s="4" t="s">
        <v>3860</v>
      </c>
    </row>
  </sheetData>
  <phoneticPr fontId="6"/>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B1:L24"/>
  <sheetViews>
    <sheetView view="pageLayout" zoomScaleNormal="70" workbookViewId="0">
      <selection activeCell="G8" sqref="G8"/>
    </sheetView>
  </sheetViews>
  <sheetFormatPr defaultRowHeight="18.75"/>
  <sheetData>
    <row r="1" spans="2:12" ht="58.5">
      <c r="B1" s="26"/>
    </row>
    <row r="2" spans="2:12" ht="58.5">
      <c r="B2" s="26"/>
      <c r="D2" s="73" t="s">
        <v>8912</v>
      </c>
      <c r="E2" s="73"/>
      <c r="F2" s="73"/>
      <c r="G2" s="73"/>
      <c r="H2" s="73"/>
      <c r="I2" s="73"/>
      <c r="J2" s="73"/>
      <c r="L2">
        <v>26</v>
      </c>
    </row>
    <row r="3" spans="2:12" s="27" customFormat="1" ht="42">
      <c r="D3" s="71" t="str">
        <f>Master!B8</f>
        <v>扉のページ</v>
      </c>
      <c r="E3" s="71"/>
      <c r="F3" s="71"/>
      <c r="G3" s="71"/>
      <c r="H3" s="71"/>
      <c r="I3" s="71"/>
      <c r="J3" s="71"/>
      <c r="L3" s="27" t="s">
        <v>8917</v>
      </c>
    </row>
    <row r="4" spans="2:12" ht="58.5">
      <c r="B4" s="26"/>
      <c r="D4" s="72" t="str">
        <f>"/"&amp;Master!C8&amp;"/"</f>
        <v>/とびらのページ/</v>
      </c>
      <c r="E4" s="72"/>
      <c r="F4" s="72"/>
      <c r="G4" s="72"/>
      <c r="H4" s="72"/>
      <c r="I4" s="72"/>
      <c r="J4" s="72"/>
      <c r="L4" t="s">
        <v>8914</v>
      </c>
    </row>
    <row r="5" spans="2:12" ht="58.5">
      <c r="B5" s="26"/>
      <c r="D5" s="70" t="s">
        <v>8913</v>
      </c>
      <c r="E5" s="70"/>
      <c r="F5" s="70"/>
      <c r="G5" s="70"/>
      <c r="H5" s="70"/>
      <c r="I5" s="70"/>
      <c r="J5" s="70"/>
      <c r="L5" t="s">
        <v>8915</v>
      </c>
    </row>
    <row r="6" spans="2:12" ht="58.5">
      <c r="B6" s="26"/>
      <c r="D6" s="70" t="s">
        <v>8911</v>
      </c>
      <c r="E6" s="70"/>
      <c r="F6" s="70"/>
      <c r="G6" s="70"/>
      <c r="H6" s="70"/>
      <c r="I6" s="70"/>
      <c r="J6" s="70"/>
      <c r="L6" t="s">
        <v>8916</v>
      </c>
    </row>
    <row r="7" spans="2:12" ht="58.5">
      <c r="B7" s="26"/>
      <c r="L7" t="s">
        <v>8918</v>
      </c>
    </row>
    <row r="8" spans="2:12" ht="58.5">
      <c r="B8" s="26"/>
    </row>
    <row r="9" spans="2:12" ht="58.5">
      <c r="B9" s="26"/>
    </row>
    <row r="10" spans="2:12" ht="58.5">
      <c r="B10" s="26"/>
    </row>
    <row r="11" spans="2:12" ht="58.5">
      <c r="B11" s="26"/>
    </row>
    <row r="12" spans="2:12" ht="58.5">
      <c r="B12" s="26"/>
    </row>
    <row r="13" spans="2:12" ht="58.5">
      <c r="B13" s="26"/>
    </row>
    <row r="14" spans="2:12" ht="58.5">
      <c r="B14" s="26"/>
    </row>
    <row r="15" spans="2:12" ht="58.5">
      <c r="B15" s="26"/>
    </row>
    <row r="16" spans="2:12" ht="58.5">
      <c r="B16" s="26"/>
    </row>
    <row r="17" spans="2:2" ht="58.5">
      <c r="B17" s="26"/>
    </row>
    <row r="18" spans="2:2" ht="58.5">
      <c r="B18" s="26"/>
    </row>
    <row r="19" spans="2:2" ht="58.5">
      <c r="B19" s="26"/>
    </row>
    <row r="20" spans="2:2" ht="58.5">
      <c r="B20" s="26"/>
    </row>
    <row r="21" spans="2:2" ht="58.5">
      <c r="B21" s="26"/>
    </row>
    <row r="22" spans="2:2" ht="58.5">
      <c r="B22" s="26"/>
    </row>
    <row r="23" spans="2:2" ht="58.5">
      <c r="B23" s="26"/>
    </row>
    <row r="24" spans="2:2" ht="58.5">
      <c r="B24" s="26"/>
    </row>
  </sheetData>
  <mergeCells count="5">
    <mergeCell ref="D6:J6"/>
    <mergeCell ref="D3:J3"/>
    <mergeCell ref="D4:J4"/>
    <mergeCell ref="D2:J2"/>
    <mergeCell ref="D5:J5"/>
  </mergeCells>
  <phoneticPr fontId="6"/>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U9" sqref="U9"/>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4"/>
      <c r="F3" s="74"/>
      <c r="G3" s="74"/>
      <c r="H3" s="74"/>
      <c r="I3" s="74"/>
      <c r="J3" s="74"/>
      <c r="K3" s="74"/>
      <c r="L3" s="31"/>
      <c r="M3" s="30"/>
      <c r="N3" s="30"/>
      <c r="O3" s="33"/>
      <c r="P3" s="41"/>
    </row>
    <row r="4" spans="2:16" ht="54.75">
      <c r="B4" s="44"/>
      <c r="C4" s="32"/>
      <c r="D4" s="32"/>
      <c r="E4" s="46"/>
      <c r="F4" s="46"/>
      <c r="G4" s="46"/>
      <c r="H4" s="49"/>
      <c r="I4" s="59" t="s">
        <v>9056</v>
      </c>
      <c r="J4" s="46"/>
      <c r="K4" s="46"/>
      <c r="L4" s="46"/>
      <c r="M4" s="32"/>
      <c r="N4" s="32"/>
      <c r="O4" s="53"/>
      <c r="P4" s="54"/>
    </row>
    <row r="5" spans="2:16" ht="58.5">
      <c r="B5" s="43"/>
      <c r="C5" s="29"/>
      <c r="D5" s="30"/>
      <c r="E5" s="48"/>
      <c r="F5" s="48"/>
      <c r="G5" s="48"/>
      <c r="H5" s="48"/>
      <c r="I5" s="60"/>
      <c r="J5" s="48"/>
      <c r="K5" s="48"/>
      <c r="L5" s="48"/>
      <c r="M5" s="30"/>
      <c r="N5" s="30"/>
      <c r="O5" s="33"/>
      <c r="P5" s="41"/>
    </row>
    <row r="6" spans="2:16" ht="58.5">
      <c r="B6" s="43"/>
      <c r="C6" s="29"/>
      <c r="D6" s="30"/>
      <c r="E6" s="50"/>
      <c r="F6" s="50"/>
      <c r="G6" s="50"/>
      <c r="H6" s="50"/>
      <c r="I6" s="61" t="s">
        <v>9213</v>
      </c>
      <c r="J6" s="50"/>
      <c r="K6" s="50"/>
      <c r="L6" s="50"/>
      <c r="M6" s="30"/>
      <c r="N6" s="30"/>
      <c r="O6" s="33"/>
      <c r="P6" s="41"/>
    </row>
    <row r="7" spans="2:16" ht="58.5">
      <c r="B7" s="43"/>
      <c r="C7" s="29"/>
      <c r="D7" s="30"/>
      <c r="E7" s="50"/>
      <c r="F7" s="50"/>
      <c r="G7" s="50"/>
      <c r="H7" s="50"/>
      <c r="I7" s="62" t="s">
        <v>9323</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4"/>
      <c r="F3" s="74"/>
      <c r="G3" s="74"/>
      <c r="H3" s="74"/>
      <c r="I3" s="74"/>
      <c r="J3" s="74"/>
      <c r="K3" s="74"/>
      <c r="L3" s="31"/>
      <c r="M3" s="30"/>
      <c r="N3" s="30"/>
      <c r="O3" s="33"/>
      <c r="P3" s="41"/>
    </row>
    <row r="4" spans="2:16" ht="54.75">
      <c r="B4" s="44"/>
      <c r="C4" s="32"/>
      <c r="D4" s="32"/>
      <c r="E4" s="46"/>
      <c r="F4" s="46"/>
      <c r="G4" s="46"/>
      <c r="H4" s="49"/>
      <c r="I4" s="49" t="s">
        <v>8930</v>
      </c>
      <c r="J4" s="46"/>
      <c r="K4" s="46"/>
      <c r="L4" s="46"/>
      <c r="M4" s="32"/>
      <c r="N4" s="32"/>
      <c r="O4" s="53"/>
      <c r="P4" s="54"/>
    </row>
    <row r="5" spans="2:16" ht="58.5">
      <c r="B5" s="43"/>
      <c r="C5" s="29"/>
      <c r="D5" s="30"/>
      <c r="E5" s="48"/>
      <c r="F5" s="48"/>
      <c r="G5" s="48"/>
      <c r="H5" s="48"/>
      <c r="I5" s="47" t="s">
        <v>8931</v>
      </c>
      <c r="J5" s="48"/>
      <c r="K5" s="48"/>
      <c r="L5" s="48"/>
      <c r="M5" s="30"/>
      <c r="N5" s="30"/>
      <c r="O5" s="33"/>
      <c r="P5" s="41"/>
    </row>
    <row r="6" spans="2:16" ht="58.5">
      <c r="B6" s="43"/>
      <c r="C6" s="29"/>
      <c r="D6" s="30"/>
      <c r="E6" s="50"/>
      <c r="F6" s="50"/>
      <c r="G6" s="50"/>
      <c r="H6" s="50"/>
      <c r="I6" s="52" t="s">
        <v>8932</v>
      </c>
      <c r="J6" s="50"/>
      <c r="K6" s="50"/>
      <c r="L6" s="50"/>
      <c r="M6" s="30"/>
      <c r="N6" s="30"/>
      <c r="O6" s="33"/>
      <c r="P6" s="41"/>
    </row>
    <row r="7" spans="2:16" ht="58.5">
      <c r="B7" s="43"/>
      <c r="C7" s="29"/>
      <c r="D7" s="30"/>
      <c r="E7" s="50"/>
      <c r="F7" s="50"/>
      <c r="G7" s="50"/>
      <c r="H7" s="50"/>
      <c r="I7" s="51" t="s">
        <v>8933</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R7" sqref="R7"/>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4"/>
      <c r="F3" s="74"/>
      <c r="G3" s="74"/>
      <c r="H3" s="74"/>
      <c r="I3" s="74"/>
      <c r="J3" s="74"/>
      <c r="K3" s="74"/>
      <c r="L3" s="31"/>
      <c r="M3" s="30"/>
      <c r="N3" s="30"/>
      <c r="O3" s="33"/>
      <c r="P3" s="41"/>
    </row>
    <row r="4" spans="2:16" ht="54.75">
      <c r="B4" s="44"/>
      <c r="C4" s="32"/>
      <c r="D4" s="32"/>
      <c r="E4" s="46"/>
      <c r="F4" s="46"/>
      <c r="G4" s="46"/>
      <c r="H4" s="49"/>
      <c r="I4" s="49" t="s">
        <v>8943</v>
      </c>
      <c r="J4" s="46"/>
      <c r="K4" s="46"/>
      <c r="L4" s="46"/>
      <c r="M4" s="32"/>
      <c r="N4" s="32"/>
      <c r="O4" s="53"/>
      <c r="P4" s="54"/>
    </row>
    <row r="5" spans="2:16" ht="58.5">
      <c r="B5" s="43"/>
      <c r="C5" s="29"/>
      <c r="D5" s="30"/>
      <c r="E5" s="48"/>
      <c r="F5" s="48"/>
      <c r="G5" s="48"/>
      <c r="H5" s="48"/>
      <c r="I5" s="47" t="s">
        <v>8944</v>
      </c>
      <c r="J5" s="48"/>
      <c r="K5" s="48"/>
      <c r="L5" s="48"/>
      <c r="M5" s="30"/>
      <c r="N5" s="30"/>
      <c r="O5" s="33"/>
      <c r="P5" s="41"/>
    </row>
    <row r="6" spans="2:16" ht="58.5">
      <c r="B6" s="43"/>
      <c r="C6" s="29"/>
      <c r="D6" s="30"/>
      <c r="E6" s="50"/>
      <c r="F6" s="50"/>
      <c r="G6" s="50"/>
      <c r="H6" s="50"/>
      <c r="I6" s="55" t="s">
        <v>8941</v>
      </c>
      <c r="J6" s="50"/>
      <c r="K6" s="50"/>
      <c r="L6" s="50"/>
      <c r="M6" s="30"/>
      <c r="N6" s="30"/>
      <c r="O6" s="33"/>
      <c r="P6" s="41"/>
    </row>
    <row r="7" spans="2:16" ht="58.5">
      <c r="B7" s="43"/>
      <c r="C7" s="29"/>
      <c r="D7" s="30"/>
      <c r="E7" s="50"/>
      <c r="F7" s="50"/>
      <c r="G7" s="50"/>
      <c r="H7" s="50"/>
      <c r="I7" s="56" t="s">
        <v>8939</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Neko</cp:lastModifiedBy>
  <cp:lastPrinted>2021-03-17T06:10:34Z</cp:lastPrinted>
  <dcterms:created xsi:type="dcterms:W3CDTF">2020-04-27T01:32:13Z</dcterms:created>
  <dcterms:modified xsi:type="dcterms:W3CDTF">2023-05-15T02:34:24Z</dcterms:modified>
</cp:coreProperties>
</file>