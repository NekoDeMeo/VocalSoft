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55DCB587-E461-432F-99A3-37D172E5E25F}" xr6:coauthVersionLast="47" xr6:coauthVersionMax="47" xr10:uidLastSave="{00000000-0000-0000-0000-000000000000}"/>
  <bookViews>
    <workbookView xWindow="-120" yWindow="-120" windowWidth="29040" windowHeight="15990" activeTab="1"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5" i="13" l="1"/>
  <c r="D20" i="13"/>
  <c r="D2" i="13"/>
  <c r="D5" i="13"/>
  <c r="D8" i="13"/>
  <c r="D11" i="13"/>
  <c r="D16" i="13"/>
  <c r="D21" i="13" l="1"/>
  <c r="D7" i="13"/>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<sst xmlns="http://schemas.openxmlformats.org/spreadsheetml/2006/main" count="19490" uniqueCount="8998">
  <si>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</si>
  <si>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</si>
  <si>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</si>
  <si>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</si>
  <si>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</si>
  <si>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</si>
  <si>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</si>
  <si>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</si>
  <si>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</si>
  <si>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</si>
  <si>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</si>
  <si>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</si>
  <si>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</si>
  <si>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</si>
  <si>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</si>
  <si>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</si>
  <si>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</si>
  <si>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</si>
  <si>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</si>
  <si>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</si>
  <si>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</si>
  <si>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</si>
  <si>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</si>
  <si>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</si>
  <si>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</si>
  <si>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</si>
  <si>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</si>
  <si>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</si>
  <si>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</si>
  <si>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</si>
  <si>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</si>
  <si>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</si>
  <si>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</si>
  <si>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</si>
  <si>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</si>
  <si>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</si>
  <si>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</si>
  <si>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</si>
  <si>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</si>
  <si>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</si>
  <si>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</si>
  <si>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</si>
  <si>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</si>
  <si>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</si>
  <si>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</si>
  <si>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</si>
  <si>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</si>
  <si>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</si>
  <si>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</si>
  <si>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</si>
  <si>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</si>
  <si>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</si>
  <si>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</si>
  <si>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</si>
  <si>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</si>
  <si>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</si>
  <si>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</si>
  <si>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</si>
  <si>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</si>
  <si>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</si>
  <si>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</si>
  <si>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</si>
  <si>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</si>
  <si>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</si>
  <si>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</si>
  <si>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</si>
  <si>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</si>
  <si>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</si>
  <si>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</si>
  <si>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</si>
  <si>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</si>
  <si>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</si>
  <si>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</si>
  <si>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</si>
  <si>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</si>
  <si>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</si>
  <si>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</si>
  <si>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</si>
  <si>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</si>
  <si>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</si>
  <si>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</si>
  <si>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</si>
  <si>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</si>
  <si>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</si>
  <si>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</si>
  <si>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</si>
  <si>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</si>
  <si>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</si>
  <si>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</si>
  <si>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</si>
  <si>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</si>
  <si>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</si>
  <si>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</si>
  <si>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</si>
  <si>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</si>
  <si>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</si>
  <si>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</si>
  <si>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</si>
  <si>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</si>
  <si>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</si>
  <si>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</si>
  <si>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</si>
  <si>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</si>
  <si>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</si>
  <si>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</si>
  <si>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</si>
  <si>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</si>
  <si>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</si>
  <si>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</si>
  <si>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</si>
  <si>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</si>
  <si>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</si>
  <si>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</si>
  <si>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</si>
  <si>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</si>
  <si>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</si>
  <si>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</si>
  <si>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</si>
  <si>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</si>
  <si>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</si>
  <si>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</si>
  <si>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</si>
  <si>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</si>
  <si>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</si>
  <si>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</si>
  <si>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</si>
  <si>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</si>
  <si>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</si>
  <si>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</si>
  <si>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</si>
  <si>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</si>
  <si>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</si>
  <si>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</si>
  <si>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</si>
  <si>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</si>
  <si>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</si>
  <si>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</si>
  <si>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</si>
  <si>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</si>
  <si>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</si>
  <si>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</si>
  <si>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</si>
  <si>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</si>
  <si>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</si>
  <si>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</si>
  <si>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</si>
  <si>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</si>
  <si>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</si>
  <si>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</si>
  <si>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</si>
  <si>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</si>
  <si>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</si>
  <si>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</si>
  <si>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</si>
  <si>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</si>
  <si>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</si>
  <si>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</si>
  <si>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</si>
  <si>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</si>
  <si>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</si>
  <si>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</si>
  <si>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</si>
  <si>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</si>
  <si>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</si>
  <si>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</si>
  <si>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</si>
  <si>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</si>
  <si>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</si>
  <si>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</si>
  <si>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</si>
  <si>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</si>
  <si>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</si>
  <si>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</si>
  <si>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</si>
  <si>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</si>
  <si>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</si>
  <si>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</si>
  <si>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</si>
  <si>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</si>
  <si>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</si>
  <si>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</si>
  <si>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</si>
  <si>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</si>
  <si>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</si>
  <si>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</si>
  <si>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</si>
  <si>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</si>
  <si>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</si>
  <si>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</si>
  <si>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</si>
  <si>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</si>
  <si>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</si>
  <si>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</si>
  <si>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</si>
  <si>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</si>
  <si>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</si>
  <si>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</si>
  <si>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</si>
  <si>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</si>
  <si>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</si>
  <si>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</si>
  <si>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</si>
  <si>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</si>
  <si>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</si>
  <si>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</si>
  <si>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</si>
  <si>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</si>
  <si>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</si>
  <si>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</si>
  <si>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</si>
  <si>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</si>
  <si>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</si>
  <si>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</si>
  <si>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</si>
  <si>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</si>
  <si>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</si>
  <si>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</si>
  <si>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</si>
  <si>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</si>
  <si>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</si>
  <si>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</si>
  <si>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</si>
  <si>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</si>
  <si>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</si>
  <si>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</si>
  <si>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</si>
  <si>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</si>
  <si>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</si>
  <si>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</si>
  <si>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</si>
  <si>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</si>
  <si>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</si>
  <si>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</si>
  <si>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</si>
  <si>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</si>
  <si>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</si>
  <si>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</si>
  <si>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</si>
  <si>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</si>
  <si>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</si>
  <si>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</si>
  <si>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</si>
  <si>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</si>
  <si>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</si>
  <si>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</si>
  <si>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</si>
  <si>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</si>
  <si>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</si>
  <si>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</si>
  <si>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</si>
  <si>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</si>
  <si>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</si>
  <si>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</si>
  <si>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</si>
  <si>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</si>
  <si>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</si>
  <si>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</si>
  <si>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</si>
  <si>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</si>
  <si>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</si>
  <si>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</si>
  <si>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</si>
  <si>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</si>
  <si>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</si>
  <si>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</si>
  <si>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</si>
  <si>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</si>
  <si>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</si>
  <si>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</si>
  <si>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</si>
  <si>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</si>
  <si>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</si>
  <si>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</si>
  <si>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</si>
  <si>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</si>
  <si>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</si>
  <si>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</si>
  <si>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</si>
  <si>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</si>
  <si>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</si>
  <si>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</si>
  <si>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</si>
  <si>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</si>
  <si>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</si>
  <si>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</si>
  <si>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</si>
  <si>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</si>
  <si>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</si>
  <si>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</si>
  <si>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</si>
  <si>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</si>
  <si>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</si>
  <si>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</si>
  <si>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</si>
  <si>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</si>
  <si>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</si>
  <si>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</si>
  <si>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</si>
  <si>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</si>
  <si>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</si>
  <si>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</si>
  <si>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</si>
  <si>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</si>
  <si>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</si>
  <si>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</si>
  <si>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</si>
  <si>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</si>
  <si>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</si>
  <si>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</si>
  <si>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</si>
  <si>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</si>
  <si>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</si>
  <si>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</si>
  <si>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</si>
  <si>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</si>
  <si>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</si>
  <si>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</si>
  <si>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</si>
  <si>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</si>
  <si>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</si>
  <si>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</si>
  <si>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</si>
  <si>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</si>
  <si>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</si>
  <si>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</si>
  <si>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</si>
  <si>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</si>
  <si>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</si>
  <si>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</si>
  <si>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</si>
  <si>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</si>
  <si>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</si>
  <si>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</si>
  <si>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</si>
  <si>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</si>
  <si>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</si>
  <si>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</si>
  <si>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</si>
  <si>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</si>
  <si>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</si>
  <si>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</si>
  <si>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</si>
  <si>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</si>
  <si>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</si>
  <si>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</si>
  <si>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</si>
  <si>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</si>
  <si>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</si>
  <si>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</si>
  <si>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</si>
  <si>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</si>
  <si>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</si>
  <si>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</si>
  <si>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</si>
  <si>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</si>
  <si>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</si>
  <si>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</si>
  <si>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</si>
  <si>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</si>
  <si>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</si>
  <si>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</si>
  <si>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</si>
  <si>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</si>
  <si>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</si>
  <si>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</si>
  <si>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</si>
  <si>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</si>
  <si>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</si>
  <si>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</si>
  <si>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</si>
  <si>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</si>
  <si>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</si>
  <si>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</si>
  <si>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</si>
  <si>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</si>
  <si>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</si>
  <si>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</si>
  <si>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</si>
  <si>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</si>
  <si>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</si>
  <si>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</si>
  <si>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</si>
  <si>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</si>
  <si>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</si>
  <si>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</si>
  <si>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</si>
  <si>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</si>
  <si>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</si>
  <si>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</si>
  <si>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</si>
  <si>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</si>
  <si>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</si>
  <si>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</si>
  <si>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</si>
  <si>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</si>
  <si>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</si>
  <si>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</si>
  <si>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</si>
  <si>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</si>
  <si>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</si>
  <si>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</si>
  <si>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</si>
  <si>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</si>
  <si>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</si>
  <si>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</si>
  <si>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</si>
  <si>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</si>
  <si>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</si>
  <si>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</si>
  <si>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</si>
  <si>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</si>
  <si>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</si>
  <si>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</si>
  <si>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</si>
  <si>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</si>
  <si>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</si>
  <si>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</si>
  <si>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</si>
  <si>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</si>
  <si>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</si>
  <si>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</si>
  <si>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</si>
  <si>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</si>
  <si>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</si>
  <si>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</si>
  <si>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</si>
  <si>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</si>
  <si>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</si>
  <si>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</si>
  <si>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</si>
  <si>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</si>
  <si>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</si>
  <si>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</si>
  <si>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</si>
  <si>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</si>
  <si>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</si>
  <si>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</si>
  <si>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</si>
  <si>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</si>
  <si>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</si>
  <si>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</si>
  <si>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</si>
  <si>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</si>
  <si>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</si>
  <si>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</si>
  <si>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</si>
  <si>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</si>
  <si>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</si>
  <si>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</si>
  <si>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</si>
  <si>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</si>
  <si>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</si>
  <si>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</si>
  <si>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</si>
  <si>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</si>
  <si>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</si>
  <si>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</si>
  <si>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</si>
  <si>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</si>
  <si>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</si>
  <si>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</si>
  <si>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</si>
  <si>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</si>
  <si>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</si>
  <si>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</si>
  <si>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</si>
  <si>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</si>
  <si>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</si>
  <si>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</si>
  <si>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</si>
  <si>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</si>
  <si>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</si>
  <si>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</si>
  <si>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</si>
  <si>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</si>
  <si>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</si>
  <si>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</si>
  <si>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</si>
  <si>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</si>
  <si>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</si>
  <si>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</si>
  <si>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</si>
  <si>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</si>
  <si>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</si>
  <si>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</si>
  <si>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</si>
  <si>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</si>
  <si>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</si>
  <si>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</si>
  <si>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</si>
  <si>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</si>
  <si>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</si>
  <si>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</si>
  <si>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</si>
  <si>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</si>
  <si>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</si>
  <si>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</si>
  <si>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</si>
  <si>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</si>
  <si>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</si>
  <si>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</si>
  <si>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</si>
  <si>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</si>
  <si>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</si>
  <si>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</si>
  <si>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</si>
  <si>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</si>
  <si>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</si>
  <si>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</si>
  <si>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</si>
  <si>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</si>
  <si>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</si>
  <si>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</si>
  <si>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</si>
  <si>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</si>
  <si>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</si>
  <si>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</si>
  <si>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</si>
  <si>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</si>
  <si>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</si>
  <si>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</si>
  <si>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</si>
  <si>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</si>
  <si>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</si>
  <si>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</si>
  <si>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</si>
  <si>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</si>
  <si>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</si>
  <si>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</si>
  <si>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</si>
  <si>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</si>
  <si>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</si>
  <si>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</si>
  <si>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</si>
  <si>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</si>
  <si>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</si>
  <si>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</si>
  <si>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</si>
  <si>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</si>
  <si>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</si>
  <si>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</si>
  <si>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</si>
  <si>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</si>
  <si>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</si>
  <si>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</si>
  <si>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</si>
  <si>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</si>
  <si>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</si>
  <si>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</si>
  <si>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</si>
  <si>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</si>
  <si>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</si>
  <si>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</si>
  <si>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</si>
  <si>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</si>
  <si>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</si>
  <si>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</si>
  <si>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</si>
  <si>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</si>
  <si>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</si>
  <si>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</si>
  <si>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</si>
  <si>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</si>
  <si>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</si>
  <si>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</si>
  <si>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</si>
  <si>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</si>
  <si>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</si>
  <si>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</si>
  <si>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</si>
  <si>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</si>
  <si>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</si>
  <si>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</si>
  <si>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</si>
  <si>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</si>
  <si>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</si>
  <si>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</si>
  <si>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</si>
  <si>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</si>
  <si>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</si>
  <si>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</si>
  <si>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</si>
  <si>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</si>
  <si>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</si>
  <si>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</si>
  <si>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</si>
  <si>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</si>
  <si>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</si>
  <si>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</si>
  <si>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</si>
  <si>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</si>
  <si>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</si>
  <si>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</si>
  <si>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</si>
  <si>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</si>
  <si>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</si>
  <si>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</si>
  <si>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</si>
  <si>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</si>
  <si>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</si>
  <si>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</si>
  <si>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</si>
  <si>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</si>
  <si>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</si>
  <si>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</si>
  <si>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</si>
  <si>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</si>
  <si>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</si>
  <si>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</si>
  <si>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</si>
  <si>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</si>
  <si>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</si>
  <si>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</si>
  <si>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</si>
  <si>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</si>
  <si>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</si>
  <si>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</si>
  <si>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</si>
  <si>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</si>
  <si>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</si>
  <si>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</si>
  <si>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</si>
  <si>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</si>
  <si>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</si>
  <si>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</si>
  <si>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</si>
  <si>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</si>
  <si>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</si>
  <si>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</si>
  <si>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</si>
  <si>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</si>
  <si>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</si>
  <si>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</si>
  <si>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</si>
  <si>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</si>
  <si>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</si>
  <si>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</si>
  <si>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</si>
  <si>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</si>
  <si>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</si>
  <si>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</si>
  <si>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</si>
  <si>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</si>
  <si>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</si>
  <si>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</si>
  <si>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</si>
  <si>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</si>
  <si>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</si>
  <si>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</si>
  <si>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</si>
  <si>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</si>
  <si>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</si>
  <si>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</si>
  <si>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</si>
  <si>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</si>
  <si>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</si>
  <si>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</si>
  <si>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</si>
  <si>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</si>
  <si>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</si>
  <si>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</si>
  <si>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</si>
  <si>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</si>
  <si>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</si>
  <si>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</si>
  <si>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</si>
  <si>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</si>
  <si>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</si>
  <si>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</si>
  <si>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</si>
  <si>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</si>
  <si>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</si>
  <si>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</si>
  <si>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</si>
  <si>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</si>
  <si>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</si>
  <si>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</si>
  <si>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</si>
  <si>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</si>
  <si>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</si>
  <si>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</si>
  <si>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</si>
  <si>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</si>
  <si>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</si>
  <si>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</si>
  <si>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</si>
  <si>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</si>
  <si>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</si>
  <si>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</si>
  <si>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</si>
  <si>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</si>
  <si>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</si>
  <si>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</si>
  <si>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</si>
  <si>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</si>
  <si>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</si>
  <si>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</si>
  <si>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</si>
  <si>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</si>
  <si>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</si>
  <si>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</si>
  <si>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</si>
  <si>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</si>
  <si>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</si>
  <si>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</si>
  <si>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</si>
  <si>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</si>
  <si>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</si>
  <si>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</si>
  <si>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</si>
  <si>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</si>
  <si>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</si>
  <si>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</si>
  <si>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</si>
  <si>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</si>
  <si>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</si>
  <si>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</si>
  <si>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</si>
  <si>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</si>
  <si>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</si>
  <si>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</si>
  <si>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</si>
  <si>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</si>
  <si>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</si>
  <si>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</si>
  <si>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</si>
  <si>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</si>
  <si>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</si>
  <si>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</si>
  <si>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</si>
  <si>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</si>
  <si>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</si>
  <si>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</si>
  <si>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</si>
  <si>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</si>
  <si>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</si>
  <si>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</si>
  <si>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</si>
  <si>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</si>
  <si>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</si>
  <si>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</si>
  <si>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</si>
  <si>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</si>
  <si>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</si>
  <si>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</si>
  <si>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</si>
  <si>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</si>
  <si>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</si>
  <si>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</si>
  <si>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</si>
  <si>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</si>
  <si>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</si>
  <si>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</si>
  <si>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</si>
  <si>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</si>
  <si>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</si>
  <si>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</si>
  <si>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</si>
  <si>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</si>
  <si>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</si>
  <si>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</si>
  <si>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</si>
  <si>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</si>
  <si>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</si>
  <si>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</si>
  <si>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</si>
  <si>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</si>
  <si>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</si>
  <si>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</si>
  <si>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</si>
  <si>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</si>
  <si>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</si>
  <si>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</si>
  <si>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</si>
  <si>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</si>
  <si>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</si>
  <si>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</si>
  <si>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</si>
  <si>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</si>
  <si>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</si>
  <si>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</si>
  <si>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</si>
  <si>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</si>
  <si>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</si>
  <si>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</si>
  <si>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</si>
  <si>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</si>
  <si>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</si>
  <si>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</si>
  <si>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</si>
  <si>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</si>
  <si>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</si>
  <si>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</si>
  <si>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</si>
  <si>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</si>
  <si>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</si>
  <si>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</si>
  <si>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</si>
  <si>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</si>
  <si>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</si>
  <si>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</si>
  <si>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</si>
  <si>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</si>
  <si>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</si>
  <si>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</si>
  <si>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</si>
  <si>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</si>
  <si>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</si>
  <si>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</si>
  <si>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</si>
  <si>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</si>
  <si>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</si>
  <si>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</si>
  <si>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</si>
  <si>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</si>
  <si>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</si>
  <si>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</si>
  <si>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</si>
  <si>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</si>
  <si>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</si>
  <si>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</si>
  <si>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</si>
  <si>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</si>
  <si>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</si>
  <si>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</si>
  <si>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</si>
  <si>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</si>
  <si>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</si>
  <si>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</si>
  <si>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</si>
  <si>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</si>
  <si>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</si>
  <si>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</si>
  <si>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</si>
  <si>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</si>
  <si>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</si>
  <si>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</si>
  <si>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</si>
  <si>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</si>
  <si>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</si>
  <si>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</si>
  <si>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</si>
  <si>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</si>
  <si>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</si>
  <si>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</si>
  <si>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</si>
  <si>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</si>
  <si>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</si>
  <si>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</si>
  <si>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</si>
  <si>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</si>
  <si>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</si>
  <si>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</si>
  <si>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</si>
  <si>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</si>
  <si>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</si>
  <si>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</si>
  <si>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</si>
  <si>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</si>
  <si>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</si>
  <si>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</si>
  <si>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</si>
  <si>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</si>
  <si>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</si>
  <si>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</si>
  <si>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</si>
  <si>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</si>
  <si>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</si>
  <si>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</si>
  <si>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</si>
  <si>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</si>
  <si>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</si>
  <si>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</si>
  <si>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</si>
  <si>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</si>
  <si>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</si>
  <si>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</si>
  <si>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</si>
  <si>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</si>
  <si>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</si>
  <si>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</si>
  <si>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</si>
  <si>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</si>
  <si>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</si>
  <si>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</si>
  <si>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</si>
  <si>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</si>
  <si>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</si>
  <si>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</si>
  <si>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</si>
  <si>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</si>
  <si>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</si>
  <si>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</si>
  <si>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</si>
  <si>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</si>
  <si>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</si>
  <si>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</si>
  <si>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</si>
  <si>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</si>
  <si>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</si>
  <si>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</si>
  <si>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</si>
  <si>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</si>
  <si>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</si>
  <si>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</si>
  <si>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</si>
  <si>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</si>
  <si>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</si>
  <si>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</si>
  <si>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</si>
  <si>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</si>
  <si>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</si>
  <si>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</si>
  <si>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</si>
  <si>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</si>
  <si>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</si>
  <si>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</si>
  <si>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</si>
  <si>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</si>
  <si>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</si>
  <si>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</si>
  <si>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</si>
  <si>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</si>
  <si>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</si>
  <si>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</si>
  <si>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</si>
  <si>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</si>
  <si>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</si>
  <si>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</si>
  <si>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</si>
  <si>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</si>
  <si>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</si>
  <si>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</si>
  <si>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</si>
  <si>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</si>
  <si>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</si>
  <si>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</si>
  <si>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</si>
  <si>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</si>
  <si>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</si>
  <si>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</si>
  <si>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</si>
  <si>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</si>
  <si>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</si>
  <si>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</si>
  <si>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</si>
  <si>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</si>
  <si>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</si>
  <si>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</si>
  <si>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</si>
  <si>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</si>
  <si>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</si>
  <si>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</si>
  <si>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</si>
  <si>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</si>
  <si>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</si>
  <si>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</si>
  <si>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</si>
  <si>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</si>
  <si>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</si>
  <si>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</si>
  <si>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</si>
  <si>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</si>
  <si>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</si>
  <si>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</si>
  <si>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</si>
  <si>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</si>
  <si>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</si>
  <si>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</si>
  <si>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</si>
  <si>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</si>
  <si>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</si>
  <si>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</si>
  <si>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</si>
  <si>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</si>
  <si>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</si>
  <si>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</si>
  <si>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</si>
  <si>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</si>
  <si>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</si>
  <si>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</si>
  <si>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</si>
  <si>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</si>
  <si>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</si>
  <si>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</si>
  <si>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</si>
  <si>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</si>
  <si>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</si>
  <si>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</si>
  <si>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</si>
  <si>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</si>
  <si>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</si>
  <si>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</si>
  <si>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</si>
  <si>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</si>
  <si>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</si>
  <si>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</si>
  <si>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</si>
  <si>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</si>
  <si>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</si>
  <si>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</si>
  <si>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</si>
  <si>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</si>
  <si>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</si>
  <si>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</si>
  <si>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</si>
  <si>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</si>
  <si>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</si>
  <si>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</si>
  <si>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</si>
  <si>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</si>
  <si>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</si>
  <si>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</si>
  <si>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</si>
  <si>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</si>
  <si>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</si>
  <si>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</si>
  <si>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</si>
  <si>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</si>
  <si>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</si>
  <si>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</si>
  <si>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</si>
  <si>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</si>
  <si>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</si>
  <si>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</si>
  <si>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</si>
  <si>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</si>
  <si>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</si>
  <si>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</si>
  <si>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</si>
  <si>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</si>
  <si>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</si>
  <si>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</si>
  <si>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</si>
  <si>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</si>
  <si>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</si>
  <si>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</si>
  <si>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</si>
  <si>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</si>
  <si>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</si>
  <si>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</si>
  <si>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</si>
  <si>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</si>
  <si>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</si>
  <si>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</si>
  <si>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</si>
  <si>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</si>
  <si>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</si>
  <si>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</si>
  <si>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</si>
  <si>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</si>
  <si>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</si>
  <si>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</si>
  <si>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</si>
  <si>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</si>
  <si>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</si>
  <si>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</si>
  <si>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</si>
  <si>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</si>
  <si>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</si>
  <si>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</si>
  <si>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</si>
  <si>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</si>
  <si>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</si>
  <si>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</si>
  <si>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</si>
  <si>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</si>
  <si>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</si>
  <si>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</si>
  <si>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</si>
  <si>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</si>
  <si>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</si>
  <si>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</si>
  <si>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</si>
  <si>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</si>
  <si>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</si>
  <si>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</si>
  <si>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</si>
  <si>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</si>
  <si>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</si>
  <si>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</si>
  <si>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</si>
  <si>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</si>
  <si>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</si>
  <si>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</si>
  <si>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</si>
  <si>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</si>
  <si>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</si>
  <si>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</si>
  <si>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</si>
  <si>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</si>
  <si>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</si>
  <si>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</si>
  <si>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</si>
  <si>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</si>
  <si>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</si>
  <si>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</si>
  <si>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</si>
  <si>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</si>
  <si>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</si>
  <si>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</si>
  <si>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</si>
  <si>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</si>
  <si>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</si>
  <si>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</si>
  <si>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</si>
  <si>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</si>
  <si>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</si>
  <si>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</si>
  <si>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</si>
  <si>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</si>
  <si>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</si>
  <si>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</si>
  <si>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</si>
  <si>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</si>
  <si>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</si>
  <si>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</si>
  <si>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</si>
  <si>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</si>
  <si>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</si>
  <si>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</si>
  <si>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</si>
  <si>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</si>
  <si>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</si>
  <si>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</si>
  <si>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</si>
  <si>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</si>
  <si>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</si>
  <si>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</si>
  <si>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</si>
  <si>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</si>
  <si>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</si>
  <si>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</si>
  <si>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</si>
  <si>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</si>
  <si>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</si>
  <si>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</si>
  <si>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</si>
  <si>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</si>
  <si>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</si>
  <si>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</si>
  <si>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</si>
  <si>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</si>
  <si>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</si>
  <si>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</si>
  <si>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</si>
  <si>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</si>
  <si>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</si>
  <si>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</si>
  <si>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</si>
  <si>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</si>
  <si>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</si>
  <si>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</si>
  <si>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</si>
  <si>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</si>
  <si>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</si>
  <si>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</si>
  <si>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</si>
  <si>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</si>
  <si>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</si>
  <si>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</si>
  <si>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</si>
  <si>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</si>
  <si>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</si>
  <si>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</si>
  <si>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</si>
  <si>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</si>
  <si>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</si>
  <si>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</si>
  <si>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</si>
  <si>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</si>
  <si>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</si>
  <si>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</si>
  <si>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</si>
  <si>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</si>
  <si>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</si>
  <si>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</si>
  <si>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</si>
  <si>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</si>
  <si>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</si>
  <si>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</si>
  <si>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</si>
  <si>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</si>
  <si>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</si>
  <si>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</si>
  <si>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</si>
  <si>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</si>
  <si>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</si>
  <si>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</si>
  <si>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</si>
  <si>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</si>
  <si>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</si>
  <si>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</si>
  <si>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</si>
  <si>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</si>
  <si>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</si>
  <si>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</si>
  <si>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</si>
  <si>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</si>
  <si>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</si>
  <si>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</si>
  <si>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</si>
  <si>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</si>
  <si>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</si>
  <si>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</si>
  <si>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</si>
  <si>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</si>
  <si>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</si>
  <si>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</si>
  <si>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</si>
  <si>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</si>
  <si>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</si>
  <si>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</si>
  <si>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</si>
  <si>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</si>
  <si>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</si>
  <si>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</si>
  <si>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</si>
  <si>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</si>
  <si>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</si>
  <si>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</si>
  <si>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</si>
  <si>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</si>
  <si>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</si>
  <si>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</si>
  <si>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</si>
  <si>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</si>
  <si>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</si>
  <si>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</si>
  <si>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</si>
  <si>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</si>
  <si>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</si>
  <si>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</si>
  <si>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</si>
  <si>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</si>
  <si>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</si>
  <si>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</si>
  <si>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</si>
  <si>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</si>
  <si>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</si>
  <si>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</si>
  <si>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</si>
  <si>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</si>
  <si>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</si>
  <si>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</si>
  <si>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</si>
  <si>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</si>
  <si>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</si>
  <si>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</si>
  <si>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</si>
  <si>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</si>
  <si>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</si>
  <si>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</si>
  <si>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</si>
  <si>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</si>
  <si>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</si>
  <si>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</si>
  <si>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</si>
  <si>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</si>
  <si>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</si>
  <si>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</si>
  <si>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</si>
  <si>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</si>
  <si>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</si>
  <si>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</si>
  <si>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</si>
  <si>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</si>
  <si>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</si>
  <si>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</si>
  <si>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</si>
  <si>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</si>
  <si>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</si>
  <si>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</si>
  <si>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</si>
  <si>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</si>
  <si>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</si>
  <si>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</si>
  <si>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</si>
  <si>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</si>
  <si>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</si>
  <si>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</si>
  <si>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</si>
  <si>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</si>
  <si>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</si>
  <si>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</si>
  <si>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</si>
  <si>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</si>
  <si>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</si>
  <si>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</si>
  <si>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</si>
  <si>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</si>
  <si>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</si>
  <si>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</si>
  <si>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</si>
  <si>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</si>
  <si>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</si>
  <si>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</si>
  <si>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</si>
  <si>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</si>
  <si>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</si>
  <si>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</si>
  <si>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</si>
  <si>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</si>
  <si>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</si>
  <si>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</si>
  <si>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</si>
  <si>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</si>
  <si>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</si>
  <si>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</si>
  <si>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</si>
  <si>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</si>
  <si>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</si>
  <si>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</si>
  <si>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</si>
  <si>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</si>
  <si>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</si>
  <si>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</si>
  <si>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</si>
  <si>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</si>
  <si>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</si>
  <si>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</si>
  <si>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</si>
  <si>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</si>
  <si>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</si>
  <si>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</si>
  <si>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</si>
  <si>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</si>
  <si>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</si>
  <si>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</si>
  <si>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</si>
  <si>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</si>
  <si>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</si>
  <si>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</si>
  <si>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</si>
  <si>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</si>
  <si>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</si>
  <si>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</si>
  <si>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</si>
  <si>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</si>
  <si>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</si>
  <si>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</si>
  <si>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</si>
  <si>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</si>
  <si>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</si>
  <si>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</si>
  <si>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</si>
  <si>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</si>
  <si>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</si>
  <si>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</si>
  <si>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</si>
  <si>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</si>
  <si>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</si>
  <si>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</si>
  <si>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</si>
  <si>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</si>
  <si>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</si>
  <si>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</si>
  <si>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</si>
  <si>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</si>
  <si>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</si>
  <si>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</si>
  <si>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</si>
  <si>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</si>
  <si>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</si>
  <si>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</si>
  <si>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</si>
  <si>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</si>
  <si>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</si>
  <si>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</si>
  <si>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</si>
  <si>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</si>
  <si>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</si>
  <si>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</si>
  <si>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</si>
  <si>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</si>
  <si>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</si>
  <si>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</si>
  <si>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</si>
  <si>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</si>
  <si>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</si>
  <si>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</si>
  <si>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</si>
  <si>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</si>
  <si>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</si>
  <si>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</si>
  <si>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</si>
  <si>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</si>
  <si>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</si>
  <si>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</si>
  <si>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</si>
  <si>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</si>
  <si>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</si>
  <si>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</si>
  <si>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</si>
  <si>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</si>
  <si>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</si>
  <si>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</si>
  <si>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</si>
  <si>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</si>
  <si>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</si>
  <si>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</si>
  <si>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</si>
  <si>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</si>
  <si>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</si>
  <si>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</si>
  <si>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</si>
  <si>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</si>
  <si>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</si>
  <si>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</si>
  <si>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</si>
  <si>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</si>
  <si>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</si>
  <si>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</si>
  <si>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</si>
  <si>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</si>
  <si>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</si>
  <si>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</si>
  <si>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</si>
  <si>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</si>
  <si>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</si>
  <si>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</si>
  <si>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</si>
  <si>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</si>
  <si>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</si>
  <si>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</si>
  <si>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</si>
  <si>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</si>
  <si>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</si>
  <si>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</si>
  <si>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</si>
  <si>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</si>
  <si>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</si>
  <si>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</si>
  <si>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</si>
  <si>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</si>
  <si>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</si>
  <si>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</si>
  <si>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</si>
  <si>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</si>
  <si>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</si>
  <si>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</si>
  <si>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</si>
  <si>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</si>
  <si>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</si>
  <si>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</si>
  <si>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</si>
  <si>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</si>
  <si>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</si>
  <si>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</si>
  <si>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</si>
  <si>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</si>
  <si>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</si>
  <si>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</si>
  <si>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</si>
  <si>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</si>
  <si>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</si>
  <si>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</si>
  <si>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</si>
  <si>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</si>
  <si>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</si>
  <si>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</si>
  <si>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</si>
  <si>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</si>
  <si>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</si>
  <si>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</si>
  <si>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</si>
  <si>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</si>
  <si>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</si>
  <si>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</si>
  <si>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</si>
  <si>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</si>
  <si>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</si>
  <si>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</si>
  <si>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</si>
  <si>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</si>
  <si>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</si>
  <si>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</si>
  <si>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</si>
  <si>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</si>
  <si>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</si>
  <si>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</si>
  <si>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</si>
  <si>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</si>
  <si>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</si>
  <si>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</si>
  <si>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</si>
  <si>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</si>
  <si>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</si>
  <si>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</si>
  <si>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</si>
  <si>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</si>
  <si>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</si>
  <si>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</si>
  <si>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</si>
  <si>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</si>
  <si>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</si>
  <si>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</si>
  <si>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</si>
  <si>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</si>
  <si>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</si>
  <si>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</si>
  <si>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</si>
  <si>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</si>
  <si>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</si>
  <si>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</si>
  <si>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</si>
  <si>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</si>
  <si>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</si>
  <si>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</si>
  <si>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</si>
  <si>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</si>
  <si>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</si>
  <si>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</si>
  <si>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</si>
  <si>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</si>
  <si>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</si>
  <si>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</si>
  <si>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</si>
  <si>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</si>
  <si>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</si>
  <si>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</si>
  <si>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</si>
  <si>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</si>
  <si>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</si>
  <si>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</si>
  <si>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</si>
  <si>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</si>
  <si>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</si>
  <si>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</si>
  <si>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</si>
  <si>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</si>
  <si>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</si>
  <si>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</si>
  <si>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</si>
  <si>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</si>
  <si>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</si>
  <si>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</si>
  <si>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</si>
  <si>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</si>
  <si>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</si>
  <si>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</si>
  <si>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</si>
  <si>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</si>
  <si>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</si>
  <si>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</si>
  <si>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</si>
  <si>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</si>
  <si>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</si>
  <si>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</si>
  <si>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</si>
  <si>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</si>
  <si>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</si>
  <si>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</si>
  <si>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</si>
  <si>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</si>
  <si>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</si>
  <si>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</si>
  <si>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</si>
  <si>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</si>
  <si>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</si>
  <si>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</si>
  <si>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</si>
  <si>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</si>
  <si>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</si>
  <si>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</si>
  <si>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</si>
  <si>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</si>
  <si>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</si>
  <si>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</si>
  <si>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</si>
  <si>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</si>
  <si>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</si>
  <si>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</si>
  <si>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</si>
  <si>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</si>
  <si>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</si>
  <si>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</si>
  <si>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</si>
  <si>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</si>
  <si>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</si>
  <si>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</si>
  <si>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</si>
  <si>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</si>
  <si>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</si>
  <si>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</si>
  <si>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</si>
  <si>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</si>
  <si>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</si>
  <si>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</si>
  <si>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</si>
  <si>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</si>
  <si>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</si>
  <si>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</si>
  <si>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</si>
  <si>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</si>
  <si>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</si>
  <si>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</si>
  <si>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</si>
  <si>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</si>
  <si>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</si>
  <si>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</si>
  <si>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</si>
  <si>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</si>
  <si>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</si>
  <si>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</si>
  <si>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</si>
  <si>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</si>
  <si>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</si>
  <si>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</si>
  <si>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</si>
  <si>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</si>
  <si>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</si>
  <si>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</si>
  <si>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</si>
  <si>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</si>
  <si>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</si>
  <si>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</si>
  <si>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</si>
  <si>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</si>
  <si>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</si>
  <si>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</si>
  <si>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</si>
  <si>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</si>
  <si>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</si>
  <si>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</si>
  <si>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</si>
  <si>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</si>
  <si>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</si>
  <si>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</si>
  <si>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</si>
  <si>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</si>
  <si>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</si>
  <si>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</si>
  <si>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</si>
  <si>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</si>
  <si>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</si>
  <si>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</si>
  <si>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</si>
  <si>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</si>
  <si>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</si>
  <si>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</si>
  <si>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</si>
  <si>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</si>
  <si>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</si>
  <si>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</si>
  <si>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</si>
  <si>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</si>
  <si>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</si>
  <si>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</si>
  <si>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</si>
  <si>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</si>
  <si>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</si>
  <si>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</si>
  <si>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</si>
  <si>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</si>
  <si>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</si>
  <si>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</si>
  <si>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</si>
  <si>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</si>
  <si>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</si>
  <si>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</si>
  <si>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</si>
  <si>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</si>
  <si>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</si>
  <si>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</si>
  <si>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</si>
  <si>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</si>
  <si>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</si>
  <si>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</si>
  <si>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</si>
  <si>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</si>
  <si>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</si>
  <si>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</si>
  <si>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</si>
  <si>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</si>
  <si>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</si>
  <si>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</si>
  <si>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</si>
  <si>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</si>
  <si>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</si>
  <si>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</si>
  <si>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</si>
  <si>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</si>
  <si>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</si>
  <si>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</si>
  <si>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</si>
  <si>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</si>
  <si>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</si>
  <si>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</si>
  <si>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</si>
  <si>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</si>
  <si>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</si>
  <si>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</si>
  <si>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</si>
  <si>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</si>
  <si>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</si>
  <si>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</si>
  <si>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</si>
  <si>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</si>
  <si>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</si>
  <si>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</si>
  <si>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</si>
  <si>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</si>
  <si>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</si>
  <si>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</si>
  <si>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</si>
  <si>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</si>
  <si>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</si>
  <si>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</si>
  <si>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</si>
  <si>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</si>
  <si>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</si>
  <si>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</si>
  <si>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</si>
  <si>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</si>
  <si>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</si>
  <si>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</si>
  <si>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</si>
  <si>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</si>
  <si>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</si>
  <si>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</si>
  <si>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</si>
  <si>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</si>
  <si>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</si>
  <si>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</si>
  <si>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</si>
  <si>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</si>
  <si>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</si>
  <si>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</si>
  <si>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</si>
  <si>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</si>
  <si>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</si>
  <si>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</si>
  <si>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</si>
  <si>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</si>
  <si>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</si>
  <si>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</si>
  <si>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</si>
  <si>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</si>
  <si>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</si>
  <si>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</si>
  <si>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</si>
  <si>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</si>
  <si>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</si>
  <si>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</si>
  <si>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</si>
  <si>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</si>
  <si>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</si>
  <si>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</si>
  <si>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</si>
  <si>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</si>
  <si>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</si>
  <si>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</si>
  <si>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</si>
  <si>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</si>
  <si>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</si>
  <si>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</si>
  <si>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</si>
  <si>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</si>
  <si>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</si>
  <si>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</si>
  <si>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</si>
  <si>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</si>
  <si>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</si>
  <si>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</si>
  <si>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</si>
  <si>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</si>
  <si>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</si>
  <si>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</si>
  <si>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</si>
  <si>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</si>
  <si>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</si>
  <si>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</si>
  <si>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</si>
  <si>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</si>
  <si>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</si>
  <si>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</si>
  <si>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</si>
  <si>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</si>
  <si>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</si>
  <si>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</si>
  <si>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</si>
  <si>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</si>
  <si>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</si>
  <si>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</si>
  <si>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</si>
  <si>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</si>
  <si>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</si>
  <si>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</si>
  <si>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</si>
  <si>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</si>
  <si>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</si>
  <si>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</si>
  <si>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</si>
  <si>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</si>
  <si>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</si>
  <si>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</si>
  <si>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</si>
  <si>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</si>
  <si>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</si>
  <si>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</si>
  <si>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</si>
  <si>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</si>
  <si>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</si>
  <si>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</si>
  <si>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</si>
  <si>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</si>
  <si>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</si>
  <si>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</si>
  <si>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</si>
  <si>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</si>
  <si>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</si>
  <si>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</si>
  <si>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</si>
  <si>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</si>
  <si>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</si>
  <si>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</si>
  <si>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</si>
  <si>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</si>
  <si>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</si>
  <si>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</si>
  <si>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</si>
  <si>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</si>
  <si>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</si>
  <si>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</si>
  <si>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</si>
  <si>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</si>
  <si>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</si>
  <si>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</si>
  <si>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</si>
  <si>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</si>
  <si>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</si>
  <si>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</si>
  <si>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</si>
  <si>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</si>
  <si>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</si>
  <si>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</si>
  <si>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</si>
  <si>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</si>
  <si>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</si>
  <si>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</si>
  <si>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</si>
  <si>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</si>
  <si>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</si>
  <si>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</si>
  <si>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</si>
  <si>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</si>
  <si>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</si>
  <si>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</si>
  <si>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</si>
  <si>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</si>
  <si>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</si>
  <si>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</si>
  <si>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</si>
  <si>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</si>
  <si>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</si>
  <si>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</si>
  <si>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</si>
  <si>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</si>
  <si>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</si>
  <si>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</si>
  <si>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</si>
  <si>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</si>
  <si>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</si>
  <si>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</si>
  <si>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</si>
  <si>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</si>
  <si>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</si>
  <si>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</si>
  <si>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</si>
  <si>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</si>
  <si>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</si>
  <si>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</si>
  <si>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</si>
  <si>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</si>
  <si>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</si>
  <si>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</si>
  <si>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</si>
  <si>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</si>
  <si>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</si>
  <si>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</si>
  <si>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</si>
  <si>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</si>
  <si>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</si>
  <si>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</si>
  <si>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</si>
  <si>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</si>
  <si>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</si>
  <si>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</si>
  <si>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</si>
  <si>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</si>
  <si>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</si>
  <si>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</si>
  <si>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</si>
  <si>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</si>
  <si>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</si>
  <si>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</si>
  <si>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</si>
  <si>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</si>
  <si>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</si>
  <si>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</si>
  <si>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</si>
  <si>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</si>
  <si>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</si>
  <si>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</si>
  <si>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</si>
  <si>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</si>
  <si>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</si>
  <si>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</si>
  <si>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</si>
  <si>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</si>
  <si>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</si>
  <si>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</si>
  <si>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</si>
  <si>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</si>
  <si>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</si>
  <si>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</si>
  <si>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</si>
  <si>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</si>
  <si>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</si>
  <si>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</si>
  <si>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</si>
  <si>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</si>
  <si>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</si>
  <si>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</si>
  <si>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</si>
  <si>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</si>
  <si>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</si>
  <si>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</si>
  <si>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</si>
  <si>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</si>
  <si>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</si>
  <si>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</si>
  <si>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</si>
  <si>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</si>
  <si>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</si>
  <si>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</si>
  <si>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</si>
  <si>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</si>
  <si>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</si>
  <si>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</si>
  <si>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</si>
  <si>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</si>
  <si>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</si>
  <si>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</si>
  <si>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</si>
  <si>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</si>
  <si>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</si>
  <si>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</si>
  <si>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</si>
  <si>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</si>
  <si>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</si>
  <si>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</si>
  <si>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</si>
  <si>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</si>
  <si>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</si>
  <si>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</si>
  <si>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</si>
  <si>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</si>
  <si>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</si>
  <si>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</si>
  <si>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</si>
  <si>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</si>
  <si>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</si>
  <si>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</si>
  <si>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</si>
  <si>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</si>
  <si>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</si>
  <si>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</si>
  <si>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</si>
  <si>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</si>
  <si>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</si>
  <si>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</si>
  <si>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</si>
  <si>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</si>
  <si>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</si>
  <si>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</si>
  <si>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</si>
  <si>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</si>
  <si>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</si>
  <si>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</si>
  <si>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</si>
  <si>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</si>
  <si>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</si>
  <si>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</si>
  <si>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</si>
  <si>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</si>
  <si>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</si>
  <si>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</si>
  <si>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</si>
  <si>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</si>
  <si>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</si>
  <si>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</si>
  <si>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</si>
  <si>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</si>
  <si>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</si>
  <si>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</si>
  <si>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</si>
  <si>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</si>
  <si>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</si>
  <si>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</si>
  <si>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</si>
  <si>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</si>
  <si>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</si>
  <si>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</si>
  <si>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</si>
  <si>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</si>
  <si>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</si>
  <si>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</si>
  <si>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</si>
  <si>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</si>
  <si>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</si>
  <si>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</si>
  <si>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</si>
  <si>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</si>
  <si>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</si>
  <si>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</si>
  <si>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</si>
  <si>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</si>
  <si>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</si>
  <si>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</si>
  <si>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</si>
  <si>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</si>
  <si>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</si>
  <si>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</si>
  <si>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</si>
  <si>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</si>
  <si>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</si>
  <si>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</si>
  <si>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</si>
  <si>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</si>
  <si>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</si>
  <si>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</si>
  <si>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</si>
  <si>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</si>
  <si>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</si>
  <si>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</si>
  <si>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</si>
  <si>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</si>
  <si>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</si>
  <si>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</si>
  <si>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</si>
  <si>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</si>
  <si>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</si>
  <si>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</si>
  <si>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</si>
  <si>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</si>
  <si>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</si>
  <si>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</si>
  <si>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</si>
  <si>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</si>
  <si>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</si>
  <si>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</si>
  <si>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</si>
  <si>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</si>
  <si>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</si>
  <si>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</si>
  <si>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</si>
  <si>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</si>
  <si>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</si>
  <si>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</si>
  <si>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</si>
  <si>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</si>
  <si>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</si>
  <si>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</si>
  <si>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</si>
  <si>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</si>
  <si>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</si>
  <si>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</si>
  <si>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</si>
  <si>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</si>
  <si>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</si>
  <si>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</si>
  <si>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</si>
  <si>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</si>
  <si>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</si>
  <si>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</si>
  <si>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</si>
  <si>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</si>
  <si>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</si>
  <si>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</si>
  <si>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</si>
  <si>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</si>
  <si>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</si>
  <si>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</si>
  <si>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</si>
  <si>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</si>
  <si>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</si>
  <si>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</si>
  <si>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</si>
  <si>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</si>
  <si>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</si>
  <si>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</si>
  <si>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</si>
  <si>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</si>
  <si>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</si>
  <si>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</si>
  <si>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</si>
  <si>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</si>
  <si>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</si>
  <si>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</si>
  <si>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</si>
  <si>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</si>
  <si>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</si>
  <si>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</si>
  <si>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</si>
  <si>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</si>
  <si>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</si>
  <si>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</si>
  <si>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</si>
  <si>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</si>
  <si>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</si>
  <si>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</si>
  <si>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</si>
  <si>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</si>
  <si>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</si>
  <si>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</si>
  <si>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</si>
  <si>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</si>
  <si>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</si>
  <si>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</si>
  <si>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</si>
  <si>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</si>
  <si>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</si>
  <si>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</si>
  <si>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</si>
  <si>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</si>
  <si>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</si>
  <si>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</si>
  <si>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</si>
  <si>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</si>
  <si>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</si>
  <si>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</si>
  <si>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</si>
  <si>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</si>
  <si>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</si>
  <si>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</si>
  <si>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</si>
  <si>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</si>
  <si>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</si>
  <si>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</si>
  <si>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</si>
  <si>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</si>
  <si>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</si>
  <si>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</si>
  <si>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</si>
  <si>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</si>
  <si>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</si>
  <si>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</si>
  <si>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</si>
  <si>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</si>
  <si>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</si>
  <si>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</si>
  <si>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</si>
  <si>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</si>
  <si>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</si>
  <si>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</si>
  <si>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</si>
  <si>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</si>
  <si>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</si>
  <si>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</si>
  <si>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</si>
  <si>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</si>
  <si>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</si>
  <si>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</si>
  <si>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</si>
  <si>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</si>
  <si>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</si>
  <si>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</si>
  <si>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</si>
  <si>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</si>
  <si>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</si>
  <si>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</si>
  <si>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</si>
  <si>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</si>
  <si>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</si>
  <si>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</si>
  <si>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</si>
  <si>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</si>
  <si>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</si>
  <si>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</si>
  <si>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</si>
  <si>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</si>
  <si>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</si>
  <si>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</si>
  <si>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</si>
  <si>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</si>
  <si>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</si>
  <si>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</si>
  <si>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</si>
  <si>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</si>
  <si>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</si>
  <si>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</si>
  <si>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</si>
  <si>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</si>
  <si>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</si>
  <si>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</si>
  <si>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</si>
  <si>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</si>
  <si>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</si>
  <si>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</si>
  <si>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</si>
  <si>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</si>
  <si>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</si>
  <si>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</si>
  <si>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</si>
  <si>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</si>
  <si>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</si>
  <si>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</si>
  <si>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</si>
  <si>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</si>
  <si>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</si>
  <si>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</si>
  <si>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</si>
  <si>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</si>
  <si>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</si>
  <si>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</si>
  <si>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</si>
  <si>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</si>
  <si>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</si>
  <si>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</si>
  <si>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</si>
  <si>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</si>
  <si>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</si>
  <si>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</si>
  <si>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</si>
  <si>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</si>
  <si>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</si>
  <si>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</si>
  <si>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</si>
  <si>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</si>
  <si>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</si>
  <si>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</si>
  <si>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</si>
  <si>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</si>
  <si>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</si>
  <si>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</si>
  <si>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</si>
  <si>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</si>
  <si>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</si>
  <si>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</si>
  <si>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</si>
  <si>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</si>
  <si>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</si>
  <si>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</si>
  <si>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</si>
  <si>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</si>
  <si>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</si>
  <si>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</si>
  <si>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</si>
  <si>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</si>
  <si>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</si>
  <si>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</si>
  <si>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</si>
  <si>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</si>
  <si>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</si>
  <si>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</si>
  <si>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</si>
  <si>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</si>
  <si>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</si>
  <si>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</si>
  <si>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</si>
  <si>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</si>
  <si>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</si>
  <si>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</si>
  <si>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</si>
  <si>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</si>
  <si>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</si>
  <si>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</si>
  <si>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</si>
  <si>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</si>
  <si>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</si>
  <si>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</si>
  <si>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</si>
  <si>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</si>
  <si>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</si>
  <si>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</si>
  <si>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</si>
  <si>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</si>
  <si>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</si>
  <si>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</si>
  <si>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</si>
  <si>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</si>
  <si>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</si>
  <si>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</si>
  <si>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</si>
  <si>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</si>
  <si>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</si>
  <si>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</si>
  <si>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</si>
  <si>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</si>
  <si>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</si>
  <si>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</si>
  <si>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</si>
  <si>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</si>
  <si>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</si>
  <si>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</si>
  <si>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</si>
  <si>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</si>
  <si>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</si>
  <si>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</si>
  <si>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</si>
  <si>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</si>
  <si>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</si>
  <si>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</si>
  <si>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</si>
  <si>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</si>
  <si>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</si>
  <si>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</si>
  <si>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</si>
  <si>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</si>
  <si>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</si>
  <si>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</si>
  <si>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</si>
  <si>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</si>
  <si>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</si>
  <si>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</si>
  <si>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</si>
  <si>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</si>
  <si>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</si>
  <si>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</si>
  <si>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</si>
  <si>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</si>
  <si>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</si>
  <si>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</si>
  <si>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</si>
  <si>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</si>
  <si>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</si>
  <si>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</si>
  <si>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</si>
  <si>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</si>
  <si>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</si>
  <si>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</si>
  <si>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</si>
  <si>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</si>
  <si>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</si>
  <si>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</si>
  <si>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</si>
  <si>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</si>
  <si>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</si>
  <si>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</si>
  <si>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</si>
  <si>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</si>
  <si>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</si>
  <si>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</si>
  <si>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</si>
  <si>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</si>
  <si>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</si>
  <si>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</si>
  <si>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</si>
  <si>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</si>
  <si>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</si>
  <si>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</si>
  <si>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</si>
  <si>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</si>
  <si>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</si>
  <si>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</si>
  <si>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</si>
  <si>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</si>
  <si>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</si>
  <si>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</si>
  <si>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</si>
  <si>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</si>
  <si>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</si>
  <si>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</si>
  <si>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</si>
  <si>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</si>
  <si>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</si>
  <si>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</si>
  <si>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</si>
  <si>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</si>
  <si>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</si>
  <si>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</si>
  <si>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</si>
  <si>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</si>
  <si>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</si>
  <si>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</si>
  <si>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</si>
  <si>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</si>
  <si>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</si>
  <si>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</si>
  <si>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</si>
  <si>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</si>
  <si>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</si>
  <si>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</si>
  <si>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</si>
  <si>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</si>
  <si>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</si>
  <si>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</si>
  <si>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</si>
  <si>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</si>
  <si>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</si>
  <si>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</si>
  <si>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</si>
  <si>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</si>
  <si>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</si>
  <si>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</si>
  <si>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</si>
  <si>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</si>
  <si>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</si>
  <si>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</si>
  <si>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</si>
  <si>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</si>
  <si>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</si>
  <si>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</si>
  <si>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</si>
  <si>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</si>
  <si>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</si>
  <si>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</si>
  <si>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</si>
  <si>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</si>
  <si>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</si>
  <si>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</si>
  <si>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</si>
  <si>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</si>
  <si>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</si>
  <si>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</si>
  <si>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</si>
  <si>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</si>
  <si>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</si>
  <si>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</si>
  <si>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</si>
  <si>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</si>
  <si>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</si>
  <si>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</si>
  <si>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</si>
  <si>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</si>
  <si>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</si>
  <si>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</si>
  <si>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</si>
  <si>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</si>
  <si>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</si>
  <si>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</si>
  <si>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</si>
  <si>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</si>
  <si>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</si>
  <si>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</si>
  <si>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</si>
  <si>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</si>
  <si>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</si>
  <si>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</si>
  <si>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</si>
  <si>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</si>
  <si>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</si>
  <si>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</si>
  <si>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</si>
  <si>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</si>
  <si>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</si>
  <si>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</si>
  <si>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</si>
  <si>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</si>
  <si>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</si>
  <si>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</si>
  <si>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</si>
  <si>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</si>
  <si>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</si>
  <si>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</si>
  <si>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</si>
  <si>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</si>
  <si>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</si>
  <si>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</si>
  <si>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</si>
  <si>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</si>
  <si>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</si>
  <si>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</si>
  <si>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</si>
  <si>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</si>
  <si>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</si>
  <si>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</si>
  <si>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</si>
  <si>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</si>
  <si>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</si>
  <si>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</si>
  <si>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</si>
  <si>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</si>
  <si>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</si>
  <si>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</si>
  <si>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</si>
  <si>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</si>
  <si>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</si>
  <si>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</si>
  <si>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</si>
  <si>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</si>
  <si>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</si>
  <si>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</si>
  <si>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</si>
  <si>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</si>
  <si>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</si>
  <si>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</si>
  <si>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</si>
  <si>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</si>
  <si>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</si>
  <si>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</si>
  <si>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</si>
  <si>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</si>
  <si>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</si>
  <si>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</si>
  <si>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</si>
  <si>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</si>
  <si>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</si>
  <si>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</si>
  <si>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</si>
  <si>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</si>
  <si>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</si>
  <si>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</si>
  <si>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</si>
  <si>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</si>
  <si>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</si>
  <si>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</si>
  <si>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</si>
  <si>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</si>
  <si>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</si>
  <si>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</si>
  <si>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</si>
  <si>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</si>
  <si>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</si>
  <si>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</si>
  <si>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</si>
  <si>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</si>
  <si>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</si>
  <si>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</si>
  <si>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</si>
  <si>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</si>
  <si>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</si>
  <si>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</si>
  <si>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</si>
  <si>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</si>
  <si>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</si>
  <si>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</si>
  <si>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</si>
  <si>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</si>
  <si>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</si>
  <si>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</si>
  <si>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</si>
  <si>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</si>
  <si>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</si>
  <si>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</si>
  <si>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</si>
  <si>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</si>
  <si>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</si>
  <si>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</si>
  <si>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</si>
  <si>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</si>
  <si>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</si>
  <si>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</si>
  <si>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</si>
  <si>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</si>
  <si>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</si>
  <si>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</si>
  <si>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</si>
  <si>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</si>
  <si>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</si>
  <si>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</si>
  <si>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</si>
  <si>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</si>
  <si>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</si>
  <si>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</si>
  <si>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</si>
  <si>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</si>
  <si>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</si>
  <si>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</si>
  <si>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</si>
  <si>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</si>
  <si>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</si>
  <si>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</si>
  <si>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</si>
  <si>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</si>
  <si>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</si>
  <si>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</si>
  <si>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</si>
  <si>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</si>
  <si>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</si>
  <si>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</si>
  <si>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</si>
  <si>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</si>
  <si>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</si>
  <si>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</si>
  <si>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</si>
  <si>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</si>
  <si>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</si>
  <si>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</si>
  <si>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</si>
  <si>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</si>
  <si>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</si>
  <si>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</si>
  <si>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</si>
  <si>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</si>
  <si>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</si>
  <si>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</si>
  <si>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</si>
  <si>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</si>
  <si>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</si>
  <si>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</si>
  <si>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</si>
  <si>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</si>
  <si>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</si>
  <si>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</si>
  <si>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</si>
  <si>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</si>
  <si>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</si>
  <si>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</si>
  <si>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</si>
  <si>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</si>
  <si>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</si>
  <si>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</si>
  <si>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</si>
  <si>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</si>
  <si>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</si>
  <si>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</si>
  <si>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</si>
  <si>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</si>
  <si>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</si>
  <si>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</si>
  <si>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</si>
  <si>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</si>
  <si>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</si>
  <si>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</si>
  <si>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</si>
  <si>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</si>
  <si>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</si>
  <si>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</si>
  <si>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</si>
  <si>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</si>
  <si>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</si>
  <si>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</si>
  <si>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</si>
  <si>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</si>
  <si>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</si>
  <si>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</si>
  <si>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</si>
  <si>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</si>
  <si>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</si>
  <si>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</si>
  <si>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</si>
  <si>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</si>
  <si>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</si>
  <si>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</si>
  <si>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</si>
  <si>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</si>
  <si>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</si>
  <si>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</si>
  <si>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</si>
  <si>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</si>
  <si>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</si>
  <si>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</si>
  <si>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</si>
  <si>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</si>
  <si>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</si>
  <si>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</si>
  <si>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</si>
  <si>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</si>
  <si>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</si>
  <si>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</si>
  <si>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</si>
  <si>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</si>
  <si>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</si>
  <si>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</si>
  <si>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</si>
  <si>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</si>
  <si>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</si>
  <si>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</si>
  <si>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</si>
  <si>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</si>
  <si>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</si>
  <si>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</si>
  <si>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</si>
  <si>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</si>
  <si>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</si>
  <si>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</si>
  <si>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</si>
  <si>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</si>
  <si>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</si>
  <si>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</si>
  <si>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</si>
  <si>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</si>
  <si>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</si>
  <si>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</si>
  <si>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</si>
  <si>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</si>
  <si>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</si>
  <si>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</si>
  <si>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</si>
  <si>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</si>
  <si>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</si>
  <si>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</si>
  <si>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</si>
  <si>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</si>
  <si>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</si>
  <si>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</si>
  <si>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</si>
  <si>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</si>
  <si>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</si>
  <si>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</si>
  <si>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</si>
  <si>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</si>
  <si>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</si>
  <si>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</si>
  <si>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</si>
  <si>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</si>
  <si>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</si>
  <si>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</si>
  <si>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</si>
  <si>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</si>
  <si>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</si>
  <si>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</si>
  <si>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</si>
  <si>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</si>
  <si>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</si>
  <si>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</si>
  <si>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</si>
  <si>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</si>
  <si>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</si>
  <si>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</si>
  <si>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</si>
  <si>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</si>
  <si>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</si>
  <si>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</si>
  <si>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</si>
  <si>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</si>
  <si>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</si>
  <si>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</si>
  <si>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</si>
  <si>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</si>
  <si>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</si>
  <si>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</si>
  <si>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</si>
  <si>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</si>
  <si>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</si>
  <si>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</si>
  <si>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</si>
  <si>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</si>
  <si>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</si>
  <si>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</si>
  <si>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</si>
  <si>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</si>
  <si>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</si>
  <si>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</si>
  <si>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</si>
  <si>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</si>
  <si>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</si>
  <si>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</si>
  <si>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</si>
  <si>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</si>
  <si>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</si>
  <si>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</si>
  <si>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</si>
  <si>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</si>
  <si>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</si>
  <si>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</si>
  <si>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</si>
  <si>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</si>
  <si>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</si>
  <si>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</si>
  <si>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</si>
  <si>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</si>
  <si>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</si>
  <si>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</si>
  <si>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</si>
  <si>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</si>
  <si>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</si>
  <si>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</si>
  <si>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</si>
  <si>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</si>
  <si>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</si>
  <si>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</si>
  <si>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</si>
  <si>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</si>
  <si>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</si>
  <si>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</si>
  <si>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</si>
  <si>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</si>
  <si>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</si>
  <si>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</si>
  <si>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</si>
  <si>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</si>
  <si>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</si>
  <si>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</si>
  <si>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</si>
  <si>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</si>
  <si>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</si>
  <si>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</si>
  <si>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</si>
  <si>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</si>
  <si>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</si>
  <si>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</si>
  <si>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</si>
  <si>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</si>
  <si>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</si>
  <si>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</si>
  <si>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</si>
  <si>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</si>
  <si>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</si>
  <si>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</si>
  <si>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</si>
  <si>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</si>
  <si>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</si>
  <si>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</si>
  <si>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</si>
  <si>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</si>
  <si>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</si>
  <si>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</si>
  <si>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</si>
  <si>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</si>
  <si>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</si>
  <si>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</si>
  <si>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</si>
  <si>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</si>
  <si>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</si>
  <si>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</si>
  <si>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</si>
  <si>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</si>
  <si>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</si>
  <si>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</si>
  <si>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</si>
  <si>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</si>
  <si>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</si>
  <si>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</si>
  <si>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</si>
  <si>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</si>
  <si>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</si>
  <si>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</si>
  <si>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</si>
  <si>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</si>
  <si>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</si>
  <si>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</si>
  <si>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</si>
  <si>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</si>
  <si>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</si>
  <si>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</si>
  <si>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</si>
  <si>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</si>
  <si>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</si>
  <si>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</si>
  <si>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</si>
  <si>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</si>
  <si>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</si>
  <si>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</si>
  <si>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</si>
  <si>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</si>
  <si>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</si>
  <si>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</si>
  <si>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</si>
  <si>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</si>
  <si>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</si>
  <si>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</si>
  <si>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</si>
  <si>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</si>
  <si>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</si>
  <si>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</si>
  <si>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</si>
  <si>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</si>
  <si>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</si>
  <si>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</si>
  <si>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</si>
  <si>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</si>
  <si>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</si>
  <si>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</si>
  <si>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</si>
  <si>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</si>
  <si>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</si>
  <si>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</si>
  <si>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</si>
  <si>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</si>
  <si>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</si>
  <si>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</si>
  <si>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</si>
  <si>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</si>
  <si>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</si>
  <si>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</si>
  <si>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</si>
  <si>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</si>
  <si>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</si>
  <si>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</si>
  <si>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</si>
  <si>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</si>
  <si>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</si>
  <si>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</si>
  <si>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</si>
  <si>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</si>
  <si>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</si>
  <si>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</si>
  <si>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</si>
  <si>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</si>
  <si>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</si>
  <si>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</si>
  <si>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</si>
  <si>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</si>
  <si>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</si>
  <si>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</si>
  <si>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</si>
  <si>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</si>
  <si>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</si>
  <si>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</si>
  <si>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</si>
  <si>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</si>
  <si>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</si>
  <si>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</si>
  <si>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</si>
  <si>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</si>
  <si>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</si>
  <si>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</si>
  <si>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</si>
  <si>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</si>
  <si>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</si>
  <si>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</si>
  <si>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</si>
  <si>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</si>
  <si>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</si>
  <si>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</si>
  <si>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</si>
  <si>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</si>
  <si>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</si>
  <si>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</si>
  <si>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</si>
  <si>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</si>
  <si>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</si>
  <si>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</si>
  <si>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</si>
  <si>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</si>
  <si>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</si>
  <si>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</si>
  <si>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</si>
  <si>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</si>
  <si>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</si>
  <si>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</si>
  <si>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</si>
  <si>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</si>
  <si>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</si>
  <si>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</si>
  <si>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</si>
  <si>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</si>
  <si>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</si>
  <si>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</si>
  <si>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</si>
  <si>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</si>
  <si>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</si>
  <si>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</si>
  <si>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</si>
  <si>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</si>
  <si>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</si>
  <si>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</si>
  <si>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</si>
  <si>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</si>
  <si>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</si>
  <si>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</si>
  <si>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</si>
  <si>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</si>
  <si>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</si>
  <si>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</si>
  <si>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</si>
  <si>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</si>
  <si>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</si>
  <si>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</si>
  <si>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</si>
  <si>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</si>
  <si>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</si>
  <si>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</si>
  <si>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</si>
  <si>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</si>
  <si>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</si>
  <si>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</si>
  <si>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</si>
  <si>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</si>
  <si>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</si>
  <si>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</si>
  <si>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</si>
  <si>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</si>
  <si>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</si>
  <si>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</si>
  <si>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</si>
  <si>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</si>
  <si>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</si>
  <si>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</si>
  <si>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</si>
  <si>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</si>
  <si>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</si>
  <si>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</si>
  <si>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</si>
  <si>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</si>
  <si>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</si>
  <si>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</si>
  <si>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</si>
  <si>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</si>
  <si>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</si>
  <si>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</si>
  <si>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</si>
  <si>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</si>
  <si>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</si>
  <si>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</si>
  <si>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</si>
  <si>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</si>
  <si>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</si>
  <si>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</si>
  <si>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</si>
  <si>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</si>
  <si>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</si>
  <si>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</si>
  <si>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</si>
  <si>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</si>
  <si>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</si>
  <si>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</si>
  <si>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</si>
  <si>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</si>
  <si>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</si>
  <si>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</si>
  <si>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</si>
  <si>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</si>
  <si>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</si>
  <si>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</si>
  <si>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</si>
  <si>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</si>
  <si>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</si>
  <si>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</si>
  <si>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</si>
  <si>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</si>
  <si>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</si>
  <si>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</si>
  <si>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</si>
  <si>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</si>
  <si>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</si>
  <si>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</si>
  <si>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</si>
  <si>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</si>
  <si>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</si>
  <si>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</si>
  <si>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</si>
  <si>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</si>
  <si>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</si>
  <si>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</si>
  <si>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</si>
  <si>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</si>
  <si>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</si>
  <si>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</si>
  <si>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</si>
  <si>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</si>
  <si>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</si>
  <si>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</si>
  <si>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</si>
  <si>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</si>
  <si>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</si>
  <si>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</si>
  <si>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</si>
  <si>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</si>
  <si>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</si>
  <si>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</si>
  <si>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</si>
  <si>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</si>
  <si>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</si>
  <si>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</si>
  <si>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</si>
  <si>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</si>
  <si>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</si>
  <si>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</si>
  <si>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</si>
  <si>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</si>
  <si>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</si>
  <si>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</si>
  <si>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</si>
  <si>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</si>
  <si>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</si>
  <si>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</si>
  <si>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</si>
  <si>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</si>
  <si>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</si>
  <si>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</si>
  <si>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</si>
  <si>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</si>
  <si>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</si>
  <si>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</si>
  <si>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</si>
  <si>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</si>
  <si>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</si>
  <si>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</si>
  <si>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</si>
  <si>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</si>
  <si>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</si>
  <si>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</si>
  <si>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</si>
  <si>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</si>
  <si>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</si>
  <si>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</si>
  <si>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</si>
  <si>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</si>
  <si>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</si>
  <si>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</si>
  <si>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</si>
  <si>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</si>
  <si>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</si>
  <si>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</si>
  <si>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</si>
  <si>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</si>
  <si>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</si>
  <si>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</si>
  <si>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</si>
  <si>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</si>
  <si>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</si>
  <si>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</si>
  <si>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</si>
  <si>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</si>
  <si>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</si>
  <si>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</si>
  <si>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</si>
  <si>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</si>
  <si>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</si>
  <si>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</si>
  <si>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</si>
  <si>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</si>
  <si>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</si>
  <si>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</si>
  <si>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</si>
  <si>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</si>
  <si>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</si>
  <si>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</si>
  <si>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</si>
  <si>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</si>
  <si>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</si>
  <si>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</si>
  <si>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</si>
  <si>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</si>
  <si>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</si>
  <si>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</si>
  <si>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</si>
  <si>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</si>
  <si>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</si>
  <si>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</si>
  <si>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</si>
  <si>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</si>
  <si>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</si>
  <si>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</si>
  <si>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</si>
  <si>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</si>
  <si>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</si>
  <si>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</si>
  <si>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</si>
  <si>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</si>
  <si>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</si>
  <si>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</si>
  <si>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</si>
  <si>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</si>
  <si>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</si>
  <si>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</si>
  <si>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</si>
  <si>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</si>
  <si>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</si>
  <si>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</si>
  <si>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</si>
  <si>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</si>
  <si>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</si>
  <si>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</si>
  <si>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</si>
  <si>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</si>
  <si>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</si>
  <si>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</si>
  <si>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</si>
  <si>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</si>
  <si>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</si>
  <si>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</si>
  <si>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</si>
  <si>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</si>
  <si>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</si>
  <si>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</si>
  <si>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</si>
  <si>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</si>
  <si>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</si>
  <si>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</si>
  <si>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</si>
  <si>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</si>
  <si>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</si>
  <si>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</si>
  <si>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</si>
  <si>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</si>
  <si>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</si>
  <si>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</si>
  <si>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</si>
  <si>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</si>
  <si>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</si>
  <si>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</si>
  <si>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</si>
  <si>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</si>
  <si>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</si>
  <si>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</si>
  <si>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</si>
  <si>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</si>
  <si>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</si>
  <si>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</si>
  <si>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</si>
  <si>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</si>
  <si>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</si>
  <si>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</si>
  <si>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</si>
  <si>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</si>
  <si>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</si>
  <si>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</si>
  <si>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</si>
  <si>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</si>
  <si>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</si>
  <si>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</si>
  <si>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</si>
  <si>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</si>
  <si>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</si>
  <si>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</si>
  <si>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</si>
  <si>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</si>
  <si>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</si>
  <si>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</si>
  <si>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</si>
  <si>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</si>
  <si>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</si>
  <si>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</si>
  <si>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</si>
  <si>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</si>
  <si>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</si>
  <si>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</si>
  <si>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</si>
  <si>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</si>
  <si>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</si>
  <si>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</si>
  <si>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</si>
  <si>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</si>
  <si>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</si>
  <si>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</si>
  <si>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</si>
  <si>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</si>
  <si>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</si>
  <si>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</si>
  <si>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</si>
  <si>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</si>
  <si>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</si>
  <si>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</si>
  <si>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</si>
  <si>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</si>
  <si>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</si>
  <si>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</si>
  <si>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</si>
  <si>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</si>
  <si>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</si>
  <si>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</si>
  <si>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</si>
  <si>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</si>
  <si>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</si>
  <si>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</si>
  <si>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</si>
  <si>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</si>
  <si>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</si>
  <si>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</si>
  <si>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</si>
  <si>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</si>
  <si>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</si>
  <si>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</si>
  <si>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</si>
  <si>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</si>
  <si>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</si>
  <si>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</si>
  <si>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</si>
  <si>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</si>
  <si>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</si>
  <si>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</si>
  <si>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</si>
  <si>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</si>
  <si>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</si>
  <si>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</si>
  <si>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</si>
  <si>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</si>
  <si>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</si>
  <si>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</si>
  <si>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</si>
  <si>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</si>
  <si>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</si>
  <si>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</si>
  <si>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</si>
  <si>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</si>
  <si>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</si>
  <si>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</si>
  <si>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</si>
  <si>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</si>
  <si>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</si>
  <si>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</si>
  <si>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</si>
  <si>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</si>
  <si>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</si>
  <si>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</si>
  <si>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</si>
  <si>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</si>
  <si>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</si>
  <si>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</si>
  <si>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</si>
  <si>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</si>
  <si>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</si>
  <si>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</si>
  <si>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</si>
  <si>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</si>
  <si>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</si>
  <si>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</si>
  <si>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</si>
  <si>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</si>
  <si>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</si>
  <si>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</si>
  <si>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</si>
  <si>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</si>
  <si>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</si>
  <si>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</si>
  <si>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</si>
  <si>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</si>
  <si>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</si>
  <si>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</si>
  <si>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</si>
  <si>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</si>
  <si>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</si>
  <si>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</si>
  <si>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</si>
  <si>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</si>
  <si>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</si>
  <si>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</si>
  <si>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</si>
  <si>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</si>
  <si>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</si>
  <si>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</si>
  <si>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</si>
  <si>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</si>
  <si>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</si>
  <si>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</si>
  <si>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</si>
  <si>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</si>
  <si>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</si>
  <si>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</si>
  <si>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</si>
  <si>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</si>
  <si>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</si>
  <si>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</si>
  <si>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</si>
  <si>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</si>
  <si>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</si>
  <si>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</si>
  <si>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</si>
  <si>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</si>
  <si>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</si>
  <si>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</si>
  <si>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</si>
  <si>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</si>
  <si>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</si>
  <si>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</si>
  <si>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</si>
  <si>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</si>
  <si>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</si>
  <si>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</si>
  <si>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</si>
  <si>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</si>
  <si>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</si>
  <si>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</si>
  <si>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</si>
  <si>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</si>
  <si>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</si>
  <si>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</si>
  <si>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</si>
  <si>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</si>
  <si>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</si>
  <si>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</si>
  <si>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</si>
  <si>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</si>
  <si>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</si>
  <si>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</si>
  <si>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</si>
  <si>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</si>
  <si>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</si>
  <si>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</si>
  <si>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</si>
  <si>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</si>
  <si>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</si>
  <si>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</si>
  <si>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</si>
  <si>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</si>
  <si>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</si>
  <si>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</si>
  <si>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</si>
  <si>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</si>
  <si>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</si>
  <si>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</si>
  <si>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</si>
  <si>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</si>
  <si>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</si>
  <si>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</si>
  <si>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</si>
  <si>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</si>
  <si>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</si>
  <si>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</si>
  <si>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</si>
  <si>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</si>
  <si>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</si>
  <si>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</si>
  <si>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</si>
  <si>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</si>
  <si>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</si>
  <si>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</si>
  <si>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</si>
  <si>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</si>
  <si>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</si>
  <si>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</si>
  <si>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</si>
  <si>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</si>
  <si>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</si>
  <si>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</si>
  <si>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</si>
  <si>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</si>
  <si>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</si>
  <si>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</si>
  <si>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</si>
  <si>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</si>
  <si>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</si>
  <si>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</si>
  <si>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</si>
  <si>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</si>
  <si>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</si>
  <si>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</si>
  <si>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</si>
  <si>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</si>
  <si>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</si>
  <si>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</si>
  <si>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</si>
  <si>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</si>
  <si>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</si>
  <si>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</si>
  <si>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</si>
  <si>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</si>
  <si>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</si>
  <si>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</si>
  <si>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</si>
  <si>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</si>
  <si>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</si>
  <si>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</si>
  <si>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</si>
  <si>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</si>
  <si>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</si>
  <si>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</si>
  <si>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</si>
  <si>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</si>
  <si>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</si>
  <si>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</si>
  <si>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</si>
  <si>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</si>
  <si>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</si>
  <si>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</si>
  <si>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</si>
  <si>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</si>
  <si>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</si>
  <si>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</si>
  <si>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</si>
  <si>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</si>
  <si>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</si>
  <si>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</si>
  <si>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</si>
  <si>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</si>
  <si>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</si>
  <si>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</si>
  <si>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</si>
  <si>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</si>
  <si>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</si>
  <si>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</si>
  <si>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</si>
  <si>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</si>
  <si>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</si>
  <si>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</si>
  <si>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</si>
  <si>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</si>
  <si>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</si>
  <si>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</si>
  <si>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</si>
  <si>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</si>
  <si>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</si>
  <si>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</si>
  <si>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</si>
  <si>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</si>
  <si>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</si>
  <si>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</si>
  <si>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</si>
  <si>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</si>
  <si>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</si>
  <si>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</si>
  <si>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</si>
  <si>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</si>
  <si>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</si>
  <si>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</si>
  <si>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</si>
  <si>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</si>
  <si>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</si>
  <si>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</si>
  <si>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</si>
  <si>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</si>
  <si>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</si>
  <si>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</si>
  <si>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</si>
  <si>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</si>
  <si>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</si>
  <si>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</si>
  <si>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</si>
  <si>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</si>
  <si>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</si>
  <si>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</si>
  <si>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</si>
  <si>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</si>
  <si>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</si>
  <si>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</si>
  <si>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</si>
  <si>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</si>
  <si>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</si>
  <si>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</si>
  <si>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</si>
  <si>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</si>
  <si>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</si>
  <si>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</si>
  <si>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</si>
  <si>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</si>
  <si>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</si>
  <si>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</si>
  <si>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</si>
  <si>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</si>
  <si>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</si>
  <si>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</si>
  <si>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</si>
  <si>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</si>
  <si>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</si>
  <si>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</si>
  <si>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</si>
  <si>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</si>
  <si>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</si>
  <si>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</si>
  <si>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</si>
  <si>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</si>
  <si>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</si>
  <si>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</si>
  <si>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</si>
  <si>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</si>
  <si>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</si>
  <si>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</si>
  <si>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</si>
  <si>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</si>
  <si>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</si>
  <si>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</si>
  <si>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</si>
  <si>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</si>
  <si>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</si>
  <si>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</si>
  <si>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</si>
  <si>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</si>
  <si>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</si>
  <si>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</si>
  <si>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</si>
  <si>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</si>
  <si>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</si>
  <si>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</si>
  <si>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</si>
  <si>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</si>
  <si>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</si>
  <si>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</si>
  <si>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</si>
  <si>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</si>
  <si>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</si>
  <si>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</si>
  <si>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</si>
  <si>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</si>
  <si>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</si>
  <si>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</si>
  <si>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</si>
  <si>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</si>
  <si>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</si>
  <si>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</si>
  <si>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</si>
  <si>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</si>
  <si>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</si>
  <si>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</si>
  <si>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</si>
  <si>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</si>
  <si>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</si>
  <si>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</si>
  <si>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</si>
  <si>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</si>
  <si>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</si>
  <si>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</si>
  <si>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</si>
  <si>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</si>
  <si>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</si>
  <si>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</si>
  <si>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</si>
  <si>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</si>
  <si>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</si>
  <si>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</si>
  <si>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</si>
  <si>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</si>
  <si>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</si>
  <si>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</si>
  <si>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</si>
  <si>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</si>
  <si>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</si>
  <si>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</si>
  <si>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</si>
  <si>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</si>
  <si>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</si>
  <si>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</si>
  <si>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</si>
  <si>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</si>
  <si>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</si>
  <si>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</si>
  <si>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</si>
  <si>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</si>
  <si>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</si>
  <si>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</si>
  <si>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</si>
  <si>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</si>
  <si>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</si>
  <si>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</si>
  <si>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</si>
  <si>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</si>
  <si>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</si>
  <si>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</si>
  <si>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</si>
  <si>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</si>
  <si>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</si>
  <si>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</si>
  <si>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</si>
  <si>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</si>
  <si>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</si>
  <si>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</si>
  <si>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</si>
  <si>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</si>
  <si>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</si>
  <si>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</si>
  <si>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</si>
  <si>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</si>
  <si>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</si>
  <si>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</si>
  <si>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</si>
  <si>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</si>
  <si>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</si>
  <si>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</si>
  <si>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</si>
  <si>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</si>
  <si>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</si>
  <si>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</si>
  <si>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</si>
  <si>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</si>
  <si>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</si>
  <si>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</si>
  <si>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</si>
  <si>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</si>
  <si>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</si>
  <si>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</si>
  <si>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</si>
  <si>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</si>
  <si>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</si>
  <si>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</si>
  <si>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</si>
  <si>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</si>
  <si>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</si>
  <si>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</si>
  <si>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</si>
  <si>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</si>
  <si>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</si>
  <si>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</si>
  <si>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</si>
  <si>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</si>
  <si>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</si>
  <si>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</si>
  <si>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</si>
  <si>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</si>
  <si>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</si>
  <si>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</si>
  <si>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</si>
  <si>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</si>
  <si>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</si>
  <si>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</si>
  <si>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</si>
  <si>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</si>
  <si>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</si>
  <si>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</si>
  <si>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</si>
  <si>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</si>
  <si>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</si>
  <si>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</si>
  <si>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</si>
  <si>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</si>
  <si>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</si>
  <si>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</si>
  <si>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</si>
  <si>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</si>
  <si>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</si>
  <si>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</si>
  <si>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</si>
  <si>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</si>
  <si>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</si>
  <si>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</si>
  <si>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</si>
  <si>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</si>
  <si>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</si>
  <si>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</si>
  <si>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</si>
  <si>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</si>
  <si>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</si>
  <si>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</si>
  <si>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</si>
  <si>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</si>
  <si>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</si>
  <si>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</si>
  <si>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</si>
  <si>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</si>
  <si>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</si>
  <si>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</si>
  <si>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</si>
  <si>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</si>
  <si>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</si>
  <si>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</si>
  <si>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</si>
  <si>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</si>
  <si>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</si>
  <si>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</si>
  <si>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</si>
  <si>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</si>
  <si>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</si>
  <si>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</si>
  <si>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</si>
  <si>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</si>
  <si>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</si>
  <si>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</si>
  <si>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</si>
  <si>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</si>
  <si>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</si>
  <si>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</si>
  <si>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</si>
  <si>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</si>
  <si>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</si>
  <si>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</si>
  <si>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</si>
  <si>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</si>
  <si>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</si>
  <si>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</si>
  <si>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</si>
  <si>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</si>
  <si>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</si>
  <si>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</si>
  <si>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</si>
  <si>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</si>
  <si>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</si>
  <si>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</si>
  <si>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</si>
  <si>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</si>
  <si>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</si>
  <si>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</si>
  <si>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</si>
  <si>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</si>
  <si>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</si>
  <si>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</si>
  <si>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</si>
  <si>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</si>
  <si>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</si>
  <si>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</si>
  <si>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</si>
  <si>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</si>
  <si>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</si>
  <si>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</si>
  <si>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</si>
  <si>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</si>
  <si>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</si>
  <si>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</si>
  <si>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</si>
  <si>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</si>
  <si>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</si>
  <si>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</si>
  <si>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</si>
  <si>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</si>
  <si>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</si>
  <si>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</si>
  <si>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</si>
  <si>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</si>
  <si>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</si>
  <si>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</si>
  <si>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</si>
  <si>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</si>
  <si>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</si>
  <si>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</si>
  <si>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</si>
  <si>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</si>
  <si>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</si>
  <si>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</si>
  <si>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</si>
  <si>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</si>
  <si>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</si>
  <si>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</si>
  <si>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</si>
  <si>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</si>
  <si>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</si>
  <si>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</si>
  <si>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</si>
  <si>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</si>
  <si>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</si>
  <si>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</si>
  <si>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</si>
  <si>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</si>
  <si>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</si>
  <si>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</si>
  <si>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</si>
  <si>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</si>
  <si>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</si>
  <si>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</si>
  <si>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</si>
  <si>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</si>
  <si>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</si>
  <si>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</si>
  <si>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</si>
  <si>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</si>
  <si>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</si>
  <si>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</si>
  <si>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</si>
  <si>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</si>
  <si>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</si>
  <si>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</si>
  <si>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</si>
  <si>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</si>
  <si>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</si>
  <si>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</si>
  <si>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</si>
  <si>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</si>
  <si>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</si>
  <si>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</si>
  <si>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</si>
  <si>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</si>
  <si>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</si>
  <si>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</si>
  <si>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</si>
  <si>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</si>
  <si>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</si>
  <si>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</si>
  <si>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</si>
  <si>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</si>
  <si>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</si>
  <si>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</si>
  <si>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</si>
  <si>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</si>
  <si>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</si>
  <si>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</si>
  <si>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</si>
  <si>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</si>
  <si>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</si>
  <si>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</si>
  <si>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</si>
  <si>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</si>
  <si>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</si>
  <si>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</si>
  <si>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</si>
  <si>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</si>
  <si>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</si>
  <si>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</si>
  <si>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</si>
  <si>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</si>
  <si>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</si>
  <si>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</si>
  <si>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</si>
  <si>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</si>
  <si>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</si>
  <si>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</si>
  <si>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</si>
  <si>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</si>
  <si>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</si>
  <si>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</si>
  <si>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</si>
  <si>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</si>
  <si>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</si>
  <si>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</si>
  <si>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</si>
  <si>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</si>
  <si>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</si>
  <si>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</si>
  <si>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</si>
  <si>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</si>
  <si>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</si>
  <si>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</si>
  <si>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</si>
  <si>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</si>
  <si>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</si>
  <si>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</si>
  <si>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</si>
  <si>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</si>
  <si>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</si>
  <si>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</si>
  <si>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</si>
  <si>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</si>
  <si>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</si>
  <si>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</si>
  <si>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</si>
  <si>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</si>
  <si>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</si>
  <si>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</si>
  <si>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</si>
  <si>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</si>
  <si>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</si>
  <si>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</si>
  <si>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</si>
  <si>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</si>
  <si>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</si>
  <si>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</si>
  <si>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</si>
  <si>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</si>
  <si>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</si>
  <si>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</si>
  <si>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</si>
  <si>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</si>
  <si>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</si>
  <si>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</si>
  <si>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</si>
  <si>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</si>
  <si>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</si>
  <si>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</si>
  <si>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</si>
  <si>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</si>
  <si>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</si>
  <si>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</si>
  <si>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</si>
  <si>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</si>
  <si>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</si>
  <si>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</si>
  <si>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</si>
  <si>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</si>
  <si>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</si>
  <si>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</si>
  <si>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</si>
  <si>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</si>
  <si>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</si>
  <si>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</si>
  <si>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</si>
  <si>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</si>
  <si>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</si>
  <si>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</si>
  <si>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</si>
  <si>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</si>
  <si>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</si>
  <si>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</si>
  <si>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</si>
  <si>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</si>
  <si>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</si>
  <si>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</si>
  <si>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</si>
  <si>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</si>
  <si>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</si>
  <si>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</si>
  <si>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</si>
  <si>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</si>
  <si>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</si>
  <si>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</si>
  <si>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</si>
  <si>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</si>
  <si>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</si>
  <si>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</si>
  <si>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</si>
  <si>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</si>
  <si>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</si>
  <si>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</si>
  <si>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</si>
  <si>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</si>
  <si>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</si>
  <si>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</si>
  <si>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</si>
  <si>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</si>
  <si>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</si>
  <si>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</si>
  <si>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</si>
  <si>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</si>
  <si>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</si>
  <si>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</si>
  <si>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</si>
  <si>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</si>
  <si>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</si>
  <si>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</si>
  <si>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</si>
  <si>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</si>
  <si>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</si>
  <si>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</si>
  <si>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</si>
  <si>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</si>
  <si>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</si>
  <si>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</si>
  <si>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</si>
  <si>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</si>
  <si>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</si>
  <si>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</si>
  <si>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</si>
  <si>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</si>
  <si>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</si>
  <si>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</si>
  <si>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</si>
  <si>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</si>
  <si>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</si>
  <si>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</si>
  <si>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</si>
  <si>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</si>
  <si>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</si>
  <si>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</si>
  <si>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</si>
  <si>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</si>
  <si>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</si>
  <si>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</si>
  <si>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</si>
  <si>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</si>
  <si>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</si>
  <si>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</si>
  <si>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</si>
  <si>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</si>
  <si>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</si>
  <si>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</si>
  <si>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</si>
  <si>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</si>
  <si>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</si>
  <si>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</si>
  <si>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</si>
  <si>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</si>
  <si>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</si>
  <si>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</si>
  <si>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</si>
  <si>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</si>
  <si>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</si>
  <si>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</si>
  <si>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</si>
  <si>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</si>
  <si>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</si>
  <si>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</si>
  <si>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</si>
  <si>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</si>
  <si>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</si>
  <si>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</si>
  <si>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</si>
  <si>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</si>
  <si>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</si>
  <si>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</si>
  <si>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</si>
  <si>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</si>
  <si>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</si>
  <si>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</si>
  <si>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</si>
  <si>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</si>
  <si>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</si>
  <si>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</si>
  <si>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</si>
  <si>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</si>
  <si>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</si>
  <si>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</si>
  <si>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</si>
  <si>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</si>
  <si>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</si>
  <si>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</si>
  <si>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</si>
  <si>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</si>
  <si>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</si>
  <si>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</si>
  <si>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</si>
  <si>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</si>
  <si>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</si>
  <si>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</si>
  <si>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</si>
  <si>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</si>
  <si>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</si>
  <si>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</si>
  <si>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</si>
  <si>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</si>
  <si>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</si>
  <si>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</si>
  <si>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</si>
  <si>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</si>
  <si>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</si>
  <si>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</si>
  <si>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</si>
  <si>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</si>
  <si>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</si>
  <si>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</si>
  <si>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</si>
  <si>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</si>
  <si>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</si>
  <si>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</si>
  <si>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</si>
  <si>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</si>
  <si>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</si>
  <si>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</si>
  <si>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</si>
  <si>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</si>
  <si>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</si>
  <si>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</si>
  <si>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</si>
  <si>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</si>
  <si>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</si>
  <si>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</si>
  <si>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</si>
  <si>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</si>
  <si>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</si>
  <si>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</si>
  <si>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</si>
  <si>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</si>
  <si>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</si>
  <si>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</si>
  <si>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</si>
  <si>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</si>
  <si>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</si>
  <si>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</si>
  <si>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</si>
  <si>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</si>
  <si>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</si>
  <si>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</si>
  <si>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</si>
  <si>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</si>
  <si>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</si>
  <si>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</si>
  <si>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</si>
  <si>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</si>
  <si>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</si>
  <si>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</si>
  <si>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</si>
  <si>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</si>
  <si>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</si>
  <si>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</si>
  <si>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</si>
  <si>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</si>
  <si>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</si>
  <si>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</si>
  <si>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</si>
  <si>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</si>
  <si>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</si>
  <si>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</si>
  <si>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</si>
  <si>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</si>
  <si>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</si>
  <si>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</si>
  <si>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</si>
  <si>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</si>
  <si>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</si>
  <si>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</si>
  <si>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</si>
  <si>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</si>
  <si>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</si>
  <si>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</si>
  <si>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</si>
  <si>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</si>
  <si>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</si>
  <si>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</si>
  <si>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</si>
  <si>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</si>
  <si>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</si>
  <si>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</si>
  <si>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</si>
  <si>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</si>
  <si>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</si>
  <si>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</si>
  <si>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</si>
  <si>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</si>
  <si>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</si>
  <si>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</si>
  <si>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</si>
  <si>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</si>
  <si>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</si>
  <si>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</si>
  <si>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</si>
  <si>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</si>
  <si>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</si>
  <si>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</si>
  <si>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</si>
  <si>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</si>
  <si>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</si>
  <si>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</si>
  <si>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</si>
  <si>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</si>
  <si>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</si>
  <si>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</si>
  <si>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</si>
  <si>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</si>
  <si>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</si>
  <si>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</si>
  <si>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</si>
  <si>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</si>
  <si>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</si>
  <si>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</si>
  <si>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</si>
  <si>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</si>
  <si>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</si>
  <si>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</si>
  <si>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</si>
  <si>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</si>
  <si>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</si>
  <si>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</si>
  <si>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</si>
  <si>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</si>
  <si>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</si>
  <si>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</si>
  <si>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</si>
  <si>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</si>
  <si>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</si>
  <si>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</si>
  <si>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</si>
  <si>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</si>
  <si>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</si>
  <si>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</si>
  <si>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</si>
  <si>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</si>
  <si>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</si>
  <si>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</si>
  <si>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</si>
  <si>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</si>
  <si>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</si>
  <si>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</si>
  <si>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</si>
  <si>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</si>
  <si>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</si>
  <si>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</si>
  <si>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</si>
  <si>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</si>
  <si>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</si>
  <si>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</si>
  <si>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</si>
  <si>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</si>
  <si>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</si>
  <si>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</si>
  <si>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</si>
  <si>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</si>
  <si>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</si>
  <si>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</si>
  <si>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</si>
  <si>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</si>
  <si>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</si>
  <si>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</si>
  <si>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</si>
  <si>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</si>
  <si>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</si>
  <si>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</si>
  <si>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</si>
  <si>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</si>
  <si>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</si>
  <si>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</si>
  <si>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</si>
  <si>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</si>
  <si>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</si>
  <si>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</si>
  <si>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</si>
  <si>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</si>
  <si>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</si>
  <si>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</si>
  <si>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</si>
  <si>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</si>
  <si>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</si>
  <si>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</si>
  <si>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</si>
  <si>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</si>
  <si>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</si>
  <si>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</si>
  <si>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</si>
  <si>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</si>
  <si>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</si>
  <si>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</si>
  <si>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</si>
  <si>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</si>
  <si>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</si>
  <si>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</si>
  <si>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</si>
  <si>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</si>
  <si>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</si>
  <si>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</si>
  <si>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</si>
  <si>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</si>
  <si>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</si>
  <si>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</si>
  <si>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</si>
  <si>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</si>
  <si>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</si>
  <si>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</si>
  <si>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</si>
  <si>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</si>
  <si>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</si>
  <si>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</si>
  <si>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</si>
  <si>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</si>
  <si>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</si>
  <si>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</si>
  <si>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</si>
  <si>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</si>
  <si>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</si>
  <si>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</si>
  <si>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</si>
  <si>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</si>
  <si>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</si>
  <si>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</si>
  <si>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</si>
  <si>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</si>
  <si>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</si>
  <si>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</si>
  <si>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</si>
  <si>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</si>
  <si>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</si>
  <si>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</si>
  <si>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</si>
  <si>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</si>
  <si>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</si>
  <si>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</si>
  <si>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</si>
  <si>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</si>
  <si>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</si>
  <si>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</si>
  <si>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</si>
  <si>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</si>
  <si>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</si>
  <si>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</si>
  <si>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</si>
  <si>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</si>
  <si>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</si>
  <si>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</si>
  <si>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</si>
  <si>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</si>
  <si>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</si>
  <si>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</si>
  <si>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</si>
  <si>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</si>
  <si>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</si>
  <si>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</si>
  <si>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</si>
  <si>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</si>
  <si>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</si>
  <si>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</si>
  <si>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</si>
  <si>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</si>
  <si>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</si>
  <si>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</si>
  <si>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</si>
  <si>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</si>
  <si>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</si>
  <si>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</si>
  <si>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</si>
  <si>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</si>
  <si>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</si>
  <si>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</si>
  <si>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</si>
  <si>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</si>
  <si>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</si>
  <si>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</si>
  <si>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</si>
  <si>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</si>
  <si>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</si>
  <si>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</si>
  <si>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</si>
  <si>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</si>
  <si>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</si>
  <si>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</si>
  <si>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</si>
  <si>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</si>
  <si>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</si>
  <si>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</si>
  <si>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</si>
  <si>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</si>
  <si>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</si>
  <si>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</si>
  <si>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</si>
  <si>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</si>
  <si>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</si>
  <si>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</si>
  <si>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</si>
  <si>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</si>
  <si>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</si>
  <si>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</si>
  <si>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</si>
  <si>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</si>
  <si>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</si>
  <si>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</si>
  <si>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</si>
  <si>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</si>
  <si>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</si>
  <si>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</si>
  <si>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</si>
  <si>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</si>
  <si>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</si>
  <si>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</si>
  <si>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</si>
  <si>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</si>
  <si>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</si>
  <si>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</si>
  <si>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</si>
  <si>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</si>
  <si>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</si>
  <si>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</si>
  <si>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</si>
  <si>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</si>
  <si>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</si>
  <si>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</si>
  <si>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</si>
  <si>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</si>
  <si>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</si>
  <si>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</si>
  <si>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</si>
  <si>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</si>
  <si>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</si>
  <si>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</si>
  <si>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</si>
  <si>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</si>
  <si>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</si>
  <si>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</si>
  <si>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</si>
  <si>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</si>
  <si>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</si>
  <si>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</si>
  <si>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</si>
  <si>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</si>
  <si>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</si>
  <si>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</si>
  <si>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</si>
  <si>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</si>
  <si>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</si>
  <si>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</si>
  <si>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</si>
  <si>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</si>
  <si>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</si>
  <si>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</si>
  <si>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</si>
  <si>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</si>
  <si>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</si>
  <si>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</si>
  <si>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</si>
  <si>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</si>
  <si>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</si>
  <si>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</si>
  <si>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</si>
  <si>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</si>
  <si>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</si>
  <si>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</si>
  <si>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</si>
  <si>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</si>
  <si>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</si>
  <si>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</si>
  <si>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</si>
  <si>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</si>
  <si>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</si>
  <si>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</si>
  <si>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</si>
  <si>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</si>
  <si>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</si>
  <si>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</si>
  <si>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</si>
  <si>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</si>
  <si>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</si>
  <si>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</si>
  <si>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</si>
  <si>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</si>
  <si>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</si>
  <si>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</si>
  <si>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</si>
  <si>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</si>
  <si>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</si>
  <si>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</si>
  <si>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</si>
  <si>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</si>
  <si>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</si>
  <si>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</si>
  <si>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</si>
  <si>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</si>
  <si>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</si>
  <si>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</si>
  <si>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</si>
  <si>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</si>
  <si>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</si>
  <si>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</si>
  <si>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</si>
  <si>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</si>
  <si>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</si>
  <si>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</si>
  <si>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</si>
  <si>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</si>
  <si>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</si>
  <si>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</si>
  <si>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</si>
  <si>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</si>
  <si>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</si>
  <si>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</si>
  <si>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</si>
  <si>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</si>
  <si>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</si>
  <si>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</si>
  <si>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</si>
  <si>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</si>
  <si>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</si>
  <si>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</si>
  <si>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</si>
  <si>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</si>
  <si>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</si>
  <si>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</si>
  <si>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</si>
  <si>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</si>
  <si>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</si>
  <si>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</si>
  <si>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</si>
  <si>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</si>
  <si>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</si>
  <si>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</si>
  <si>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</si>
  <si>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</si>
  <si>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</si>
  <si>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</si>
  <si>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</si>
  <si>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</si>
  <si>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</si>
  <si>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</si>
  <si>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</si>
  <si>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</si>
  <si>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</si>
  <si>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</si>
  <si>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</si>
  <si>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</si>
  <si>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</si>
  <si>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</si>
  <si>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</si>
  <si>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</si>
  <si>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</si>
  <si>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</si>
  <si>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</si>
  <si>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</si>
  <si>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</si>
  <si>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</si>
  <si>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</si>
  <si>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</si>
  <si>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</si>
  <si>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</si>
  <si>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</si>
  <si>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</si>
  <si>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</si>
  <si>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</si>
  <si>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</si>
  <si>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</si>
  <si>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</si>
  <si>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</si>
  <si>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</si>
  <si>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</si>
  <si>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</si>
  <si>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</si>
  <si>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</si>
  <si>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</si>
  <si>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</si>
  <si>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</si>
  <si>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</si>
  <si>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</si>
  <si>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</si>
  <si>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</si>
  <si>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</si>
  <si>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</si>
  <si>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</si>
  <si>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</si>
  <si>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</si>
  <si>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</si>
  <si>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</si>
  <si>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</si>
  <si>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</si>
  <si>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</si>
  <si>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</si>
  <si>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</si>
  <si>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</si>
  <si>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</si>
  <si>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</si>
  <si>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</si>
  <si>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</si>
  <si>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</si>
  <si>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</si>
  <si>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</si>
  <si>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</si>
  <si>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</si>
  <si>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</si>
  <si>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</si>
  <si>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</si>
  <si>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</si>
  <si>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</si>
  <si>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</si>
  <si>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</si>
  <si>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</si>
  <si>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</si>
  <si>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</si>
  <si>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</si>
  <si>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</si>
  <si>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</si>
  <si>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</si>
  <si>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</si>
  <si>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</si>
  <si>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</si>
  <si>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</si>
  <si>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</si>
  <si>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</si>
  <si>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</si>
  <si>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</si>
  <si>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</si>
  <si>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</si>
  <si>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</si>
  <si>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</si>
  <si>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</si>
  <si>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</si>
  <si>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</si>
  <si>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</si>
  <si>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</si>
  <si>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</si>
  <si>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</si>
  <si>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</si>
  <si>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</si>
  <si>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</si>
  <si>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</si>
  <si>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</si>
  <si>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</si>
  <si>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</si>
  <si>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</si>
  <si>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</si>
  <si>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</si>
  <si>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</si>
  <si>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</si>
  <si>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</si>
  <si>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</si>
  <si>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</si>
  <si>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</si>
  <si>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</si>
  <si>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</si>
  <si>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</si>
  <si>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</si>
  <si>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</si>
  <si>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</si>
  <si>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</si>
  <si>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</si>
  <si>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</si>
  <si>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</si>
  <si>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</si>
  <si>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</si>
  <si>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</si>
  <si>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</si>
  <si>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</si>
  <si>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</si>
  <si>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</si>
  <si>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</si>
  <si>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</si>
  <si>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</si>
  <si>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</si>
  <si>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</si>
  <si>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</si>
  <si>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</si>
  <si>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</si>
  <si>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</si>
  <si>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</si>
  <si>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</si>
  <si>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</si>
  <si>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</si>
  <si>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</si>
  <si>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</si>
  <si>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</si>
  <si>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</si>
  <si>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</si>
  <si>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</si>
  <si>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</si>
  <si>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</si>
  <si>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</si>
  <si>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</si>
  <si>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</si>
  <si>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</si>
  <si>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</si>
  <si>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</si>
  <si>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</si>
  <si>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</si>
  <si>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</si>
  <si>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</si>
  <si>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</si>
  <si>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</si>
  <si>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</si>
  <si>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</si>
  <si>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</si>
  <si>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</si>
  <si>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</si>
  <si>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</si>
  <si>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</si>
  <si>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</si>
  <si>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</si>
  <si>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</si>
  <si>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</si>
  <si>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</si>
  <si>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</si>
  <si>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</si>
  <si>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</si>
  <si>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</si>
  <si>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</si>
  <si>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</si>
  <si>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</si>
  <si>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</si>
  <si>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</si>
  <si>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</si>
  <si>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</si>
  <si>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</si>
  <si>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</si>
  <si>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</si>
  <si>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</si>
  <si>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</si>
  <si>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</si>
  <si>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</si>
  <si>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</si>
  <si>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</si>
  <si>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</si>
  <si>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</si>
  <si>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</si>
  <si>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</si>
  <si>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</si>
  <si>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</si>
  <si>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</si>
  <si>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</si>
  <si>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</si>
  <si>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</si>
  <si>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</si>
  <si>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</si>
  <si>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</si>
  <si>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</si>
  <si>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</si>
  <si>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</si>
  <si>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</si>
  <si>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</si>
  <si>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</si>
  <si>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</si>
  <si>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</si>
  <si>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</si>
  <si>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</si>
  <si>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</si>
  <si>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</si>
  <si>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</si>
  <si>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</si>
  <si>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</si>
  <si>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</si>
  <si>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</si>
  <si>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</si>
  <si>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</si>
  <si>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</si>
  <si>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</si>
  <si>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</si>
  <si>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</si>
  <si>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</si>
  <si>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</si>
  <si>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</si>
  <si>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</si>
  <si>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</si>
  <si>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</si>
  <si>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</si>
  <si>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</si>
  <si>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</si>
  <si>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</si>
  <si>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</si>
  <si>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</si>
  <si>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</si>
  <si>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</si>
  <si>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</si>
  <si>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</si>
  <si>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</si>
  <si>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</si>
  <si>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</si>
  <si>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</si>
  <si>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</si>
  <si>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</si>
  <si>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</si>
  <si>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</si>
  <si>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</si>
  <si>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</si>
  <si>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</si>
  <si>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</si>
  <si>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</si>
  <si>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</si>
  <si>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</si>
  <si>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</si>
  <si>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</si>
  <si>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</si>
  <si>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</si>
  <si>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</si>
  <si>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</si>
  <si>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</si>
  <si>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</si>
  <si>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</si>
  <si>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</si>
  <si>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</si>
  <si>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</si>
  <si>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</si>
  <si>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</si>
  <si>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</si>
  <si>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</si>
  <si>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</si>
  <si>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</si>
  <si>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</si>
  <si>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</si>
  <si>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</si>
  <si>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</si>
  <si>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</si>
  <si>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</si>
  <si>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</si>
  <si>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</si>
  <si>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</si>
  <si>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</si>
  <si>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</si>
  <si>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</si>
  <si>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</si>
  <si>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</si>
  <si>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</si>
  <si>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</si>
  <si>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</si>
  <si>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</si>
  <si>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</si>
  <si>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</si>
  <si>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</si>
  <si>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</si>
  <si>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</si>
  <si>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</si>
  <si>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</si>
  <si>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</si>
  <si>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</si>
  <si>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</si>
  <si>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</si>
  <si>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</si>
  <si>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</si>
  <si>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</si>
  <si>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</si>
  <si>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</si>
  <si>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</si>
  <si>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</si>
  <si>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</si>
  <si>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</si>
  <si>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</si>
  <si>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</si>
  <si>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</si>
  <si>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</si>
  <si>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</si>
  <si>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</si>
  <si>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</si>
  <si>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</si>
  <si>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</si>
  <si>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</si>
  <si>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</si>
  <si>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</si>
  <si>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</si>
  <si>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</si>
  <si>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</si>
  <si>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</si>
  <si>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</si>
  <si>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</si>
  <si>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</si>
  <si>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</si>
  <si>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</si>
  <si>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</si>
  <si>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</si>
  <si>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</si>
  <si>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</si>
  <si>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</si>
  <si>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</si>
  <si>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</si>
  <si>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</si>
  <si>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</si>
  <si>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</si>
  <si>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</si>
  <si>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</si>
  <si>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</si>
  <si>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</si>
  <si>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</si>
  <si>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</si>
  <si>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</si>
  <si>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</si>
  <si>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</si>
  <si>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</si>
  <si>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</si>
  <si>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</si>
  <si>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</si>
  <si>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</si>
  <si>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</si>
  <si>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</si>
  <si>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</si>
  <si>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</si>
  <si>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</si>
  <si>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</si>
  <si>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</si>
  <si>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</si>
  <si>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</si>
  <si>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</si>
  <si>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</si>
  <si>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</si>
  <si>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</si>
  <si>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</si>
  <si>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</si>
  <si>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</si>
  <si>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</si>
  <si>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</si>
  <si>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</si>
  <si>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</si>
  <si>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</si>
  <si>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</si>
  <si>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</si>
  <si>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</si>
  <si>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</si>
  <si>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</si>
  <si>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</si>
  <si>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</si>
  <si>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</si>
  <si>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</si>
  <si>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</si>
  <si>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</si>
  <si>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</si>
  <si>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</si>
  <si>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</si>
  <si>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</si>
  <si>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</si>
  <si>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</si>
  <si>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</si>
  <si>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</si>
  <si>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</si>
  <si>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</si>
  <si>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</si>
  <si>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</si>
  <si>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</si>
  <si>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</si>
  <si>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</si>
  <si>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</si>
  <si>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</si>
  <si>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</si>
  <si>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</si>
  <si>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</si>
  <si>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</si>
  <si>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</si>
  <si>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</si>
  <si>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</si>
  <si>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</si>
  <si>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</si>
  <si>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</si>
  <si>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</si>
  <si>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</si>
  <si>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</si>
  <si>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</si>
  <si>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</si>
  <si>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</si>
  <si>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</si>
  <si>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</si>
  <si>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</si>
  <si>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</si>
  <si>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</si>
  <si>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</si>
  <si>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</si>
  <si>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</si>
  <si>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</si>
  <si>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</si>
  <si>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</si>
  <si>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</si>
  <si>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</si>
  <si>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</si>
  <si>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</si>
  <si>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</si>
  <si>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</si>
  <si>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</si>
  <si>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</si>
  <si>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</si>
  <si>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</si>
  <si>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</si>
  <si>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</si>
  <si>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</si>
  <si>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</si>
  <si>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</si>
  <si>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</si>
  <si>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</si>
  <si>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</si>
  <si>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</si>
  <si>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</si>
  <si>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</si>
  <si>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</si>
  <si>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</si>
  <si>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</si>
  <si>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</si>
  <si>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</si>
  <si>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</si>
  <si>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</si>
  <si>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</si>
  <si>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</si>
  <si>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</si>
  <si>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</si>
  <si>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</si>
  <si>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</si>
  <si>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</si>
  <si>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</si>
  <si>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</si>
  <si>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</si>
  <si>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</si>
  <si>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</si>
  <si>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</si>
  <si>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</si>
  <si>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</si>
  <si>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</si>
  <si>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</si>
  <si>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</si>
  <si>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</si>
  <si>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</si>
  <si>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</si>
  <si>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</si>
  <si>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</si>
  <si>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</si>
  <si>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</si>
  <si>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</si>
  <si>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</si>
  <si>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</si>
  <si>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</si>
  <si>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</si>
  <si>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</si>
  <si>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</si>
  <si>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</si>
  <si>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</si>
  <si>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</si>
  <si>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</si>
  <si>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</si>
  <si>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</si>
  <si>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</si>
  <si>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</si>
  <si>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</si>
  <si>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</si>
  <si>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</si>
  <si>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</si>
  <si>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</si>
  <si>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</si>
  <si>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</si>
  <si>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</si>
  <si>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</si>
  <si>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</si>
  <si>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</si>
  <si>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</si>
  <si>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</si>
  <si>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</si>
  <si>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</si>
  <si>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</si>
  <si>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</si>
  <si>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</si>
  <si>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</si>
  <si>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</si>
  <si>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</si>
  <si>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</si>
  <si>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</si>
  <si>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</si>
  <si>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</si>
  <si>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</si>
  <si>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</si>
  <si>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</si>
  <si>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</si>
  <si>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</si>
  <si>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</si>
  <si>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</si>
  <si>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</si>
  <si>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</si>
  <si>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</si>
  <si>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</si>
  <si>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</si>
  <si>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</si>
  <si>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</si>
  <si>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</si>
  <si>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</si>
  <si>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</si>
  <si>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</si>
  <si>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</si>
  <si>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</si>
  <si>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</si>
  <si>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</si>
  <si>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</si>
  <si>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</si>
  <si>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</si>
  <si>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</si>
  <si>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</si>
  <si>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</si>
  <si>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</si>
  <si>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</si>
  <si>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</si>
  <si>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</si>
  <si>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</si>
  <si>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</si>
  <si>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</si>
  <si>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</si>
  <si>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</si>
  <si>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</si>
  <si>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</si>
  <si>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</si>
  <si>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</si>
  <si>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</si>
  <si>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</si>
  <si>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</si>
  <si>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</si>
  <si>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</si>
  <si>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</si>
  <si>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</si>
  <si>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</si>
  <si>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</si>
  <si>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</si>
  <si>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</si>
  <si>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</si>
  <si>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</si>
  <si>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</si>
  <si>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</si>
  <si>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</si>
  <si>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</si>
  <si>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</si>
  <si>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</si>
  <si>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</si>
  <si>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</si>
  <si>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</si>
  <si>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</si>
  <si>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</si>
  <si>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</si>
  <si>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</si>
  <si>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</si>
  <si>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</si>
  <si>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</si>
  <si>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</si>
  <si>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</si>
  <si>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</si>
  <si>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</si>
  <si>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</si>
  <si>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</si>
  <si>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</si>
  <si>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</si>
  <si>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</si>
  <si>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</si>
  <si>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</si>
  <si>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</si>
  <si>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</si>
  <si>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</si>
  <si>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</si>
  <si>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</si>
  <si>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</si>
  <si>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</si>
  <si>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</si>
  <si>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</si>
  <si>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</si>
  <si>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</si>
  <si>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</si>
  <si>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</si>
  <si>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</si>
  <si>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</si>
  <si>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</si>
  <si>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</si>
  <si>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</si>
  <si>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</si>
  <si>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</si>
  <si>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</si>
  <si>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</si>
  <si>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</si>
  <si>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</si>
  <si>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</si>
  <si>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</si>
  <si>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</si>
  <si>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</si>
  <si>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</si>
  <si>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</si>
  <si>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</si>
  <si>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</si>
  <si>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</si>
  <si>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</si>
  <si>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</si>
  <si>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</si>
  <si>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</si>
  <si>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</si>
  <si>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</si>
  <si>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</si>
  <si>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</si>
  <si>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</si>
  <si>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</si>
  <si>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</si>
  <si>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</si>
  <si>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</si>
  <si>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</si>
  <si>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</si>
  <si>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</si>
  <si>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</si>
  <si>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</si>
  <si>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</si>
  <si>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</si>
  <si>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</si>
  <si>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</si>
  <si>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</si>
  <si>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</si>
  <si>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</si>
  <si>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</si>
  <si>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</si>
  <si>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</si>
  <si>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</si>
  <si>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</si>
  <si>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</si>
  <si>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</si>
  <si>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</si>
  <si>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</si>
  <si>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</si>
  <si>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</si>
  <si>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</si>
  <si>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</si>
  <si>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</si>
  <si>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</si>
  <si>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</si>
  <si>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</si>
  <si>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</si>
  <si>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</si>
  <si>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</si>
  <si>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</si>
  <si>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</si>
  <si>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</si>
  <si>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</si>
  <si>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</si>
  <si>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</si>
  <si>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</si>
  <si>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</si>
  <si>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</si>
  <si>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</si>
  <si>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</si>
  <si>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</si>
  <si>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</si>
  <si>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</si>
  <si>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</si>
  <si>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</si>
  <si>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</si>
  <si>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</si>
  <si>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</si>
  <si>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</si>
  <si>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</si>
  <si>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</si>
  <si>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</si>
  <si>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</si>
  <si>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</si>
  <si>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</si>
  <si>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</si>
  <si>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</si>
  <si>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</si>
  <si>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</si>
  <si>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</si>
  <si>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</si>
  <si>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</si>
  <si>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</si>
  <si>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</si>
  <si>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</si>
  <si>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</si>
  <si>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</si>
  <si>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</si>
  <si>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</si>
  <si>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</si>
  <si>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</si>
  <si>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</si>
  <si>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</si>
  <si>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</si>
  <si>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</si>
  <si>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</si>
  <si>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</si>
  <si>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</si>
  <si>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</si>
  <si>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</si>
  <si>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</si>
  <si>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</si>
  <si>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</si>
  <si>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</si>
  <si>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</si>
  <si>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</si>
  <si>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</si>
  <si>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</si>
  <si>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</si>
  <si>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</si>
  <si>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</si>
  <si>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</si>
  <si>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</si>
  <si>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</si>
  <si>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</si>
  <si>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</si>
  <si>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</si>
  <si>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</si>
  <si>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</si>
  <si>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</si>
  <si>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</si>
  <si>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</si>
  <si>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</si>
  <si>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</si>
  <si>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</si>
  <si>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</si>
  <si>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</si>
  <si>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</si>
  <si>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</si>
  <si>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</si>
  <si>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</si>
  <si>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</si>
  <si>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</si>
  <si>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</si>
  <si>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</si>
  <si>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</si>
  <si>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</si>
  <si>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</si>
  <si>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</si>
  <si>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</si>
  <si>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</si>
  <si>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</si>
  <si>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</si>
  <si>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</si>
  <si>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</si>
  <si>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</si>
  <si>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</si>
  <si>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</si>
  <si>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</si>
  <si>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</si>
  <si>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</si>
  <si>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</si>
  <si>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</si>
  <si>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</si>
  <si>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</si>
  <si>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</si>
  <si>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</si>
  <si>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</si>
  <si>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</si>
  <si>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</si>
  <si>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</si>
  <si>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</si>
  <si>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</si>
  <si>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</si>
  <si>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</si>
  <si>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</si>
  <si>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</si>
  <si>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</si>
  <si>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</si>
  <si>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</si>
  <si>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</si>
  <si>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</si>
  <si>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</si>
  <si>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</si>
  <si>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</si>
  <si>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</si>
  <si>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</si>
  <si>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</si>
  <si>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</si>
  <si>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</si>
  <si>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</si>
  <si>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</si>
  <si>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</si>
  <si>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</si>
  <si>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</si>
  <si>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</si>
  <si>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</si>
  <si>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</si>
  <si>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</si>
  <si>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</si>
  <si>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</si>
  <si>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</si>
  <si>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</si>
  <si>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</si>
  <si>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</si>
  <si>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</si>
  <si>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</si>
  <si>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</si>
  <si>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</si>
  <si>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</si>
  <si>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</si>
  <si>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</si>
  <si>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</si>
  <si>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</si>
  <si>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</si>
  <si>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</si>
  <si>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</si>
  <si>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</si>
  <si>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</si>
  <si>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</si>
  <si>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</si>
  <si>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</si>
  <si>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</si>
  <si>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</si>
  <si>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</si>
  <si>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</si>
  <si>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</si>
  <si>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</si>
  <si>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</si>
  <si>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</si>
  <si>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</si>
  <si>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</si>
  <si>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</si>
  <si>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</si>
  <si>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</si>
  <si>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</si>
  <si>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</si>
  <si>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</si>
  <si>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</si>
  <si>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</si>
  <si>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</si>
  <si>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</si>
  <si>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</si>
  <si>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</si>
  <si>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</si>
  <si>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</si>
  <si>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</si>
  <si>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</si>
  <si>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</si>
  <si>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</si>
  <si>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</si>
  <si>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</si>
  <si>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</si>
  <si>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</si>
  <si>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</si>
  <si>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</si>
  <si>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</si>
  <si>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</si>
  <si>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</si>
  <si>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</si>
  <si>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</si>
  <si>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</si>
  <si>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</si>
  <si>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</si>
  <si>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</si>
  <si>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</si>
  <si>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</si>
  <si>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</si>
  <si>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</si>
  <si>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</si>
  <si>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</si>
  <si>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</si>
  <si>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</si>
  <si>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</si>
  <si>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</si>
  <si>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</si>
  <si>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</si>
  <si>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</si>
  <si>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</si>
  <si>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</si>
  <si>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</si>
  <si>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</si>
  <si>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</si>
  <si>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</si>
  <si>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</si>
  <si>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</si>
  <si>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</si>
  <si>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</si>
  <si>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</si>
  <si>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</si>
  <si>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</si>
  <si>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</si>
  <si>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</si>
  <si>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</si>
  <si>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</si>
  <si>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</si>
  <si>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</si>
  <si>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</si>
  <si>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</si>
  <si>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</si>
  <si>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</si>
  <si>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</si>
  <si>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</si>
  <si>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</si>
  <si>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</si>
  <si>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</si>
  <si>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</si>
  <si>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</si>
  <si>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</si>
  <si>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</si>
  <si>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</si>
  <si>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</si>
  <si>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</si>
  <si>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</si>
  <si>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</si>
  <si>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</si>
  <si>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</si>
  <si>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</si>
  <si>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</si>
  <si>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</si>
  <si>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</si>
  <si>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</si>
  <si>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</si>
  <si>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</si>
  <si>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</si>
  <si>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</si>
  <si>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</si>
  <si>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</si>
  <si>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</si>
  <si>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</si>
  <si>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</si>
  <si>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</si>
  <si>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</si>
  <si>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</si>
  <si>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</si>
  <si>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</si>
  <si>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</si>
  <si>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</si>
  <si>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</si>
  <si>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</si>
  <si>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</si>
  <si>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</si>
  <si>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</si>
  <si>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</si>
  <si>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</si>
  <si>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</si>
  <si>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</si>
  <si>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</si>
  <si>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</si>
  <si>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</si>
  <si>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</si>
  <si>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</si>
  <si>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</si>
  <si>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</si>
  <si>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</si>
  <si>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</si>
  <si>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</si>
  <si>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</si>
  <si>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</si>
  <si>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</si>
  <si>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</si>
  <si>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</si>
  <si>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</si>
  <si>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</si>
  <si>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</si>
  <si>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</si>
  <si>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</si>
  <si>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</si>
  <si>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</si>
  <si>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</si>
  <si>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</si>
  <si>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</si>
  <si>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</si>
  <si>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</si>
  <si>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</si>
  <si>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</si>
  <si>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</si>
  <si>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</si>
  <si>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</si>
  <si>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</si>
  <si>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</si>
  <si>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</si>
  <si>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</si>
  <si>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</si>
  <si>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</si>
  <si>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</si>
  <si>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</si>
  <si>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</si>
  <si>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</si>
  <si>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</si>
  <si>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</si>
  <si>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</si>
  <si>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</si>
  <si>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</si>
  <si>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</si>
  <si>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</si>
  <si>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</si>
  <si>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</si>
  <si>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</si>
  <si>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</si>
  <si>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</si>
  <si>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</si>
  <si>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</si>
  <si>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</si>
  <si>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</si>
  <si>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</si>
  <si>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</si>
  <si>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</si>
  <si>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</si>
  <si>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</si>
  <si>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</si>
  <si>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</si>
  <si>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</si>
  <si>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</si>
  <si>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</si>
  <si>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</si>
  <si>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</si>
  <si>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</si>
  <si>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</si>
  <si>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</si>
  <si>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</si>
  <si>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</si>
  <si>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</si>
  <si>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</si>
  <si>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</si>
  <si>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</si>
  <si>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</si>
  <si>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</si>
  <si>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</si>
  <si>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</si>
  <si>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</si>
  <si>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</si>
  <si>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</si>
  <si>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</si>
  <si>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</si>
  <si>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</si>
  <si>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</si>
  <si>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</si>
  <si>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</si>
  <si>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</si>
  <si>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</si>
  <si>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</si>
  <si>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</si>
  <si>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</si>
  <si>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</si>
  <si>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</si>
  <si>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</si>
  <si>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</si>
  <si>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</si>
  <si>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</si>
  <si>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</si>
  <si>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</si>
  <si>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</si>
  <si>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</si>
  <si>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</si>
  <si>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</si>
  <si>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</si>
  <si>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</si>
  <si>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</si>
  <si>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</si>
  <si>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</si>
  <si>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</si>
  <si>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</si>
  <si>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</si>
  <si>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</si>
  <si>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</si>
  <si>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</si>
  <si>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</si>
  <si>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</si>
  <si>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</si>
  <si>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</si>
  <si>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</si>
  <si>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</si>
  <si>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</si>
  <si>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</si>
  <si>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</si>
  <si>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</si>
  <si>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</si>
  <si>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</si>
  <si>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</si>
  <si>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</si>
  <si>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</si>
  <si>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</si>
  <si>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</si>
  <si>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</si>
  <si>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</si>
  <si>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</si>
  <si>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</si>
  <si>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</si>
  <si>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</si>
  <si>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</si>
  <si>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</si>
  <si>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</si>
  <si>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</si>
  <si>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</si>
  <si>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</si>
  <si>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</si>
  <si>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</si>
  <si>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</si>
  <si>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</si>
  <si>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</si>
  <si>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</si>
  <si>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</si>
  <si>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</si>
  <si>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</si>
  <si>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</si>
  <si>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</si>
  <si>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</si>
  <si>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</si>
  <si>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</si>
  <si>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</si>
  <si>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</si>
  <si>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</si>
  <si>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</si>
  <si>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</si>
  <si>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</si>
  <si>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</si>
  <si>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</si>
  <si>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</si>
  <si>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</si>
  <si>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</si>
  <si>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</si>
  <si>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</si>
  <si>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</si>
  <si>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</si>
  <si>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</si>
  <si>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</si>
  <si>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</si>
  <si>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</si>
  <si>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</si>
  <si>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</si>
  <si>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</si>
  <si>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</si>
  <si>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</si>
  <si>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</si>
  <si>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</si>
  <si>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</si>
  <si>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</si>
  <si>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</si>
  <si>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</si>
  <si>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</si>
  <si>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</si>
  <si>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</si>
  <si>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</si>
  <si>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</si>
  <si>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</si>
  <si>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</si>
  <si>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</si>
  <si>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</si>
  <si>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</si>
  <si>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</si>
  <si>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</si>
  <si>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</si>
  <si>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</si>
  <si>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</si>
  <si>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</si>
  <si>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</si>
  <si>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</si>
  <si>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</si>
  <si>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</si>
  <si>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</si>
  <si>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</si>
  <si>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</si>
  <si>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</si>
  <si>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</si>
  <si>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</si>
  <si>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</si>
  <si>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</si>
  <si>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</si>
  <si>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</si>
  <si>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</si>
  <si>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</si>
  <si>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</si>
  <si>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</si>
  <si>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</si>
  <si>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</si>
  <si>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</si>
  <si>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</si>
  <si>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</si>
  <si>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</si>
  <si>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</si>
  <si>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</si>
  <si>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</si>
  <si>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</si>
  <si>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</si>
  <si>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</si>
  <si>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</si>
  <si>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</si>
  <si>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</si>
  <si>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</si>
  <si>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</si>
  <si>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</si>
  <si>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</si>
  <si>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</si>
  <si>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</si>
  <si>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</si>
  <si>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</si>
  <si>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</si>
  <si>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</si>
  <si>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</si>
  <si>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</si>
  <si>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</si>
  <si>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</si>
  <si>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</si>
  <si>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</si>
  <si>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</si>
  <si>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</si>
  <si>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</si>
  <si>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</si>
  <si>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</si>
  <si>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</si>
  <si>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</si>
  <si>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</si>
  <si>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</si>
  <si>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</si>
  <si>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</si>
  <si>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</si>
  <si>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</si>
  <si>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</si>
  <si>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</si>
  <si>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</si>
  <si>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</si>
  <si>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</si>
  <si>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</si>
  <si>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</si>
  <si>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</si>
  <si>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</si>
  <si>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</si>
  <si>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</si>
  <si>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</si>
  <si>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</si>
  <si>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</si>
  <si>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</si>
  <si>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</si>
  <si>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</si>
  <si>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</si>
  <si>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</si>
  <si>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</si>
  <si>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</si>
  <si>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</si>
  <si>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</si>
  <si>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</si>
  <si>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</si>
  <si>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</si>
  <si>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</si>
  <si>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</si>
  <si>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</si>
  <si>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</si>
  <si>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</si>
  <si>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</si>
  <si>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</si>
  <si>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</si>
  <si>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</si>
  <si>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</si>
  <si>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</si>
  <si>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</si>
  <si>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</si>
  <si>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</si>
  <si>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</si>
  <si>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</si>
  <si>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</si>
  <si>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</si>
  <si>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</si>
  <si>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</si>
  <si>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</si>
  <si>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</si>
  <si>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</si>
  <si>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</si>
  <si>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</si>
  <si>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</si>
  <si>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</si>
  <si>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</si>
  <si>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</si>
  <si>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</si>
  <si>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</si>
  <si>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</si>
  <si>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</si>
  <si>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</si>
  <si>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</si>
  <si>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</si>
  <si>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</si>
  <si>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</si>
  <si>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</si>
  <si>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</si>
  <si>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</si>
  <si>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</si>
  <si>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</si>
  <si>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</si>
  <si>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</si>
  <si>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</si>
  <si>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</si>
  <si>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</si>
  <si>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</si>
  <si>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</si>
  <si>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</si>
  <si>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</si>
  <si>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</si>
  <si>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</si>
  <si>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</si>
  <si>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</si>
  <si>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</si>
  <si>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</si>
  <si>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</si>
  <si>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</si>
  <si>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</si>
  <si>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</si>
  <si>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</si>
  <si>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</si>
  <si>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</si>
  <si>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</si>
  <si>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</si>
  <si>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</si>
  <si>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</si>
  <si>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</si>
  <si>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</si>
  <si>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</si>
  <si>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</si>
  <si>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</si>
  <si>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</si>
  <si>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</si>
  <si>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</si>
  <si>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</si>
  <si>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</si>
  <si>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</si>
  <si>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</si>
  <si>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</si>
  <si>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</si>
  <si>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</si>
  <si>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</si>
  <si>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</si>
  <si>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</si>
  <si>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</si>
  <si>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</si>
  <si>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</si>
  <si>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</si>
  <si>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</si>
  <si>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</si>
  <si>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</si>
  <si>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</si>
  <si>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</si>
  <si>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</si>
  <si>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</si>
  <si>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</si>
  <si>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</si>
  <si>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</si>
  <si>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</si>
  <si>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</si>
  <si>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</si>
  <si>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</si>
  <si>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</si>
  <si>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</si>
  <si>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</si>
  <si>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</si>
  <si>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</si>
  <si>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</si>
  <si>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</si>
  <si>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</si>
  <si>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</si>
  <si>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</si>
  <si>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</si>
  <si>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</si>
  <si>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</si>
  <si>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</si>
  <si>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</si>
  <si>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</si>
  <si>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</si>
  <si>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</si>
  <si>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</si>
  <si>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</si>
  <si>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</si>
  <si>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</si>
  <si>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</si>
  <si>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</si>
  <si>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</si>
  <si>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</si>
  <si>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</si>
  <si>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</si>
  <si>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</si>
  <si>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</si>
  <si>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</si>
  <si>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</si>
  <si>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</si>
  <si>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</si>
  <si>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</si>
  <si>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</si>
  <si>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</si>
  <si>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</si>
  <si>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</si>
  <si>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</si>
  <si>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</si>
  <si>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</si>
  <si>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</si>
  <si>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</si>
  <si>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</si>
  <si>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</si>
  <si>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</si>
  <si>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</si>
  <si>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</si>
  <si>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</si>
  <si>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</si>
  <si>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</si>
  <si>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</si>
  <si>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</si>
  <si>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</si>
  <si>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</si>
  <si>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</si>
  <si>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</si>
  <si>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</si>
  <si>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</si>
  <si>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</si>
  <si>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</si>
  <si>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</si>
  <si>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</si>
  <si>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</si>
  <si>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</si>
  <si>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</si>
  <si>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</si>
  <si>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</si>
  <si>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</si>
  <si>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</si>
  <si>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</si>
  <si>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</si>
  <si>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</si>
  <si>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</si>
  <si>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</si>
  <si>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</si>
  <si>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</si>
  <si>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</si>
  <si>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</si>
  <si>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</si>
  <si>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</si>
  <si>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</si>
  <si>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</si>
  <si>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</si>
  <si>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</si>
  <si>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</si>
  <si>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</si>
  <si>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</si>
  <si>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</si>
  <si>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</si>
  <si>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</si>
  <si>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</si>
  <si>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</si>
  <si>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</si>
  <si>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</si>
  <si>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</si>
  <si>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</si>
  <si>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</si>
  <si>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</si>
  <si>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</si>
  <si>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</si>
  <si>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</si>
  <si>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</si>
  <si>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</si>
  <si>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</si>
  <si>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</si>
  <si>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</si>
  <si>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</si>
  <si>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</si>
  <si>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</si>
  <si>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</si>
  <si>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</si>
  <si>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</si>
  <si>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</si>
  <si>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</si>
  <si>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</si>
  <si>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</si>
  <si>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</si>
  <si>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</si>
  <si>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</si>
  <si>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</si>
  <si>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</si>
  <si>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</si>
  <si>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</si>
  <si>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</si>
  <si>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</si>
  <si>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</si>
  <si>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</si>
  <si>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</si>
  <si>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</si>
  <si>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</si>
  <si>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</si>
  <si>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</si>
  <si>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</si>
  <si>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</si>
  <si>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</si>
  <si>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</si>
  <si>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</si>
  <si>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</si>
  <si>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</si>
  <si>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</si>
  <si>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</si>
  <si>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</si>
  <si>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</si>
  <si>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</si>
  <si>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</si>
  <si>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</si>
  <si>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</si>
  <si>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</si>
  <si>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</si>
  <si>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</si>
  <si>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</si>
  <si>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</si>
  <si>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</si>
  <si>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</si>
  <si>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</si>
  <si>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</si>
  <si>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</si>
  <si>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</si>
  <si>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</si>
  <si>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</si>
  <si>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</si>
  <si>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</si>
  <si>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</si>
  <si>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</si>
  <si>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</si>
  <si>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</si>
  <si>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</si>
  <si>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</si>
  <si>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</si>
  <si>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</si>
  <si>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</si>
  <si>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</si>
  <si>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</si>
  <si>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</si>
  <si>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</si>
  <si>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</si>
  <si>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</si>
  <si>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</si>
  <si>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</si>
  <si>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</si>
  <si>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</si>
  <si>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</si>
  <si>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</si>
  <si>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</si>
  <si>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</si>
  <si>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</si>
  <si>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</si>
  <si>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</si>
  <si>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</si>
  <si>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</si>
  <si>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</si>
  <si>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</si>
  <si>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</si>
  <si>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</si>
  <si>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</si>
  <si>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</si>
  <si>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</si>
  <si>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</si>
  <si>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</si>
  <si>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</si>
  <si>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</si>
  <si>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</si>
  <si>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</si>
  <si>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</si>
  <si>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</si>
  <si>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</si>
  <si>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</si>
  <si>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</si>
  <si>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</si>
  <si>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</si>
  <si>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</si>
  <si>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</si>
  <si>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</si>
  <si>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</si>
  <si>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</si>
  <si>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</si>
  <si>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</si>
  <si>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</si>
  <si>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</si>
  <si>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</si>
  <si>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</si>
  <si>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</si>
  <si>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</si>
  <si>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</si>
  <si>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</si>
  <si>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</si>
  <si>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</si>
  <si>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</si>
  <si>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</si>
  <si>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</si>
  <si>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</si>
  <si>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</si>
  <si>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</si>
  <si>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</si>
  <si>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</si>
  <si>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</si>
  <si>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</si>
  <si>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</si>
  <si>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</si>
  <si>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</si>
  <si>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</si>
  <si>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</si>
  <si>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</si>
  <si>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</si>
  <si>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</si>
  <si>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</si>
  <si>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</si>
  <si>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</si>
  <si>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</si>
  <si>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</si>
  <si>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</si>
  <si>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</si>
  <si>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</si>
  <si>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</si>
  <si>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</si>
  <si>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</si>
  <si>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</si>
  <si>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</si>
  <si>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</si>
  <si>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</si>
  <si>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</si>
  <si>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</si>
  <si>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</si>
  <si>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</si>
  <si>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</si>
  <si>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</si>
  <si>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</si>
  <si>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</si>
  <si>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</si>
  <si>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</si>
  <si>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</si>
  <si>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</si>
  <si>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</si>
  <si>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</si>
  <si>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</si>
  <si>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</si>
  <si>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</si>
  <si>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</si>
  <si>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</si>
  <si>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</si>
  <si>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</si>
  <si>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</si>
  <si>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</si>
  <si>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</si>
  <si>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</si>
  <si>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</si>
  <si>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</si>
  <si>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</si>
  <si>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</si>
  <si>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</si>
  <si>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</si>
  <si>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</si>
  <si>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</si>
  <si>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</si>
  <si>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</si>
  <si>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</si>
  <si>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</si>
  <si>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</si>
  <si>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</si>
  <si>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</si>
  <si>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</si>
  <si>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</si>
  <si>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</si>
  <si>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</si>
  <si>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</si>
  <si>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</si>
  <si>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</si>
  <si>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</si>
  <si>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</si>
  <si>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</si>
  <si>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</si>
  <si>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</si>
  <si>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</si>
  <si>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</si>
  <si>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</si>
  <si>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</si>
  <si>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</si>
  <si>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</si>
  <si>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</si>
  <si>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</si>
  <si>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</si>
  <si>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</si>
  <si>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</si>
  <si>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</si>
  <si>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</si>
  <si>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</si>
  <si>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</si>
  <si>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</si>
  <si>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</si>
  <si>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</si>
  <si>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</si>
  <si>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</si>
  <si>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</si>
  <si>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</si>
  <si>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</si>
  <si>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</si>
  <si>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</si>
  <si>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</si>
  <si>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</si>
  <si>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</si>
  <si>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</si>
  <si>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</si>
  <si>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</si>
  <si>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</si>
  <si>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</si>
  <si>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</si>
  <si>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</si>
  <si>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</si>
  <si>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</si>
  <si>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</si>
  <si>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</si>
  <si>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</si>
  <si>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</si>
  <si>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</si>
  <si>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</si>
  <si>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</si>
  <si>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</si>
  <si>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</si>
  <si>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</si>
  <si>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</si>
  <si>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</si>
  <si>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</si>
  <si>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</si>
  <si>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</si>
  <si>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</si>
  <si>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</si>
  <si>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</si>
  <si>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</si>
  <si>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</si>
  <si>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</si>
  <si>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</si>
  <si>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</si>
  <si>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</si>
  <si>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</si>
  <si>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</si>
  <si>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</si>
  <si>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</si>
  <si>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</si>
  <si>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</si>
  <si>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</si>
  <si>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</si>
  <si>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</si>
  <si>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</si>
  <si>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</si>
  <si>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</si>
  <si>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</si>
  <si>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</si>
  <si>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</si>
  <si>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</si>
  <si>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</si>
  <si>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</si>
  <si>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</si>
  <si>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</si>
  <si>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</si>
  <si>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</si>
  <si>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</si>
  <si>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</si>
  <si>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</si>
  <si>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</si>
  <si>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</si>
  <si>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</si>
  <si>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</si>
  <si>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</si>
  <si>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</si>
  <si>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</si>
  <si>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</si>
  <si>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</si>
  <si>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</si>
  <si>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</si>
  <si>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</si>
  <si>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</si>
  <si>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</si>
  <si>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</si>
  <si>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</si>
  <si>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</si>
  <si>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</si>
  <si>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</si>
  <si>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</si>
  <si>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</si>
  <si>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</si>
  <si>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</si>
  <si>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</si>
  <si>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</si>
  <si>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</si>
  <si>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</si>
  <si>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</si>
  <si>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</si>
  <si>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</si>
  <si>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</si>
  <si>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</si>
  <si>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</si>
  <si>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</si>
  <si>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</si>
  <si>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</si>
  <si>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</si>
  <si>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</si>
  <si>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</si>
  <si>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</si>
  <si>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</si>
  <si>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</si>
  <si>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</si>
  <si>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</si>
  <si>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</si>
  <si>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</si>
  <si>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</si>
  <si>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</si>
  <si>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</si>
  <si>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</si>
  <si>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</si>
  <si>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</si>
  <si>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</si>
  <si>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</si>
  <si>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</si>
  <si>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</si>
  <si>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</si>
  <si>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</si>
  <si>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</si>
  <si>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</si>
  <si>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</si>
  <si>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</si>
  <si>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</si>
  <si>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</si>
  <si>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</si>
  <si>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</si>
  <si>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</si>
  <si>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</si>
  <si>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</si>
  <si>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</si>
  <si>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</si>
  <si>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</si>
  <si>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</si>
  <si>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</si>
  <si>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</si>
  <si>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</si>
  <si>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</si>
  <si>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</si>
  <si>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</si>
  <si>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</si>
  <si>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</si>
  <si>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</si>
  <si>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</si>
  <si>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</si>
  <si>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</si>
  <si>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</si>
  <si>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</si>
  <si>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</si>
  <si>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</si>
  <si>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</si>
  <si>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</si>
  <si>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</si>
  <si>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</si>
  <si>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</si>
  <si>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</si>
  <si>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</si>
  <si>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</si>
  <si>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</si>
  <si>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</si>
  <si>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</si>
  <si>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</si>
  <si>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</si>
  <si>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</si>
  <si>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</si>
  <si>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</si>
  <si>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</si>
  <si>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</si>
  <si>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</si>
  <si>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</si>
  <si>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</si>
  <si>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</si>
  <si>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</si>
  <si>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</si>
  <si>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</si>
  <si>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</si>
  <si>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</si>
  <si>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</si>
  <si>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</si>
  <si>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</si>
  <si>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</si>
  <si>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</si>
  <si>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</si>
  <si>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</si>
  <si>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</si>
  <si>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</si>
  <si>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</si>
  <si>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</si>
  <si>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</si>
  <si>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</si>
  <si>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</si>
  <si>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</si>
  <si>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</si>
  <si>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</si>
  <si>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</si>
  <si>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</si>
  <si>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</si>
  <si>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</si>
  <si>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</si>
  <si>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</si>
  <si>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</si>
  <si>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</si>
  <si>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</si>
  <si>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</si>
  <si>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</si>
  <si>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</si>
  <si>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</si>
  <si>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</si>
  <si>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</si>
  <si>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</si>
  <si>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</si>
  <si>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</si>
  <si>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</si>
  <si>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</si>
  <si>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</si>
  <si>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</si>
  <si>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</si>
  <si>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</si>
  <si>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</si>
  <si>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</si>
  <si>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</si>
  <si>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</si>
  <si>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</si>
  <si>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</si>
  <si>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</si>
  <si>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</si>
  <si>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</si>
  <si>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</si>
  <si>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</si>
  <si>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</si>
  <si>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</si>
  <si>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</si>
  <si>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</si>
  <si>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</si>
  <si>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</si>
  <si>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</si>
  <si>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</si>
  <si>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</si>
  <si>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</si>
  <si>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</si>
  <si>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</si>
  <si>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</si>
  <si>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</si>
  <si>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</si>
  <si>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</si>
  <si>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</si>
  <si>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</si>
  <si>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</si>
  <si>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</si>
  <si>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</si>
  <si>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</si>
  <si>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</si>
  <si>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</si>
  <si>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</si>
  <si>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</si>
  <si>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</si>
  <si>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</si>
  <si>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</si>
  <si>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</si>
  <si>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</si>
  <si>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</si>
  <si>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</si>
  <si>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</si>
  <si>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</si>
  <si>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</si>
  <si>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</si>
  <si>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</si>
  <si>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</si>
  <si>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</si>
  <si>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</si>
  <si>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</si>
  <si>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</si>
  <si>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</si>
  <si>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</si>
  <si>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</si>
  <si>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</si>
  <si>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</si>
  <si>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</si>
  <si>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</si>
  <si>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</si>
  <si>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</si>
  <si>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</si>
  <si>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</si>
  <si>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</si>
  <si>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</si>
  <si>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</si>
  <si>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</si>
  <si>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</si>
  <si>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</si>
  <si>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</si>
  <si>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</si>
  <si>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</si>
  <si>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</si>
  <si>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</si>
  <si>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</si>
  <si>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</si>
  <si>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</si>
  <si>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</si>
  <si>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</si>
  <si>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</si>
  <si>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</si>
  <si>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</si>
  <si>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</si>
  <si>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</si>
  <si>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</si>
  <si>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</si>
  <si>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</si>
  <si>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</si>
  <si>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</si>
  <si>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</si>
  <si>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</si>
  <si>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</si>
  <si>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</si>
  <si>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</si>
  <si>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</si>
  <si>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</si>
  <si>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</si>
  <si>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</si>
  <si>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</si>
  <si>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</si>
  <si>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</si>
  <si>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</si>
  <si>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</si>
  <si>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</si>
  <si>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</si>
  <si>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</si>
  <si>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</si>
  <si>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</si>
  <si>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</si>
  <si>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</si>
  <si>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</si>
  <si>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</si>
  <si>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</si>
  <si>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</si>
  <si>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</si>
  <si>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</si>
  <si>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</si>
  <si>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</si>
  <si>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</si>
  <si>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</si>
  <si>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</si>
  <si>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</si>
  <si>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</si>
  <si>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</si>
  <si>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</si>
  <si>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</si>
  <si>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</si>
  <si>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</si>
  <si>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</si>
  <si>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</si>
  <si>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</si>
  <si>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</si>
  <si>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</si>
  <si>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</si>
  <si>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</si>
  <si>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</si>
  <si>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</si>
  <si>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</si>
  <si>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</si>
  <si>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</si>
  <si>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</si>
  <si>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</si>
  <si>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</si>
  <si>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</si>
  <si>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</si>
  <si>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</si>
  <si>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</si>
  <si>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</si>
  <si>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</si>
  <si>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</si>
  <si>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</si>
  <si>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</si>
  <si>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</si>
  <si>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</si>
  <si>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</si>
  <si>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</si>
  <si>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</si>
  <si>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</si>
  <si>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</si>
  <si>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</si>
  <si>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</si>
  <si>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</si>
  <si>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</si>
  <si>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</si>
  <si>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</si>
  <si>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</si>
  <si>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</si>
  <si>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</si>
  <si>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</si>
  <si>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</si>
  <si>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</si>
  <si>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</si>
  <si>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</si>
  <si>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</si>
  <si>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</si>
  <si>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</si>
  <si>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</si>
  <si>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</si>
  <si>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</si>
  <si>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</si>
  <si>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</si>
  <si>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</si>
  <si>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</si>
  <si>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</si>
  <si>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</si>
  <si>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</si>
  <si>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</si>
  <si>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</si>
  <si>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</si>
  <si>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</si>
  <si>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</si>
  <si>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</si>
  <si>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</si>
  <si>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</si>
  <si>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</si>
  <si>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</si>
  <si>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</si>
  <si>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</si>
  <si>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</si>
  <si>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</si>
  <si>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</si>
  <si>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</si>
  <si>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</si>
  <si>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</si>
  <si>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</si>
  <si>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</si>
  <si>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</si>
  <si>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</si>
  <si>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</si>
  <si>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</si>
  <si>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</si>
  <si>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</si>
  <si>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</si>
  <si>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</si>
  <si>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</si>
  <si>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</si>
  <si>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</si>
  <si>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</si>
  <si>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</si>
  <si>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</si>
  <si>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</si>
  <si>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</si>
  <si>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</si>
  <si>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</si>
  <si>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</si>
  <si>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</si>
  <si>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</si>
  <si>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</si>
  <si>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</si>
  <si>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</si>
  <si>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</si>
  <si>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</si>
  <si>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</si>
  <si>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</si>
  <si>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</si>
  <si>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</si>
  <si>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</si>
  <si>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</si>
  <si>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</si>
  <si>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</si>
  <si>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</si>
  <si>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</si>
  <si>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</si>
  <si>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</si>
  <si>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</si>
  <si>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</si>
  <si>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</si>
  <si>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</si>
  <si>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</si>
  <si>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</si>
  <si>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</si>
  <si>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</si>
  <si>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</si>
  <si>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</si>
  <si>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</si>
  <si>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</si>
  <si>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</si>
  <si>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</si>
  <si>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</si>
  <si>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</si>
  <si>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</si>
  <si>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</si>
  <si>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</si>
  <si>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</si>
  <si>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</si>
  <si>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</si>
  <si>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</si>
  <si>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</si>
  <si>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</si>
  <si>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</si>
  <si>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</si>
  <si>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</si>
  <si>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</si>
  <si>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</si>
  <si>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</si>
  <si>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</si>
  <si>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</si>
  <si>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</si>
  <si>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</si>
  <si>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</si>
  <si>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</si>
  <si>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</si>
  <si>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</si>
  <si>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</si>
  <si>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</si>
  <si>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</si>
  <si>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</si>
  <si>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</si>
  <si>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</si>
  <si>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</si>
  <si>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</si>
  <si>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</si>
  <si>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</si>
  <si>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</si>
  <si>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</si>
  <si>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</si>
  <si>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</si>
  <si>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</si>
  <si>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</si>
  <si>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</si>
  <si>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</si>
  <si>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</si>
  <si>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</si>
  <si>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</si>
  <si>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</si>
  <si>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</si>
  <si>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</si>
  <si>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</si>
  <si>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</si>
  <si>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</si>
  <si>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</si>
  <si>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</si>
  <si>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</si>
  <si>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</si>
  <si>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</si>
  <si>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</si>
  <si>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</si>
  <si>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</si>
  <si>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</si>
  <si>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</si>
  <si>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</si>
  <si>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</si>
  <si>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</si>
  <si>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</si>
  <si>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</si>
  <si>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</si>
  <si>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</si>
  <si>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</si>
  <si>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</si>
  <si>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</si>
  <si>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</si>
  <si>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</si>
  <si>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</si>
  <si>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</si>
  <si>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</si>
  <si>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</si>
  <si>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</si>
  <si>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</si>
  <si>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</si>
  <si>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</si>
  <si>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</si>
  <si>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</si>
  <si>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</si>
  <si>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</si>
  <si>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</si>
  <si>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</si>
  <si>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</si>
  <si>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</si>
  <si>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</si>
  <si>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</si>
  <si>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</si>
  <si>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</si>
  <si>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</si>
  <si>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</si>
  <si>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</si>
  <si>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</si>
  <si>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</si>
  <si>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</si>
  <si>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</si>
  <si>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</si>
  <si>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</si>
  <si>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</si>
  <si>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</si>
  <si>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</si>
  <si>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</si>
  <si>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</si>
  <si>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</si>
  <si>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</si>
  <si>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</si>
  <si>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</si>
  <si>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</si>
  <si>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</si>
  <si>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</si>
  <si>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</si>
  <si>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</si>
  <si>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</si>
  <si>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</si>
  <si>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</si>
  <si>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</si>
  <si>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</si>
  <si>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</si>
  <si>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</si>
  <si>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</si>
  <si>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</si>
  <si>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</si>
  <si>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</si>
  <si>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</si>
  <si>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</si>
  <si>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</si>
  <si>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</si>
  <si>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</si>
  <si>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</si>
  <si>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</si>
  <si>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</si>
  <si>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</si>
  <si>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</si>
  <si>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</si>
  <si>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</si>
  <si>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</si>
  <si>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</si>
  <si>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</si>
  <si>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</si>
  <si>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</si>
  <si>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</si>
  <si>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</si>
  <si>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</si>
  <si>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</si>
  <si>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</si>
  <si>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</si>
  <si>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</si>
  <si>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</si>
  <si>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</si>
  <si>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</si>
  <si>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</si>
  <si>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</si>
  <si>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</si>
  <si>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</si>
  <si>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</si>
  <si>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</si>
  <si>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</si>
  <si>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</si>
  <si>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</si>
  <si>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</si>
  <si>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</si>
  <si>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</si>
  <si>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</si>
  <si>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</si>
  <si>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</si>
  <si>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</si>
  <si>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</si>
  <si>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</si>
  <si>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</si>
  <si>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</si>
  <si>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</si>
  <si>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</si>
  <si>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</si>
  <si>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</si>
  <si>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</si>
  <si>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</si>
  <si>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</si>
  <si>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</si>
  <si>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</si>
  <si>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</si>
  <si>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</si>
  <si>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</si>
  <si>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</si>
  <si>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</si>
  <si>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</si>
  <si>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</si>
  <si>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</si>
  <si>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</si>
  <si>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</si>
  <si>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</si>
  <si>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</si>
  <si>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</si>
  <si>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</si>
  <si>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</si>
  <si>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</si>
  <si>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</si>
  <si>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</si>
  <si>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</si>
  <si>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</si>
  <si>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</si>
  <si>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</si>
  <si>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</si>
  <si>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</si>
  <si>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</si>
  <si>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</si>
  <si>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</si>
  <si>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</si>
  <si>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</si>
  <si>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</si>
  <si>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</si>
  <si>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</si>
  <si>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</si>
  <si>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</si>
  <si>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</si>
  <si>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</si>
  <si>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</si>
  <si>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</si>
  <si>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</si>
  <si>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</si>
  <si>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</si>
  <si>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</si>
  <si>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</si>
  <si>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</si>
  <si>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</si>
  <si>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</si>
  <si>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</si>
  <si>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</si>
  <si>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</si>
  <si>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</si>
  <si>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</si>
  <si>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</si>
  <si>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</si>
  <si>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</si>
  <si>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</si>
  <si>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</si>
  <si>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</si>
  <si>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</si>
  <si>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</si>
  <si>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</si>
  <si>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</si>
  <si>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</si>
  <si>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</si>
  <si>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</si>
  <si>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</si>
  <si>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</si>
  <si>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</si>
  <si>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</si>
  <si>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</si>
  <si>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</si>
  <si>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</si>
  <si>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</si>
  <si>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</si>
  <si>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</si>
  <si>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</si>
  <si>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</si>
  <si>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</si>
  <si>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</si>
  <si>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</si>
  <si>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</si>
  <si>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</si>
  <si>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</si>
  <si>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</si>
  <si>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</si>
  <si>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</si>
  <si>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</si>
  <si>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</si>
  <si>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</si>
  <si>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</si>
  <si>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</si>
  <si>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</si>
  <si>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</si>
  <si>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</si>
  <si>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</si>
  <si>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</si>
  <si>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</si>
  <si>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</si>
  <si>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</si>
  <si>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</si>
  <si>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</si>
  <si>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</si>
  <si>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</si>
  <si>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</si>
  <si>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</si>
  <si>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</si>
  <si>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</si>
  <si>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</si>
  <si>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</si>
  <si>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</si>
  <si>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</si>
  <si>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</si>
  <si>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</si>
  <si>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</si>
  <si>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</si>
  <si>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</si>
  <si>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</si>
  <si>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</si>
  <si>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</si>
  <si>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</si>
  <si>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</si>
  <si>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</si>
  <si>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</si>
  <si>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</si>
  <si>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</si>
  <si>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</si>
  <si>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</si>
  <si>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</si>
  <si>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</si>
  <si>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</si>
  <si>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</si>
  <si>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</si>
  <si>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</si>
  <si>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</si>
  <si>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</si>
  <si>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</si>
  <si>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</si>
  <si>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</si>
  <si>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</si>
  <si>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</si>
  <si>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</si>
  <si>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</si>
  <si>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</si>
  <si>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</si>
  <si>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</si>
  <si>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</si>
  <si>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</si>
  <si>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</si>
  <si>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</si>
  <si>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</si>
  <si>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</si>
  <si>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</si>
  <si>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</si>
  <si>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</si>
  <si>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</si>
  <si>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</si>
  <si>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</si>
  <si>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</si>
  <si>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</si>
  <si>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</si>
  <si>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</si>
  <si>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</si>
  <si>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</si>
  <si>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</si>
  <si>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</si>
  <si>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</si>
  <si>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</si>
  <si>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</si>
  <si>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</si>
  <si>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</si>
  <si>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</si>
  <si>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</si>
  <si>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</si>
  <si>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</si>
  <si>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</si>
  <si>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</si>
  <si>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</si>
  <si>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</si>
  <si>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</si>
  <si>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</si>
  <si>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</si>
  <si>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</si>
  <si>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</si>
  <si>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</si>
  <si>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</si>
  <si>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</si>
  <si>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</si>
  <si>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</si>
  <si>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</si>
  <si>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</si>
  <si>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</si>
  <si>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</si>
  <si>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</si>
  <si>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</si>
  <si>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</si>
  <si>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</si>
  <si>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</si>
  <si>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</si>
  <si>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</si>
  <si>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</si>
  <si>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</si>
  <si>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</si>
  <si>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</si>
  <si>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</si>
  <si>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</si>
  <si>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</si>
  <si>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</si>
  <si>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</si>
  <si>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</si>
  <si>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</si>
  <si>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</si>
  <si>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</si>
  <si>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</si>
  <si>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</si>
  <si>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</si>
  <si>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</si>
  <si>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</si>
  <si>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</si>
  <si>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</si>
  <si>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</si>
  <si>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</si>
  <si>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</si>
  <si>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</si>
  <si>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</si>
  <si>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</si>
  <si>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</si>
  <si>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</si>
  <si>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</si>
  <si>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</si>
  <si>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</si>
  <si>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</si>
  <si>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</si>
  <si>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</si>
  <si>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</si>
  <si>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</si>
  <si>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</si>
  <si>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</si>
  <si>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</si>
  <si>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</si>
  <si>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</si>
  <si>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</si>
  <si>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</si>
  <si>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</si>
  <si>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</si>
  <si>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</si>
  <si>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</si>
  <si>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</si>
  <si>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</si>
  <si>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</si>
  <si>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</si>
  <si>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</si>
  <si>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</si>
  <si>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</si>
  <si>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</si>
  <si>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</si>
  <si>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</si>
  <si>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</si>
  <si>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</si>
  <si>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</si>
  <si>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</si>
  <si>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</si>
  <si>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</si>
  <si>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</si>
  <si>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</si>
  <si>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</si>
  <si>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</si>
  <si>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</si>
  <si>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</si>
  <si>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</si>
  <si>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</si>
  <si>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</si>
  <si>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</si>
  <si>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</si>
  <si>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</si>
  <si>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</si>
  <si>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</si>
  <si>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</si>
  <si>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</si>
  <si>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</si>
  <si>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</si>
  <si>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</si>
  <si>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</si>
  <si>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</si>
  <si>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</si>
  <si>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</si>
  <si>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</si>
  <si>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</si>
  <si>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</si>
  <si>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</si>
  <si>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</si>
  <si>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</si>
  <si>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</si>
  <si>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</si>
  <si>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</si>
  <si>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</si>
  <si>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</si>
  <si>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</si>
  <si>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</si>
  <si>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</si>
  <si>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</si>
  <si>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</si>
  <si>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</si>
  <si>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</si>
  <si>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</si>
  <si>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</si>
  <si>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</si>
  <si>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</si>
  <si>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</si>
  <si>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</si>
  <si>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</si>
  <si>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</si>
  <si>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</si>
  <si>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</si>
  <si>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</si>
  <si>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</si>
  <si>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</si>
  <si>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</si>
  <si>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</si>
  <si>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</si>
  <si>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</si>
  <si>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</si>
  <si>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</si>
  <si>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</si>
  <si>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</si>
  <si>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</si>
  <si>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</si>
  <si>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</si>
  <si>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</si>
  <si>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</si>
  <si>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</si>
  <si>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</si>
  <si>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</si>
  <si>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</si>
  <si>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</si>
  <si>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</si>
  <si>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</si>
  <si>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</si>
  <si>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</si>
  <si>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</si>
  <si>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</si>
  <si>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</si>
  <si>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</si>
  <si>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</si>
  <si>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</si>
  <si>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</si>
  <si>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</si>
  <si>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</si>
  <si>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</si>
  <si>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</si>
  <si>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</si>
  <si>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</si>
  <si>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</si>
  <si>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</si>
  <si>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</si>
  <si>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</si>
  <si>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</si>
  <si>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</si>
  <si>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</si>
  <si>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</si>
  <si>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</si>
  <si>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</si>
  <si>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</si>
  <si>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</si>
  <si>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</si>
  <si>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</si>
  <si>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</si>
  <si>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</si>
  <si>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</si>
  <si>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</si>
  <si>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</si>
  <si>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</si>
  <si>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</si>
  <si>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</si>
  <si>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</si>
  <si>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</si>
  <si>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</si>
  <si>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</si>
  <si>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</si>
  <si>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</si>
  <si>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</si>
  <si>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</si>
  <si>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</si>
  <si>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</si>
  <si>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</si>
  <si>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</si>
  <si>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</si>
  <si>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</si>
  <si>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</si>
  <si>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</si>
  <si>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</si>
  <si>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</si>
  <si>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</si>
  <si>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</si>
  <si>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</si>
  <si>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</si>
  <si>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</si>
  <si>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</si>
  <si>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</si>
  <si>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</si>
  <si>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</si>
  <si>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</si>
  <si>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</si>
  <si>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</si>
  <si>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</si>
  <si>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</si>
  <si>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</si>
  <si>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</si>
  <si>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</si>
  <si>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</si>
  <si>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</si>
  <si>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</si>
  <si>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</si>
  <si>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</si>
  <si>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</si>
  <si>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</si>
  <si>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</si>
  <si>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</si>
  <si>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</si>
  <si>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</si>
  <si>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</si>
  <si>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</si>
  <si>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</si>
  <si>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</si>
  <si>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</si>
  <si>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</si>
  <si>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</si>
  <si>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</si>
  <si>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</si>
  <si>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</si>
  <si>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</si>
  <si>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</si>
  <si>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</si>
  <si>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</si>
  <si>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</si>
  <si>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</si>
  <si>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</si>
  <si>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</si>
  <si>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</si>
  <si>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</si>
  <si>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</si>
  <si>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</si>
  <si>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</si>
  <si>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</si>
  <si>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</si>
  <si>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</si>
  <si>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</si>
  <si>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</si>
  <si>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</si>
  <si>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</si>
  <si>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</si>
  <si>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</si>
  <si>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</si>
  <si>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</si>
  <si>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</si>
  <si>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</si>
  <si>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</si>
  <si>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</si>
  <si>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</si>
  <si>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</si>
  <si>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</si>
  <si>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</si>
  <si>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</si>
  <si>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</si>
  <si>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</si>
  <si>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</si>
  <si>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</si>
  <si>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</si>
  <si>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</si>
  <si>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</si>
  <si>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</si>
  <si>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</si>
  <si>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</si>
  <si>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</si>
  <si>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</si>
  <si>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</si>
  <si>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</si>
  <si>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</si>
  <si>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</si>
  <si>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</si>
  <si>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</si>
  <si>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</si>
  <si>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</si>
  <si>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</si>
  <si>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</si>
  <si>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</si>
  <si>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</si>
  <si>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</si>
  <si>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</si>
  <si>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</si>
  <si>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</si>
  <si>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</si>
  <si>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</si>
  <si>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</si>
  <si>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</si>
  <si>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</si>
  <si>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</si>
  <si>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</si>
  <si>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</si>
  <si>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</si>
  <si>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</si>
  <si>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</si>
  <si>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</si>
  <si>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</si>
  <si>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</si>
  <si>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</si>
  <si>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</si>
  <si>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</si>
  <si>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</si>
  <si>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</si>
  <si>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</si>
  <si>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</si>
  <si>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</si>
  <si>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</si>
  <si>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</si>
  <si>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</si>
  <si>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</si>
  <si>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</si>
  <si>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</si>
  <si>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</si>
  <si>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</si>
  <si>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</si>
  <si>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</si>
  <si>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</si>
  <si>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</si>
  <si>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</si>
  <si>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</si>
  <si>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</si>
  <si>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</si>
  <si>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</si>
  <si>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</si>
  <si>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</si>
  <si>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</si>
  <si>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</si>
  <si>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</si>
  <si>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</si>
  <si>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</si>
  <si>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</si>
  <si>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</si>
  <si>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</si>
  <si>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</si>
  <si>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</si>
  <si>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</si>
  <si>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</si>
  <si>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</si>
  <si>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</si>
  <si>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</si>
  <si>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</si>
  <si>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</si>
  <si>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</si>
  <si>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</si>
  <si>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</si>
  <si>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</si>
  <si>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</si>
  <si>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</si>
  <si>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</si>
  <si>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</si>
  <si>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</si>
  <si>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</si>
  <si>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</si>
  <si>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</si>
  <si>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</si>
  <si>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</si>
  <si>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</si>
  <si>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</si>
  <si>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</si>
  <si>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</si>
  <si>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</si>
  <si>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</si>
  <si>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</si>
  <si>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</si>
  <si>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</si>
  <si>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</si>
  <si>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</si>
  <si>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</si>
  <si>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</si>
  <si>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</si>
  <si>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</si>
  <si>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</si>
  <si>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</si>
  <si>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</si>
  <si>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</si>
  <si>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</si>
  <si>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</si>
  <si>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</si>
  <si>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</si>
  <si>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</si>
  <si>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</si>
  <si>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</si>
  <si>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</si>
  <si>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</si>
  <si>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</si>
  <si>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</si>
  <si>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</si>
  <si>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</si>
  <si>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</si>
  <si>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</si>
  <si>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</si>
  <si>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</si>
  <si>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</si>
  <si>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</si>
  <si>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</si>
  <si>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</si>
  <si>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</si>
  <si>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</si>
  <si>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</si>
  <si>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</si>
  <si>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</si>
  <si>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</si>
  <si>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</si>
  <si>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</si>
  <si>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</si>
  <si>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</si>
  <si>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</si>
  <si>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</si>
  <si>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</si>
  <si>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</si>
  <si>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</si>
  <si>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</si>
  <si>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</si>
  <si>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</si>
  <si>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</si>
  <si>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</si>
  <si>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</si>
  <si>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</si>
  <si>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</si>
  <si>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</si>
  <si>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</si>
  <si>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</si>
  <si>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</si>
  <si>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</si>
  <si>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</si>
  <si>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</si>
  <si>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</si>
  <si>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</si>
  <si>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</si>
  <si>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</si>
  <si>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</si>
  <si>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</si>
  <si>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</si>
  <si>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</si>
  <si>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</si>
  <si>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</si>
  <si>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</si>
  <si>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</si>
  <si>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</si>
  <si>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</si>
  <si>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</si>
  <si>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</si>
  <si>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</si>
  <si>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</si>
  <si>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</si>
  <si>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</si>
  <si>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</si>
  <si>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</si>
  <si>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</si>
  <si>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</si>
  <si>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</si>
  <si>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</si>
  <si>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</si>
  <si>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</si>
  <si>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</si>
  <si>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</si>
  <si>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</si>
  <si>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</si>
  <si>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</si>
  <si>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</si>
  <si>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</si>
  <si>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</si>
  <si>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</si>
  <si>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</si>
  <si>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</si>
  <si>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</si>
  <si>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</si>
  <si>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</si>
  <si>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</si>
  <si>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</si>
  <si>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</si>
  <si>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</si>
  <si>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</si>
  <si>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</si>
  <si>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</si>
  <si>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</si>
  <si>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</si>
  <si>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</si>
  <si>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</si>
  <si>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</si>
  <si>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</si>
  <si>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</si>
  <si>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</si>
  <si>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</si>
  <si>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</si>
  <si>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</si>
  <si>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</si>
  <si>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</si>
  <si>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</si>
  <si>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</si>
  <si>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</si>
  <si>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</si>
  <si>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</si>
  <si>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</si>
  <si>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</si>
  <si>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</si>
  <si>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</si>
  <si>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</si>
  <si>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</si>
  <si>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</si>
  <si>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</si>
  <si>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</si>
  <si>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</si>
  <si>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</si>
  <si>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</si>
  <si>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</si>
  <si>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</si>
  <si>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</si>
  <si>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</si>
  <si>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</si>
  <si>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</si>
  <si>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</si>
  <si>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</si>
  <si>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</si>
  <si>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</si>
  <si>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</si>
  <si>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</si>
  <si>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</si>
  <si>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</si>
  <si>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</si>
  <si>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</si>
  <si>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</si>
  <si>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</si>
  <si>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</si>
  <si>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</si>
  <si>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</si>
  <si>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</si>
  <si>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</si>
  <si>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</si>
  <si>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</si>
  <si>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</si>
  <si>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</si>
  <si>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</si>
  <si>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</si>
  <si>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</si>
  <si>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</si>
  <si>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</si>
  <si>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</si>
  <si>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</si>
  <si>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</si>
  <si>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</si>
  <si>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</si>
  <si>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</si>
  <si>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</si>
  <si>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</si>
  <si>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</si>
  <si>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</si>
  <si>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</si>
  <si>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</si>
  <si>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</si>
  <si>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</si>
  <si>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</si>
  <si>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</si>
  <si>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</si>
  <si>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</si>
  <si>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</si>
  <si>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</si>
  <si>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</si>
  <si>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</si>
  <si>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</si>
  <si>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</si>
  <si>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</si>
  <si>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</si>
  <si>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</si>
  <si>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</si>
  <si>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</si>
  <si>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</si>
  <si>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</si>
  <si>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</si>
  <si>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</si>
  <si>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</si>
  <si>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</si>
  <si>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</si>
  <si>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</si>
  <si>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</si>
  <si>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</si>
  <si>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</si>
  <si>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</si>
  <si>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</si>
  <si>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</si>
  <si>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</si>
  <si>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</si>
  <si>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</si>
  <si>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</si>
  <si>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</si>
  <si>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</si>
  <si>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</si>
  <si>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</si>
  <si>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</si>
  <si>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</si>
  <si>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</si>
  <si>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</si>
  <si>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</si>
  <si>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</si>
  <si>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</si>
  <si>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</si>
  <si>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</si>
  <si>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</si>
  <si>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</si>
  <si>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</si>
  <si>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</si>
  <si>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</si>
  <si>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</si>
  <si>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</si>
  <si>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</si>
  <si>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</si>
  <si>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</si>
  <si>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</si>
  <si>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</si>
  <si>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</si>
  <si>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</si>
  <si>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</si>
  <si>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</si>
  <si>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</si>
  <si>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</si>
  <si>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</si>
  <si>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</si>
  <si>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</si>
  <si>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</si>
  <si>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</si>
  <si>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</si>
  <si>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</si>
  <si>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</si>
  <si>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</si>
  <si>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</si>
  <si>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</si>
  <si>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</si>
  <si>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</si>
  <si>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</si>
  <si>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</si>
  <si>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</si>
  <si>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</si>
  <si>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</si>
  <si>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</si>
  <si>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</si>
  <si>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</si>
  <si>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</si>
  <si>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</si>
  <si>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</si>
  <si>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</si>
  <si>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</si>
  <si>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</si>
  <si>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</si>
  <si>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</si>
  <si>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</si>
  <si>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</si>
  <si>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</si>
  <si>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</si>
  <si>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</si>
  <si>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</si>
  <si>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</si>
  <si>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</si>
  <si>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</si>
  <si>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</si>
  <si>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</si>
  <si>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</si>
  <si>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</si>
  <si>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</si>
  <si>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</si>
  <si>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</si>
  <si>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</si>
  <si>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</si>
  <si>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</si>
  <si>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</si>
  <si>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</si>
  <si>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</si>
  <si>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</si>
  <si>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</si>
  <si>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</si>
  <si>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</si>
  <si>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</si>
  <si>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</si>
  <si>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</si>
  <si>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</si>
  <si>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</si>
  <si>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</si>
  <si>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</si>
  <si>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</si>
  <si>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</si>
  <si>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</si>
  <si>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</si>
  <si>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</si>
  <si>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</si>
  <si>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</si>
  <si>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</si>
  <si>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</si>
  <si>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</si>
  <si>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</si>
  <si>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</si>
  <si>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</si>
  <si>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</si>
  <si>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</si>
  <si>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</si>
  <si>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</si>
  <si>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</si>
  <si>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</si>
  <si>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</si>
  <si>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</si>
  <si>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</si>
  <si>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</si>
  <si>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</si>
  <si>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</si>
  <si>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</si>
  <si>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</si>
  <si>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</si>
  <si>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</si>
  <si>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</si>
  <si>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</si>
  <si>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</si>
  <si>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</si>
  <si>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</si>
  <si>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</si>
  <si>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</si>
  <si>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</si>
  <si>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</si>
  <si>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</si>
  <si>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</si>
  <si>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</si>
  <si>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</si>
  <si>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</si>
  <si>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</si>
  <si>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</si>
  <si>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</si>
  <si>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</si>
  <si>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</si>
  <si>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</si>
  <si>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</si>
  <si>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</si>
  <si>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</si>
  <si>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</si>
  <si>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</si>
  <si>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</si>
  <si>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</si>
  <si>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</si>
  <si>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</si>
  <si>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</si>
  <si>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</si>
  <si>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</si>
  <si>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</si>
  <si>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</si>
  <si>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</si>
  <si>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</si>
  <si>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</si>
  <si>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</si>
  <si>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</si>
  <si>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</si>
  <si>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</si>
  <si>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</si>
  <si>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</si>
  <si>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</si>
  <si>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</si>
  <si>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</si>
  <si>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</si>
  <si>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</si>
  <si>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</si>
  <si>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</si>
  <si>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</si>
  <si>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</si>
  <si>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</si>
  <si>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</si>
  <si>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</si>
  <si>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</si>
  <si>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</si>
  <si>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</si>
  <si>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</si>
  <si>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</si>
  <si>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</si>
  <si>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</si>
  <si>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</si>
  <si>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</si>
  <si>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</si>
  <si>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</si>
  <si>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</si>
  <si>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</si>
  <si>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</si>
  <si>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</si>
  <si>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</si>
  <si>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</si>
  <si>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</si>
  <si>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</si>
  <si>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</si>
  <si>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</si>
  <si>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</si>
  <si>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</si>
  <si>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</si>
  <si>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</si>
  <si>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</si>
  <si>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</si>
  <si>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</si>
  <si>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</si>
  <si>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</si>
  <si>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</si>
  <si>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</si>
  <si>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</si>
  <si>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</si>
  <si>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</si>
  <si>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</si>
  <si>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</si>
  <si>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</si>
  <si>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</si>
  <si>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</si>
  <si>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</si>
  <si>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</si>
  <si>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</si>
  <si>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</si>
  <si>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</si>
  <si>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</si>
  <si>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</si>
  <si>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</si>
  <si>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</si>
  <si>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</si>
  <si>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</si>
  <si>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</si>
  <si>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</si>
  <si>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</si>
  <si>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</si>
  <si>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</si>
  <si>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</si>
  <si>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</si>
  <si>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</si>
  <si>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</si>
  <si>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</si>
  <si>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</si>
  <si>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</si>
  <si>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</si>
  <si>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</si>
  <si>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</si>
  <si>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</si>
  <si>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</si>
  <si>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</si>
  <si>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</si>
  <si>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</si>
  <si>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</si>
  <si>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</si>
  <si>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</si>
  <si>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</si>
  <si>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</si>
  <si>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</si>
  <si>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</si>
  <si>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</si>
  <si>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</si>
  <si>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</si>
  <si>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</si>
  <si>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</si>
  <si>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</si>
  <si>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</si>
  <si>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</si>
  <si>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</si>
  <si>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</si>
  <si>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</si>
  <si>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</si>
  <si>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</si>
  <si>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</si>
  <si>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</si>
  <si>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</si>
  <si>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</si>
  <si>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</si>
  <si>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</si>
  <si>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</si>
  <si>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</si>
  <si>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</si>
  <si>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</si>
  <si>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</si>
  <si>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</si>
  <si>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</si>
  <si>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</si>
  <si>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</si>
  <si>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</si>
  <si>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</si>
  <si>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</si>
  <si>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</si>
  <si>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</si>
  <si>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</si>
  <si>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</si>
  <si>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</si>
  <si>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</si>
  <si>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</si>
  <si>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</si>
  <si>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</si>
  <si>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</si>
  <si>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</si>
  <si>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</si>
  <si>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</si>
  <si>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</si>
  <si>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</si>
  <si>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</si>
  <si>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</si>
  <si>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</si>
  <si>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</si>
  <si>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</si>
  <si>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</si>
  <si>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</si>
  <si>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</si>
  <si>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</si>
  <si>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</si>
  <si>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</si>
  <si>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</si>
  <si>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</si>
  <si>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</si>
  <si>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</si>
  <si>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</si>
  <si>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</si>
  <si>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</si>
  <si>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</si>
  <si>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</si>
  <si>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</si>
  <si>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</si>
  <si>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</si>
  <si>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</si>
  <si>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</si>
  <si>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</si>
  <si>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</si>
  <si>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</si>
  <si>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</si>
  <si>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</si>
  <si>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</si>
  <si>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</si>
  <si>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</si>
  <si>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</si>
  <si>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</si>
  <si>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</si>
  <si>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</si>
  <si>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</si>
  <si>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</si>
  <si>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</si>
  <si>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</si>
  <si>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</si>
  <si>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</si>
  <si>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</si>
  <si>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</si>
  <si>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</si>
  <si>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</si>
  <si>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</si>
  <si>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</si>
  <si>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</si>
  <si>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</si>
  <si>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</si>
  <si>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</si>
  <si>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</si>
  <si>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</si>
  <si>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</si>
  <si>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</si>
  <si>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</si>
  <si>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</si>
  <si>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</si>
  <si>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</si>
  <si>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</si>
  <si>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</si>
  <si>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</si>
  <si>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</si>
  <si>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</si>
  <si>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</si>
  <si>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</si>
  <si>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</si>
  <si>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</si>
  <si>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</si>
  <si>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</si>
  <si>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</si>
  <si>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</si>
  <si>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</si>
  <si>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</si>
  <si>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</si>
  <si>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</si>
  <si>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</si>
  <si>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</si>
  <si>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</si>
  <si>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</si>
  <si>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</si>
  <si>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</si>
  <si>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</si>
  <si>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</si>
  <si>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</si>
  <si>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</si>
  <si>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</si>
  <si>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</si>
  <si>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</si>
  <si>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</si>
  <si>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</si>
  <si>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</si>
  <si>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</si>
  <si>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</si>
  <si>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</si>
  <si>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</si>
  <si>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</si>
  <si>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</si>
  <si>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</si>
  <si>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</si>
  <si>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</si>
  <si>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</si>
  <si>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</si>
  <si>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</si>
  <si>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</si>
  <si>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</si>
  <si>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</si>
  <si>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</si>
  <si>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</si>
  <si>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</si>
  <si>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</si>
  <si>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</si>
  <si>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</si>
  <si>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</si>
  <si>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</si>
  <si>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</si>
  <si>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</si>
  <si>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</si>
  <si>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</si>
  <si>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</si>
  <si>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</si>
  <si>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</si>
  <si>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</si>
  <si>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</si>
  <si>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</si>
  <si>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</si>
  <si>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</si>
  <si>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</si>
  <si>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</si>
  <si>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</si>
  <si>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</si>
  <si>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</si>
  <si>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</si>
  <si>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</si>
  <si>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</si>
  <si>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</si>
  <si>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</si>
  <si>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</si>
  <si>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</si>
  <si>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</si>
  <si>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</si>
  <si>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</si>
  <si>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</si>
  <si>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</si>
  <si>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</si>
  <si>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</si>
  <si>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</si>
  <si>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</si>
  <si>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</si>
  <si>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</si>
  <si>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</si>
  <si>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</si>
  <si>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</si>
  <si>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</si>
  <si>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</si>
  <si>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</si>
  <si>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</si>
  <si>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</si>
  <si>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</si>
  <si>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</si>
  <si>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</si>
  <si>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</si>
  <si>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</si>
  <si>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</si>
  <si>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</si>
  <si>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</si>
  <si>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</si>
  <si>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</si>
  <si>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</si>
  <si>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</si>
  <si>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</si>
  <si>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</si>
  <si>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</si>
  <si>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</si>
  <si>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</si>
  <si>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</si>
  <si>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</si>
  <si>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</si>
  <si>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</si>
  <si>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</si>
  <si>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</si>
  <si>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</si>
  <si>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</si>
  <si>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</si>
  <si>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</si>
  <si>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</si>
  <si>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</si>
  <si>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</si>
  <si>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</si>
  <si>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</si>
  <si>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</si>
  <si>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</si>
  <si>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</si>
  <si>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</si>
  <si>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</si>
  <si>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</si>
  <si>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</si>
  <si>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</si>
  <si>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</si>
  <si>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</si>
  <si>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</si>
  <si>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</si>
  <si>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</si>
  <si>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</si>
  <si>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</si>
  <si>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</si>
  <si>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</si>
  <si>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</si>
  <si>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</si>
  <si>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</si>
  <si>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</si>
  <si>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</si>
  <si>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</si>
  <si>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</si>
  <si>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</si>
  <si>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</si>
  <si>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</si>
  <si>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</si>
  <si>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</si>
  <si>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</si>
  <si>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</si>
  <si>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</si>
  <si>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</si>
  <si>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</si>
  <si>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</si>
  <si>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</si>
  <si>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</si>
  <si>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</si>
  <si>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</si>
  <si>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</si>
  <si>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</si>
  <si>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</si>
  <si>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</si>
  <si>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</si>
  <si>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</si>
  <si>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</si>
  <si>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</si>
  <si>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</si>
  <si>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</si>
  <si>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</si>
  <si>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</si>
  <si>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</si>
  <si>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</si>
  <si>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</si>
  <si>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</si>
  <si>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</si>
  <si>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</si>
  <si>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</si>
  <si>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</si>
  <si>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</si>
  <si>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</si>
  <si>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</si>
  <si>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</si>
  <si>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</si>
  <si>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</si>
  <si>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</si>
  <si>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</si>
  <si>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</si>
  <si>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</si>
  <si>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</si>
  <si>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</si>
  <si>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</si>
  <si>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</si>
  <si>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</si>
  <si>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</si>
  <si>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</si>
  <si>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</si>
  <si>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</si>
  <si>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</si>
  <si>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</si>
  <si>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</si>
  <si>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</si>
  <si>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</si>
  <si>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</si>
  <si>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</si>
  <si>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</si>
  <si>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</si>
  <si>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</si>
  <si>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</si>
  <si>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</si>
  <si>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</si>
  <si>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</si>
  <si>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</si>
  <si>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</si>
  <si>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</si>
  <si>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</si>
  <si>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</si>
  <si>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</si>
  <si>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</si>
  <si>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</si>
  <si>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</si>
  <si>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</si>
  <si>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</si>
  <si>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</si>
  <si>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</si>
  <si>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</si>
  <si>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</si>
  <si>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</si>
  <si>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</si>
  <si>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</si>
  <si>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</si>
  <si>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</si>
  <si>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</si>
  <si>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</si>
  <si>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</si>
  <si>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</si>
  <si>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</si>
  <si>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</si>
  <si>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</si>
  <si>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</si>
  <si>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</si>
  <si>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</si>
  <si>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</si>
  <si>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</si>
  <si>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</si>
  <si>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</si>
  <si>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</si>
  <si>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</si>
  <si>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</si>
  <si>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</si>
  <si>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</si>
  <si>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</si>
  <si>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</si>
  <si>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</si>
  <si>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</si>
  <si>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</si>
  <si>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</si>
  <si>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</si>
  <si>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</si>
  <si>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</si>
  <si>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</si>
  <si>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</si>
  <si>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</si>
  <si>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</si>
  <si>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</si>
  <si>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</si>
  <si>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</si>
  <si>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</si>
  <si>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</si>
  <si>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</si>
  <si>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</si>
  <si>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</si>
  <si>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</si>
  <si>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</si>
  <si>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</si>
  <si>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</si>
  <si>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</si>
  <si>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</si>
  <si>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</si>
  <si>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</si>
  <si>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</si>
  <si>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</si>
  <si>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</si>
  <si>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</si>
  <si>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</si>
  <si>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</si>
  <si>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</si>
  <si>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</si>
  <si>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</si>
  <si>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</si>
  <si>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</si>
  <si>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</si>
  <si>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</si>
  <si>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</si>
  <si>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</si>
  <si>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</si>
  <si>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</si>
  <si>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</si>
  <si>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</si>
  <si>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</si>
  <si>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</si>
  <si>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</si>
  <si>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</si>
  <si>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</si>
  <si>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</si>
  <si>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</si>
  <si>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</si>
  <si>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</si>
  <si>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</si>
  <si>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</si>
  <si>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</si>
  <si>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</si>
  <si>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</si>
  <si>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</si>
  <si>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</si>
  <si>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</si>
  <si>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</si>
  <si>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</si>
  <si>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</si>
  <si>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</si>
  <si>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</si>
  <si>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</si>
  <si>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</si>
  <si>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</si>
  <si>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</si>
  <si>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</si>
  <si>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</si>
  <si>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</si>
  <si>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</si>
  <si>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</si>
  <si>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</si>
  <si>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</si>
  <si>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</si>
  <si>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</si>
  <si>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</si>
  <si>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</si>
  <si>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</si>
  <si>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</si>
  <si>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</si>
  <si>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</si>
  <si>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</si>
  <si>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</si>
  <si>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</si>
  <si>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</si>
  <si>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</si>
  <si>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</si>
  <si>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</si>
  <si>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</si>
  <si>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</si>
  <si>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</si>
  <si>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</si>
  <si>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</si>
  <si>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</si>
  <si>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</si>
  <si>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</si>
  <si>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</si>
  <si>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</si>
  <si>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</si>
  <si>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</si>
  <si>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</si>
  <si>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</si>
  <si>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</si>
  <si>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</si>
  <si>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</si>
  <si>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</si>
  <si>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</si>
  <si>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</si>
  <si>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</si>
  <si>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</si>
  <si>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</si>
  <si>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</si>
  <si>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</si>
  <si>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</si>
  <si>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</si>
  <si>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</si>
  <si>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</si>
  <si>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</si>
  <si>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</si>
  <si>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</si>
  <si>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</si>
  <si>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</si>
  <si>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</si>
  <si>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</si>
  <si>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</si>
  <si>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</si>
  <si>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</si>
  <si>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</si>
  <si>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</si>
  <si>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</si>
  <si>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</si>
  <si>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</si>
  <si>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</si>
  <si>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</si>
  <si>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</si>
  <si>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</si>
  <si>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</si>
  <si>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</si>
  <si>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</si>
  <si>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</si>
  <si>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</si>
  <si>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</si>
  <si>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</si>
  <si>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</si>
  <si>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</si>
  <si>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</si>
  <si>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</si>
  <si>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</si>
  <si>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</si>
  <si>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</si>
  <si>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</si>
  <si>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</si>
  <si>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</si>
  <si>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</si>
  <si>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</si>
  <si>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</si>
  <si>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</si>
  <si>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</si>
  <si>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</si>
  <si>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</si>
  <si>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</si>
  <si>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</si>
  <si>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</si>
  <si>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</si>
  <si>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</si>
  <si>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</si>
  <si>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</si>
  <si>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</si>
  <si>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</si>
  <si>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</si>
  <si>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</si>
  <si>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</si>
  <si>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</si>
  <si>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</si>
  <si>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</si>
  <si>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</si>
  <si>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</si>
  <si>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</si>
  <si>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</si>
  <si>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</si>
  <si>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</si>
  <si>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</si>
  <si>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</si>
  <si>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</si>
  <si>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</si>
  <si>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</si>
  <si>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</si>
  <si>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</si>
  <si>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</si>
  <si>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</si>
  <si>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</si>
  <si>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</si>
  <si>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</si>
  <si>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</si>
  <si>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</si>
  <si>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</si>
  <si>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</si>
  <si>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</si>
  <si>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</si>
  <si>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</si>
  <si>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</si>
  <si>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</si>
  <si>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</si>
  <si>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</si>
  <si>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</si>
  <si>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</si>
  <si>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</si>
  <si>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</si>
  <si>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</si>
  <si>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</si>
  <si>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</si>
  <si>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</si>
  <si>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</si>
  <si>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</si>
  <si>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</si>
  <si>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</si>
  <si>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</si>
  <si>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</si>
  <si>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</si>
  <si>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</si>
  <si>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</si>
  <si>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</si>
  <si>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</si>
  <si>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</si>
  <si>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</si>
  <si>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</si>
  <si>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</si>
  <si>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</si>
  <si>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</si>
  <si>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</si>
  <si>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</si>
  <si>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</si>
  <si>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</si>
  <si>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</si>
  <si>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</si>
  <si>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</si>
  <si>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</si>
  <si>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</si>
  <si>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</si>
  <si>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</si>
  <si>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</si>
  <si>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</si>
  <si>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</si>
  <si>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</si>
  <si>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</si>
  <si>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</si>
  <si>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</si>
  <si>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</si>
  <si>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</si>
  <si>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</si>
  <si>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</si>
  <si>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</si>
  <si>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</si>
  <si>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</si>
  <si>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</si>
  <si>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</si>
  <si>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</si>
  <si>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</si>
  <si>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</si>
  <si>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</si>
  <si>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</si>
  <si>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</si>
  <si>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</si>
  <si>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</si>
  <si>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</si>
  <si>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</si>
  <si>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</si>
  <si>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</si>
  <si>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</si>
  <si>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</si>
  <si>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</si>
  <si>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</si>
  <si>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</si>
  <si>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</si>
  <si>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</si>
  <si>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</si>
  <si>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</si>
  <si>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</si>
  <si>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</si>
  <si>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</si>
  <si>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</si>
  <si>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</si>
  <si>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</si>
  <si>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</si>
  <si>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</si>
  <si>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</si>
  <si>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</si>
  <si>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</si>
  <si>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</si>
  <si>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</si>
  <si>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</si>
  <si>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</si>
  <si>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</si>
  <si>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</si>
  <si>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</si>
  <si>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</si>
  <si>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</si>
  <si>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</si>
  <si>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</si>
  <si>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</si>
  <si>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</si>
  <si>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</si>
  <si>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</si>
  <si>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</si>
  <si>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</si>
  <si>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</si>
  <si>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</si>
  <si>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</si>
  <si>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</si>
  <si>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</si>
  <si>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</si>
  <si>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</si>
  <si>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</si>
  <si>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</si>
  <si>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</si>
  <si>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</si>
  <si>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</si>
  <si>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</si>
  <si>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</si>
  <si>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</si>
  <si>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</si>
  <si>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</si>
  <si>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</si>
  <si>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</si>
  <si>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</si>
  <si>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</si>
  <si>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</si>
  <si>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</si>
  <si>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</si>
  <si>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</si>
  <si>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</si>
  <si>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</si>
  <si>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</si>
  <si>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</si>
  <si>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</si>
  <si>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</si>
  <si>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</si>
  <si>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</si>
  <si>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</si>
  <si>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</si>
  <si>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</si>
  <si>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</si>
  <si>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</si>
  <si>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</si>
  <si>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</si>
  <si>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</si>
  <si>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</si>
  <si>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</si>
  <si>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</si>
  <si>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</si>
  <si>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</si>
  <si>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</si>
  <si>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</si>
  <si>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</si>
  <si>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</si>
  <si>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</si>
  <si>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</si>
  <si>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</si>
  <si>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</si>
  <si>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</si>
  <si>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</si>
  <si>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</si>
  <si>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</si>
  <si>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</si>
  <si>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</si>
  <si>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</si>
  <si>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</si>
  <si>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</si>
  <si>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</si>
  <si>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</si>
  <si>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</si>
  <si>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</si>
  <si>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</si>
  <si>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</si>
  <si>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</si>
  <si>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</si>
  <si>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</si>
  <si>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</si>
  <si>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</si>
  <si>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</si>
  <si>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</si>
  <si>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</si>
  <si>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</si>
  <si>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</si>
  <si>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</si>
  <si>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</si>
  <si>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</si>
  <si>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</si>
  <si>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</si>
  <si>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</si>
  <si>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</si>
  <si>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</si>
  <si>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</si>
  <si>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</si>
  <si>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</si>
  <si>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</si>
  <si>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</si>
  <si>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</si>
  <si>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</si>
  <si>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</si>
  <si>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</si>
  <si>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</si>
  <si>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</si>
  <si>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</si>
  <si>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</si>
  <si>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</si>
  <si>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</si>
  <si>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</si>
  <si>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</si>
  <si>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</si>
  <si>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</si>
  <si>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</si>
  <si>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</si>
  <si>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</si>
  <si>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</si>
  <si>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</si>
  <si>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</si>
  <si>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</si>
  <si>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</si>
  <si>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</si>
  <si>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</si>
  <si>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</si>
  <si>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</si>
  <si>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</si>
  <si>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</si>
  <si>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</si>
  <si>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</si>
  <si>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</si>
  <si>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</si>
  <si>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</si>
  <si>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</si>
  <si>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</si>
  <si>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</si>
  <si>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</si>
  <si>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</si>
  <si>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</si>
  <si>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</si>
  <si>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</si>
  <si>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</si>
  <si>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</si>
  <si>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</si>
  <si>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</si>
  <si>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</si>
  <si>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</si>
  <si>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</si>
  <si>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</si>
  <si>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</si>
  <si>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</si>
  <si>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</si>
  <si>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</si>
  <si>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</si>
  <si>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</si>
  <si>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</si>
  <si>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</si>
  <si>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</si>
  <si>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</si>
  <si>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</si>
  <si>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</si>
  <si>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</si>
  <si>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</si>
  <si>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</si>
  <si>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</si>
  <si>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</si>
  <si>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</si>
  <si>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</si>
  <si>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</si>
  <si>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</si>
  <si>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</si>
  <si>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</si>
  <si>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</si>
  <si>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</si>
  <si>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</si>
  <si>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</si>
  <si>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</si>
  <si>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</si>
  <si>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</si>
  <si>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</si>
  <si>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</si>
  <si>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</si>
  <si>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</si>
  <si>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</si>
  <si>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</si>
  <si>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</si>
  <si>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</si>
  <si>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</si>
  <si>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</si>
  <si>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</si>
  <si>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</si>
  <si>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</si>
  <si>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</si>
  <si>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</si>
  <si>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</si>
  <si>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</si>
  <si>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</si>
  <si>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</si>
  <si>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</si>
  <si>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</si>
  <si>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</si>
  <si>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</si>
  <si>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</si>
  <si>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</si>
  <si>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</si>
  <si>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</si>
  <si>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</si>
  <si>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</si>
  <si>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</si>
  <si>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</si>
  <si>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</si>
  <si>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</si>
  <si>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</si>
  <si>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</si>
  <si>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</si>
  <si>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</si>
  <si>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</si>
  <si>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</si>
  <si>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</si>
  <si>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</si>
  <si>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</si>
  <si>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</si>
  <si>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</si>
  <si>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</si>
  <si>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</si>
  <si>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</si>
  <si>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</si>
  <si>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</si>
  <si>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</si>
  <si>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</si>
  <si>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</si>
  <si>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</si>
  <si>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</si>
  <si>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</si>
  <si>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</si>
  <si>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</si>
  <si>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</si>
  <si>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</si>
  <si>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</si>
  <si>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</si>
  <si>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</si>
  <si>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</si>
  <si>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</si>
  <si>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</si>
  <si>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</si>
  <si>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</si>
  <si>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</si>
  <si>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</si>
  <si>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</si>
  <si>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</si>
  <si>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</si>
  <si>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</si>
  <si>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</si>
  <si>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</si>
  <si>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</si>
  <si>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</si>
  <si>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</si>
  <si>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</si>
  <si>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</si>
  <si>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</si>
  <si>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</si>
  <si>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</si>
  <si>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</si>
  <si>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</si>
  <si>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</si>
  <si>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</si>
  <si>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</si>
  <si>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</si>
  <si>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</si>
  <si>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</si>
  <si>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</si>
  <si>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</si>
  <si>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</si>
  <si>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</si>
  <si>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</si>
  <si>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</si>
  <si>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</si>
  <si>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</si>
  <si>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</si>
  <si>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</si>
  <si>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</si>
  <si>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</si>
  <si>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</si>
  <si>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</si>
  <si>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</si>
  <si>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</si>
  <si>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</si>
  <si>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</si>
  <si>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</si>
  <si>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</si>
  <si>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</si>
  <si>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</si>
  <si>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</si>
  <si>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</si>
  <si>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</si>
  <si>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</si>
  <si>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</si>
  <si>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</si>
  <si>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</si>
  <si>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</si>
  <si>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</si>
  <si>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</si>
  <si>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</si>
  <si>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</si>
  <si>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</si>
  <si>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</si>
  <si>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</si>
  <si>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</si>
  <si>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</si>
  <si>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</si>
  <si>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</si>
  <si>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</si>
  <si>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</si>
  <si>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</si>
  <si>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</si>
  <si>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</si>
  <si>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</si>
  <si>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</si>
  <si>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</si>
  <si>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</si>
  <si>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</si>
  <si>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</si>
  <si>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</si>
  <si>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</si>
  <si>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</si>
  <si>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</si>
  <si>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</si>
  <si>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</si>
  <si>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</si>
  <si>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</si>
  <si>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</si>
  <si>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</si>
  <si>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</si>
  <si>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</si>
  <si>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</si>
  <si>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</si>
  <si>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</si>
  <si>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</si>
  <si>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</si>
  <si>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</si>
  <si>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T2S</t>
    <phoneticPr fontId="5"/>
  </si>
  <si>
    <t>Child folder - Auto generated</t>
    <phoneticPr fontId="5"/>
  </si>
  <si>
    <t>Python stuffs</t>
    <phoneticPr fontId="5"/>
  </si>
  <si>
    <t>Source</t>
    <phoneticPr fontId="5"/>
  </si>
  <si>
    <t>Execution</t>
    <phoneticPr fontId="5"/>
  </si>
  <si>
    <t>言葉練習</t>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</si>
  <si>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</si>
  <si>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</si>
  <si>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</si>
  <si>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</si>
  <si>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</si>
  <si>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</si>
  <si>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</si>
  <si>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</si>
  <si>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</si>
  <si>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あかるい</t>
  </si>
  <si>
    <t>せいかくがあかるい</t>
  </si>
  <si>
    <t>ちちおや</t>
  </si>
  <si>
    <t>PHỤ THÂN</t>
  </si>
  <si>
    <t>cha</t>
  </si>
  <si>
    <t>hồ</t>
  </si>
  <si>
    <t>めざす</t>
  </si>
  <si>
    <t>MỤC CHỈ</t>
  </si>
  <si>
    <t>はつもうで</t>
  </si>
  <si>
    <t>SƠ NGHỆ</t>
  </si>
  <si>
    <t>しょうがくきん</t>
  </si>
  <si>
    <t>học bổng</t>
  </si>
  <si>
    <t>TOÀN THỂ</t>
  </si>
  <si>
    <t>tiêu biểu, đại diện</t>
  </si>
  <si>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</si>
  <si>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</si>
  <si>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</si>
  <si>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</si>
  <si>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</si>
  <si>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vui vẻ/tươi sáng</t>
  </si>
  <si>
    <t>TÁNH CÁCH MINH</t>
  </si>
  <si>
    <t>tính cách tươi sáng</t>
  </si>
  <si>
    <t>hướng đến (mục tiêu)</t>
  </si>
  <si>
    <t>đi chùa đầu năm</t>
  </si>
  <si>
    <t>SUY TIẾN TRẠNG</t>
    <phoneticPr fontId="5"/>
  </si>
  <si>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</si>
  <si>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</si>
  <si>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</si>
  <si>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</si>
  <si>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</si>
  <si>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1. Load ggApiKey from file instead of harded code (detected in GIT)</t>
    <phoneticPr fontId="5"/>
  </si>
  <si>
    <t>sự sống</t>
  </si>
  <si>
    <t>いつも</t>
    <phoneticPr fontId="5"/>
  </si>
  <si>
    <t>mỗi lần</t>
  </si>
  <si>
    <t>初詣</t>
  </si>
  <si>
    <t>[SƠ NGHỆ]</t>
  </si>
  <si>
    <t>1. Remove set virtual environment before calling shell scripts
2. Fix blur button
3. Add path selection for Meo/Vit PC</t>
    <phoneticPr fontId="5"/>
  </si>
  <si>
    <t>だいひょうする</t>
    <phoneticPr fontId="4"/>
  </si>
  <si>
    <t>Workspaces</t>
    <phoneticPr fontId="5"/>
  </si>
  <si>
    <t>Used workspace</t>
    <phoneticPr fontId="5"/>
  </si>
  <si>
    <t>MeoPC</t>
    <phoneticPr fontId="5"/>
  </si>
  <si>
    <t>VitPC</t>
    <phoneticPr fontId="5"/>
  </si>
  <si>
    <t>C:\Users\miph272640\PycharmProjects\VocalSoft</t>
    <phoneticPr fontId="5"/>
  </si>
  <si>
    <t>Reference data</t>
    <phoneticPr fontId="5"/>
  </si>
  <si>
    <t>Selection data</t>
    <phoneticPr fontId="5"/>
  </si>
  <si>
    <t>Move button, checkbox to new pop-up form</t>
    <phoneticPr fontId="5"/>
  </si>
  <si>
    <t>C:\Users\Neko\PycharmProjects\VocalSoft</t>
    <phoneticPr fontId="5"/>
  </si>
  <si>
    <t>1. Now image is generated based on template (coded config)
2. Fix blank generated image (add timer 300ms)
3. Show application status while generating video, audio
4. Fix Master Sheet fonts
5. Auto detect and load workspace to config sheet
6. Add watermark</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</si>
</sst>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ont>
    <font>
      <i/>
      <sz val="20"/>
      <color indexed="8"/>
      <name val="Times New Roman"/>
      <family val="1"/>
    </font>
    <font>
      <sz val="22"/>
      <color indexed="8"/>
      <name val="BIZ UDPMincho Medium"/>
    </font>
    <font>
      <sz val="28"/>
      <color indexed="10"/>
      <name val="Times New Roman"/>
      <family val="1"/>
    </font>
    <font>
      <sz val="11"/>
      <color theme="1"/>
      <name val="BIZ UDPMincho Medium"/>
    </font>
  </fonts>
  <fills count="13">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alignment vertical="center"/>
    </xf>
    <xf numFmtId="0" fontId="4" fillId="0" borderId="0"/>
    <xf numFmtId="0" fontId="7" fillId="0" borderId="0"/>
  </cellStyleXfs>
  <cellXfs count="79">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14" fontId="0" fillId="0" borderId="10" xfId="0" applyNumberFormat="1" applyBorder="1">
      <alignment vertical="center"/>
    </xf>
    <xf numFmtId="0" fontId="0" fillId="0" borderId="1" xfId="0" applyFill="1" applyBorder="1" applyAlignment="1">
      <alignment vertical="center" wrapText="1"/>
    </xf>
    <xf numFmtId="0" fontId="41" fillId="9" borderId="0" xfId="0" applyFont="1" applyFill="1" applyBorder="1" applyAlignment="1">
      <alignment horizontal="center" vertical="center"/>
    </xf>
    <xf numFmtId="0" fontId="42" fillId="9" borderId="0" xfId="0" applyFont="1" applyFill="1" applyBorder="1" applyAlignment="1">
      <alignment horizontal="center" vertical="center"/>
    </xf>
    <xf numFmtId="0" fontId="43" fillId="9" borderId="0" xfId="0" applyFont="1" applyFill="1" applyBorder="1" applyAlignment="1">
      <alignment horizontal="center" vertical="center"/>
    </xf>
    <xf numFmtId="0" fontId="44" fillId="9" borderId="0" xfId="0" applyFont="1" applyFill="1" applyBorder="1" applyAlignment="1">
      <alignment horizontal="center" vertical="center"/>
    </xf>
    <xf numFmtId="14" fontId="0" fillId="0" borderId="11" xfId="0" applyNumberFormat="1" applyBorder="1">
      <alignment vertical="center"/>
    </xf>
    <xf numFmtId="0" fontId="0" fillId="12" borderId="0" xfId="0" applyFill="1">
      <alignment vertical="center"/>
    </xf>
    <xf numFmtId="0" fontId="45" fillId="0" borderId="1" xfId="0" applyFont="1" applyFill="1" applyBorder="1">
      <alignment vertical="center"/>
    </xf>
    <xf numFmtId="0" fontId="45" fillId="0" borderId="1" xfId="0" applyFont="1" applyBorder="1">
      <alignment vertical="center"/>
    </xf>
    <xf numFmtId="0" fontId="0" fillId="0" borderId="11" xfId="0" applyBorder="1" applyAlignment="1">
      <alignment vertical="center" wrapText="1"/>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editAs="oneCell">
    <xdr:from>
      <xdr:col>10</xdr:col>
      <xdr:colOff>419100</xdr:colOff>
      <xdr:row>8</xdr:row>
      <xdr:rowOff>47625</xdr:rowOff>
    </xdr:from>
    <xdr:to>
      <xdr:col>11</xdr:col>
      <xdr:colOff>342899</xdr:colOff>
      <xdr:row>8</xdr:row>
      <xdr:rowOff>657224</xdr:rowOff>
    </xdr:to>
    <xdr:pic>
      <xdr:nvPicPr>
        <xdr:cNvPr id="4" name="Picture 3" descr="Youtube Logo PNG, Youtube Logo Transparent Background - FreeIconsPNG">
          <a:extLst>
            <a:ext uri="{FF2B5EF4-FFF2-40B4-BE49-F238E27FC236}">
              <a16:creationId xmlns:a16="http://schemas.microsoft.com/office/drawing/2014/main" id="{8968067B-07CC-4994-AEB9-D618567CBE5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57975" y="4762500"/>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257175</xdr:colOff>
      <xdr:row>8</xdr:row>
      <xdr:rowOff>0</xdr:rowOff>
    </xdr:from>
    <xdr:to>
      <xdr:col>14</xdr:col>
      <xdr:colOff>666750</xdr:colOff>
      <xdr:row>8</xdr:row>
      <xdr:rowOff>666750</xdr:rowOff>
    </xdr:to>
    <xdr:sp macro="" textlink="">
      <xdr:nvSpPr>
        <xdr:cNvPr id="5" name="Rectangle 4">
          <a:extLst>
            <a:ext uri="{FF2B5EF4-FFF2-40B4-BE49-F238E27FC236}">
              <a16:creationId xmlns:a16="http://schemas.microsoft.com/office/drawing/2014/main" id="{8BBB8C7E-8CFD-4DE5-B905-4875D7C362AF}"/>
            </a:ext>
          </a:extLst>
        </xdr:cNvPr>
        <xdr:cNvSpPr/>
      </xdr:nvSpPr>
      <xdr:spPr>
        <a:xfrm>
          <a:off x="7181850" y="4714875"/>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414130</xdr:colOff>
      <xdr:row>8</xdr:row>
      <xdr:rowOff>113886</xdr:rowOff>
    </xdr:from>
    <xdr:to>
      <xdr:col>11</xdr:col>
      <xdr:colOff>336273</xdr:colOff>
      <xdr:row>8</xdr:row>
      <xdr:rowOff>723485</xdr:rowOff>
    </xdr:to>
    <xdr:pic>
      <xdr:nvPicPr>
        <xdr:cNvPr id="2" name="Picture 1" descr="Youtube Logo PNG, Youtube Logo Transparent Background - FreeIconsPNG">
          <a:extLst>
            <a:ext uri="{FF2B5EF4-FFF2-40B4-BE49-F238E27FC236}">
              <a16:creationId xmlns:a16="http://schemas.microsoft.com/office/drawing/2014/main" id="{89C64D04-9F07-4533-A499-786170D7E8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00" y="4843256"/>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250549</xdr:colOff>
      <xdr:row>8</xdr:row>
      <xdr:rowOff>66261</xdr:rowOff>
    </xdr:from>
    <xdr:to>
      <xdr:col>14</xdr:col>
      <xdr:colOff>655154</xdr:colOff>
      <xdr:row>8</xdr:row>
      <xdr:rowOff>733011</xdr:rowOff>
    </xdr:to>
    <xdr:sp macro="" textlink="">
      <xdr:nvSpPr>
        <xdr:cNvPr id="3" name="Rectangle 2">
          <a:extLst>
            <a:ext uri="{FF2B5EF4-FFF2-40B4-BE49-F238E27FC236}">
              <a16:creationId xmlns:a16="http://schemas.microsoft.com/office/drawing/2014/main" id="{199F39A7-6FA3-4626-A698-3A41D5D1E714}"/>
            </a:ext>
          </a:extLst>
        </xdr:cNvPr>
        <xdr:cNvSpPr/>
      </xdr:nvSpPr>
      <xdr:spPr>
        <a:xfrm>
          <a:off x="7191375" y="4795631"/>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opLeftCell="A4" zoomScale="115" zoomScaleNormal="115" workbookViewId="0">
      <selection activeCell="E22" sqref="E22"/>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8964</v>
      </c>
    </row>
    <row r="2" spans="1:5">
      <c r="B2" t="s">
        <v>8884</v>
      </c>
      <c r="C2" s="25" t="s">
        <v>8966</v>
      </c>
    </row>
    <row r="3" spans="1:5">
      <c r="B3" t="s">
        <v>8885</v>
      </c>
      <c r="C3" s="26" t="s">
        <v>8965</v>
      </c>
    </row>
    <row r="4" spans="1:5">
      <c r="B4" t="s">
        <v>8886</v>
      </c>
      <c r="C4" s="26"/>
    </row>
    <row r="5" spans="1:5">
      <c r="B5" t="s">
        <v>8921</v>
      </c>
      <c r="C5" s="26" t="s">
        <v>8887</v>
      </c>
    </row>
    <row r="7" spans="1:5">
      <c r="A7" s="10" t="s">
        <v>8875</v>
      </c>
      <c r="B7" s="10" t="s">
        <v>8876</v>
      </c>
      <c r="C7" s="10" t="s">
        <v>8877</v>
      </c>
      <c r="D7" s="10" t="s">
        <v>8878</v>
      </c>
      <c r="E7" s="10" t="s">
        <v>8920</v>
      </c>
    </row>
    <row r="8" spans="1:5">
      <c r="A8" s="9">
        <v>1</v>
      </c>
      <c r="B8" s="71" t="s">
        <v>8949</v>
      </c>
      <c r="C8" s="71" t="s">
        <v>8987</v>
      </c>
      <c r="D8" s="31" t="s">
        <v>8962</v>
      </c>
      <c r="E8" s="31" t="s">
        <v>8963</v>
      </c>
    </row>
    <row r="9" spans="1:5">
      <c r="A9" s="9">
        <v>2</v>
      </c>
      <c r="B9" s="72" t="s">
        <v>8982</v>
      </c>
      <c r="C9" s="72"/>
      <c r="D9" s="31"/>
      <c r="E9" s="31" t="s">
        <v>8983</v>
      </c>
    </row>
    <row r="10" spans="1:5">
      <c r="A10" s="9">
        <v>3</v>
      </c>
      <c r="B10" s="71" t="s">
        <v>8948</v>
      </c>
      <c r="C10" s="72" t="s">
        <v>8960</v>
      </c>
      <c r="D10" s="31" t="s">
        <v>8974</v>
      </c>
      <c r="E10" s="31" t="s">
        <v>8961</v>
      </c>
    </row>
    <row r="11" spans="1:5">
      <c r="A11" s="9">
        <v>4</v>
      </c>
      <c r="B11" s="72" t="s">
        <v>8941</v>
      </c>
      <c r="C11" s="72" t="s">
        <v>8950</v>
      </c>
      <c r="D11" s="31" t="s">
        <v>4688</v>
      </c>
      <c r="E11" s="31" t="s">
        <v>8969</v>
      </c>
    </row>
    <row r="12" spans="1:5">
      <c r="A12" s="9">
        <v>5</v>
      </c>
      <c r="B12" s="72" t="s">
        <v>8942</v>
      </c>
      <c r="C12" s="72" t="s">
        <v>8951</v>
      </c>
      <c r="D12" s="31" t="s">
        <v>8970</v>
      </c>
      <c r="E12" s="31" t="s">
        <v>8971</v>
      </c>
    </row>
    <row r="13" spans="1:5">
      <c r="A13" s="9">
        <v>6</v>
      </c>
      <c r="B13" s="72" t="s">
        <v>8943</v>
      </c>
      <c r="C13" s="72" t="s">
        <v>8952</v>
      </c>
      <c r="D13" s="31" t="s">
        <v>8953</v>
      </c>
      <c r="E13" s="31" t="s">
        <v>8954</v>
      </c>
    </row>
    <row r="14" spans="1:5">
      <c r="A14" s="9">
        <v>7</v>
      </c>
      <c r="B14" s="72" t="s">
        <v>8944</v>
      </c>
      <c r="C14" s="72" t="s">
        <v>3146</v>
      </c>
      <c r="D14" s="31" t="s">
        <v>3145</v>
      </c>
      <c r="E14" s="31" t="s">
        <v>8955</v>
      </c>
    </row>
    <row r="15" spans="1:5">
      <c r="A15" s="9">
        <v>8</v>
      </c>
      <c r="B15" s="72" t="s">
        <v>8945</v>
      </c>
      <c r="C15" s="72" t="s">
        <v>8956</v>
      </c>
      <c r="D15" s="31" t="s">
        <v>8957</v>
      </c>
      <c r="E15" s="31" t="s">
        <v>8972</v>
      </c>
    </row>
    <row r="16" spans="1:5">
      <c r="A16" s="9">
        <v>9</v>
      </c>
      <c r="B16" s="72" t="s">
        <v>8946</v>
      </c>
      <c r="C16" s="72" t="s">
        <v>4638</v>
      </c>
      <c r="D16" s="31" t="s">
        <v>4636</v>
      </c>
      <c r="E16" s="31" t="s">
        <v>8981</v>
      </c>
    </row>
    <row r="17" spans="1:5">
      <c r="A17" s="9">
        <v>10</v>
      </c>
      <c r="B17" s="72" t="s">
        <v>8947</v>
      </c>
      <c r="C17" s="72" t="s">
        <v>8958</v>
      </c>
      <c r="D17" s="31" t="s">
        <v>8959</v>
      </c>
      <c r="E17" s="31" t="s">
        <v>8973</v>
      </c>
    </row>
    <row r="18" spans="1:5">
      <c r="A18" s="9"/>
      <c r="B18" s="9"/>
      <c r="C18" s="9"/>
      <c r="D18" s="11"/>
      <c r="E18" s="62"/>
    </row>
    <row r="19" spans="1:5">
      <c r="A19" s="9"/>
      <c r="B19" s="9"/>
      <c r="C19" s="9"/>
      <c r="D19" s="11"/>
      <c r="E19" s="62"/>
    </row>
    <row r="20" spans="1:5">
      <c r="A20" s="9"/>
      <c r="B20" s="9"/>
      <c r="C20" s="9"/>
      <c r="D20" s="11"/>
      <c r="E20" s="62"/>
    </row>
    <row r="21" spans="1:5">
      <c r="A21" s="9"/>
      <c r="B21" s="9"/>
      <c r="C21" s="9"/>
      <c r="D21" s="11"/>
      <c r="E21" s="62"/>
    </row>
    <row r="22" spans="1:5">
      <c r="A22" s="9"/>
      <c r="B22" s="9"/>
      <c r="C22" s="9"/>
      <c r="D22" s="11"/>
      <c r="E22" s="62"/>
    </row>
    <row r="23" spans="1:5">
      <c r="A23" s="9"/>
      <c r="B23" s="9"/>
      <c r="C23" s="9"/>
      <c r="D23" s="11"/>
      <c r="E23" s="62"/>
    </row>
    <row r="24" spans="1:5">
      <c r="A24" s="9"/>
      <c r="B24" s="9"/>
      <c r="C24" s="9"/>
      <c r="D24" s="11"/>
      <c r="E24" s="62"/>
    </row>
    <row r="25" spans="1:5">
      <c r="A25" s="9"/>
      <c r="B25" s="9"/>
      <c r="C25" s="9"/>
      <c r="D25" s="11"/>
      <c r="E25" s="62"/>
    </row>
    <row r="26" spans="1:5">
      <c r="A26" s="9"/>
      <c r="B26" s="9"/>
      <c r="C26" s="9"/>
      <c r="D26" s="11"/>
      <c r="E26" s="62"/>
    </row>
    <row r="27" spans="1:5">
      <c r="A27" s="9"/>
      <c r="B27" s="9"/>
      <c r="C27" s="9"/>
      <c r="D27" s="11"/>
      <c r="E27" s="62"/>
    </row>
    <row r="28" spans="1:5">
      <c r="A28" s="9"/>
      <c r="B28" s="9"/>
      <c r="C28" s="9"/>
      <c r="D28" s="11"/>
      <c r="E28" s="62"/>
    </row>
    <row r="29" spans="1:5">
      <c r="A29" s="9"/>
      <c r="B29" s="9"/>
      <c r="C29" s="9"/>
      <c r="D29" s="11"/>
      <c r="E29" s="62"/>
    </row>
    <row r="30" spans="1:5">
      <c r="A30" s="9"/>
      <c r="B30" s="9"/>
      <c r="C30" s="9"/>
      <c r="D30" s="11"/>
      <c r="E30" s="62"/>
    </row>
    <row r="31" spans="1:5">
      <c r="A31" s="9"/>
      <c r="B31" s="9"/>
      <c r="C31" s="9"/>
      <c r="D31" s="11"/>
      <c r="E31" s="62"/>
    </row>
    <row r="32" spans="1:5">
      <c r="A32" s="9"/>
      <c r="B32" s="9"/>
      <c r="C32" s="9"/>
      <c r="D32" s="11"/>
      <c r="E32" s="62"/>
    </row>
    <row r="33" spans="1:5">
      <c r="A33" s="9"/>
      <c r="B33" s="9"/>
      <c r="C33" s="9"/>
      <c r="D33" s="11"/>
      <c r="E33" s="62"/>
    </row>
    <row r="34" spans="1:5">
      <c r="A34" s="9"/>
      <c r="B34" s="9"/>
      <c r="C34" s="9"/>
      <c r="D34" s="11"/>
      <c r="E34" s="62"/>
    </row>
    <row r="35" spans="1:5">
      <c r="A35" s="9"/>
      <c r="B35" s="9"/>
      <c r="C35" s="9"/>
      <c r="D35" s="11"/>
      <c r="E35" s="62"/>
    </row>
    <row r="36" spans="1:5">
      <c r="A36" s="9"/>
      <c r="B36" s="9"/>
      <c r="C36" s="9"/>
      <c r="D36" s="11"/>
      <c r="E36" s="62"/>
    </row>
    <row r="37" spans="1:5">
      <c r="A37" s="9"/>
      <c r="B37" s="9"/>
      <c r="C37" s="9"/>
      <c r="D37" s="31"/>
      <c r="E37" s="62"/>
    </row>
    <row r="38" spans="1:5">
      <c r="A38" s="9"/>
      <c r="B38" s="12"/>
      <c r="C38" s="9"/>
      <c r="D38" s="31"/>
      <c r="E38" s="31"/>
    </row>
    <row r="39" spans="1:5">
      <c r="A39" s="9"/>
      <c r="B39" s="12"/>
      <c r="C39" s="9"/>
      <c r="D39" s="31"/>
      <c r="E39" s="31"/>
    </row>
    <row r="40" spans="1:5">
      <c r="A40" s="9"/>
      <c r="B40" s="12"/>
      <c r="C40" s="9"/>
      <c r="D40" s="31"/>
      <c r="E40" s="31"/>
    </row>
    <row r="41" spans="1:5">
      <c r="A41" s="9"/>
      <c r="B41" s="12"/>
      <c r="C41" s="9"/>
      <c r="D41" s="31"/>
      <c r="E41" s="31"/>
    </row>
    <row r="42" spans="1:5">
      <c r="A42" s="9"/>
      <c r="B42" s="12"/>
      <c r="C42" s="9"/>
      <c r="D42" s="31"/>
      <c r="E42" s="31"/>
    </row>
    <row r="43" spans="1:5">
      <c r="A43" s="9"/>
      <c r="B43" s="12"/>
      <c r="C43" s="9"/>
      <c r="D43" s="31"/>
      <c r="E43" s="31"/>
    </row>
    <row r="44" spans="1:5">
      <c r="A44" s="9"/>
      <c r="B44" s="12"/>
      <c r="C44" s="9"/>
      <c r="D44" s="31"/>
      <c r="E44" s="31"/>
    </row>
    <row r="45" spans="1:5">
      <c r="A45" s="9"/>
      <c r="B45" s="12"/>
      <c r="C45" s="9"/>
      <c r="D45" s="31"/>
      <c r="E45" s="31"/>
    </row>
    <row r="46" spans="1:5">
      <c r="A46" s="9"/>
      <c r="B46" s="12"/>
      <c r="C46" s="9"/>
      <c r="D46" s="31"/>
      <c r="E46" s="31"/>
    </row>
    <row r="47" spans="1:5">
      <c r="A47" s="9"/>
      <c r="B47" s="12"/>
      <c r="C47" s="9"/>
      <c r="D47" s="31"/>
      <c r="E47" s="31"/>
    </row>
    <row r="48" spans="1:5">
      <c r="A48" s="9"/>
      <c r="B48" s="12"/>
      <c r="C48" s="9"/>
      <c r="D48" s="31"/>
      <c r="E48" s="31"/>
    </row>
    <row r="49" spans="1:5">
      <c r="A49" s="9"/>
      <c r="B49" s="12"/>
      <c r="C49" s="9"/>
      <c r="D49" s="31"/>
      <c r="E49" s="31"/>
    </row>
    <row r="50" spans="1:5">
      <c r="A50" s="9"/>
      <c r="B50" s="12"/>
      <c r="C50" s="9"/>
      <c r="D50" s="31"/>
      <c r="E50" s="31"/>
    </row>
    <row r="51" spans="1:5">
      <c r="A51" s="9"/>
      <c r="B51" s="12"/>
      <c r="C51" s="9"/>
      <c r="D51" s="31"/>
      <c r="E51" s="31"/>
    </row>
    <row r="52" spans="1:5">
      <c r="A52" s="9"/>
      <c r="B52" s="12"/>
      <c r="C52" s="9"/>
      <c r="D52" s="31"/>
      <c r="E52" s="31"/>
    </row>
    <row r="53" spans="1:5">
      <c r="A53" s="9"/>
      <c r="B53" s="12"/>
      <c r="C53" s="9"/>
      <c r="D53" s="31"/>
      <c r="E53" s="31"/>
    </row>
    <row r="54" spans="1:5">
      <c r="A54" s="9"/>
      <c r="B54" s="12"/>
      <c r="C54" s="9"/>
      <c r="D54" s="31"/>
      <c r="E54" s="31"/>
    </row>
    <row r="55" spans="1:5">
      <c r="A55" s="9"/>
      <c r="B55" s="12"/>
      <c r="C55" s="9"/>
      <c r="D55" s="31"/>
      <c r="E55" s="31"/>
    </row>
    <row r="56" spans="1:5">
      <c r="A56" s="9"/>
      <c r="B56" s="12"/>
      <c r="C56" s="9"/>
      <c r="D56" s="31"/>
      <c r="E56" s="31"/>
    </row>
    <row r="57" spans="1:5">
      <c r="A57" s="9"/>
      <c r="B57" s="12"/>
      <c r="C57" s="9"/>
      <c r="D57" s="31"/>
      <c r="E57" s="31"/>
    </row>
    <row r="58" spans="1:5">
      <c r="A58" s="9"/>
      <c r="B58" s="12"/>
      <c r="C58" s="9"/>
      <c r="D58" s="31"/>
      <c r="E58" s="31"/>
    </row>
    <row r="59" spans="1:5">
      <c r="A59" s="9"/>
      <c r="B59" s="12"/>
      <c r="C59" s="9"/>
      <c r="D59" s="31"/>
      <c r="E59" s="31"/>
    </row>
    <row r="60" spans="1:5">
      <c r="A60" s="9"/>
      <c r="B60" s="12"/>
      <c r="C60" s="9"/>
      <c r="D60" s="31"/>
      <c r="E60" s="31"/>
    </row>
    <row r="61" spans="1:5">
      <c r="A61" s="9"/>
      <c r="B61" s="12"/>
      <c r="C61" s="9"/>
      <c r="D61" s="31"/>
      <c r="E61" s="31"/>
    </row>
    <row r="62" spans="1:5">
      <c r="A62" s="9"/>
      <c r="B62" s="12"/>
      <c r="C62" s="9"/>
      <c r="D62" s="31"/>
      <c r="E62" s="31"/>
    </row>
    <row r="63" spans="1:5">
      <c r="A63" s="9"/>
      <c r="B63" s="12"/>
      <c r="C63" s="9"/>
      <c r="D63" s="31"/>
      <c r="E63" s="31"/>
    </row>
    <row r="64" spans="1:5">
      <c r="A64" s="9"/>
      <c r="B64" s="12"/>
      <c r="C64" s="9"/>
      <c r="D64" s="31"/>
      <c r="E64" s="31"/>
    </row>
    <row r="65" spans="1:5">
      <c r="A65" s="9"/>
      <c r="B65" s="12"/>
      <c r="C65" s="9"/>
      <c r="D65" s="31"/>
      <c r="E65" s="31"/>
    </row>
    <row r="66" spans="1:5">
      <c r="A66" s="9"/>
      <c r="B66" s="12"/>
      <c r="C66" s="9"/>
      <c r="D66" s="31"/>
      <c r="E66" s="31"/>
    </row>
    <row r="67" spans="1:5">
      <c r="A67" s="9"/>
      <c r="B67" s="12"/>
      <c r="C67" s="9"/>
      <c r="D67" s="31"/>
      <c r="E67" s="31"/>
    </row>
    <row r="68" spans="1:5">
      <c r="A68" s="9"/>
      <c r="B68" s="12"/>
      <c r="C68" s="9"/>
      <c r="D68" s="31"/>
      <c r="E68" s="31"/>
    </row>
    <row r="69" spans="1:5">
      <c r="A69" s="9"/>
      <c r="B69" s="12"/>
      <c r="C69" s="9"/>
      <c r="D69" s="31"/>
      <c r="E69" s="31"/>
    </row>
    <row r="70" spans="1:5">
      <c r="A70" s="9"/>
      <c r="B70" s="12"/>
      <c r="C70" s="9"/>
      <c r="D70" s="31"/>
      <c r="E70" s="31"/>
    </row>
    <row r="71" spans="1:5">
      <c r="A71" s="9"/>
      <c r="B71" s="12"/>
      <c r="C71" s="9"/>
      <c r="D71" s="31"/>
      <c r="E71" s="31"/>
    </row>
    <row r="72" spans="1:5">
      <c r="A72" s="9"/>
      <c r="B72" s="12"/>
      <c r="C72" s="9"/>
      <c r="D72" s="31"/>
      <c r="E72" s="31"/>
    </row>
    <row r="73" spans="1:5">
      <c r="A73" s="9"/>
      <c r="B73" s="12"/>
      <c r="C73" s="9"/>
      <c r="D73" s="31"/>
      <c r="E73" s="31"/>
    </row>
    <row r="74" spans="1:5">
      <c r="A74" s="9"/>
      <c r="B74" s="12"/>
      <c r="C74" s="9"/>
      <c r="D74" s="31"/>
      <c r="E74" s="31"/>
    </row>
    <row r="75" spans="1:5">
      <c r="A75" s="9"/>
      <c r="B75" s="12"/>
      <c r="C75" s="9"/>
      <c r="D75" s="31"/>
      <c r="E75" s="31"/>
    </row>
    <row r="76" spans="1:5">
      <c r="A76" s="9"/>
      <c r="B76" s="12"/>
      <c r="C76" s="9"/>
      <c r="D76" s="31"/>
      <c r="E76" s="31"/>
    </row>
    <row r="77" spans="1:5">
      <c r="A77" s="9"/>
      <c r="B77" s="12"/>
      <c r="C77" s="9"/>
      <c r="D77" s="31"/>
      <c r="E77" s="31"/>
    </row>
    <row r="78" spans="1:5">
      <c r="A78" s="9"/>
      <c r="B78" s="12"/>
      <c r="C78" s="9"/>
      <c r="D78" s="31"/>
      <c r="E78" s="31"/>
    </row>
    <row r="79" spans="1:5">
      <c r="A79" s="9"/>
      <c r="B79" s="12"/>
      <c r="C79" s="9"/>
      <c r="D79" s="31"/>
      <c r="E79" s="31"/>
    </row>
    <row r="80" spans="1:5">
      <c r="A80" s="9"/>
      <c r="B80" s="12"/>
      <c r="C80" s="9"/>
      <c r="D80" s="31"/>
      <c r="E80" s="31"/>
    </row>
    <row r="81" spans="1:5">
      <c r="A81" s="9"/>
      <c r="B81" s="12"/>
      <c r="C81" s="9"/>
      <c r="D81" s="31"/>
      <c r="E81" s="31"/>
    </row>
    <row r="82" spans="1:5">
      <c r="A82" s="9"/>
      <c r="B82" s="12"/>
      <c r="C82" s="9"/>
      <c r="D82" s="31"/>
      <c r="E82" s="31"/>
    </row>
    <row r="83" spans="1:5">
      <c r="A83" s="9"/>
      <c r="B83" s="12"/>
      <c r="C83" s="9"/>
      <c r="D83" s="31"/>
      <c r="E83" s="31"/>
    </row>
    <row r="84" spans="1:5">
      <c r="A84" s="9"/>
      <c r="B84" s="12"/>
      <c r="C84" s="9"/>
      <c r="D84" s="31"/>
      <c r="E84" s="31"/>
    </row>
    <row r="85" spans="1:5">
      <c r="A85" s="9"/>
      <c r="B85" s="12"/>
      <c r="C85" s="9"/>
      <c r="D85" s="31"/>
      <c r="E85" s="31"/>
    </row>
    <row r="86" spans="1:5">
      <c r="A86" s="9"/>
      <c r="B86" s="12"/>
      <c r="C86" s="9"/>
      <c r="D86" s="31"/>
      <c r="E86" s="31"/>
    </row>
    <row r="87" spans="1:5">
      <c r="A87" s="9"/>
      <c r="B87" s="12"/>
      <c r="C87" s="9"/>
      <c r="D87" s="31"/>
      <c r="E87" s="31"/>
    </row>
    <row r="88" spans="1:5">
      <c r="A88" s="9"/>
      <c r="B88" s="12"/>
      <c r="C88" s="9"/>
      <c r="D88" s="31"/>
      <c r="E88" s="31"/>
    </row>
    <row r="89" spans="1:5">
      <c r="A89" s="9"/>
      <c r="B89" s="12"/>
      <c r="C89" s="9"/>
      <c r="D89" s="31"/>
      <c r="E89" s="31"/>
    </row>
    <row r="90" spans="1:5">
      <c r="A90" s="9"/>
      <c r="B90" s="12"/>
      <c r="C90" s="9"/>
      <c r="D90" s="31"/>
      <c r="E90" s="31"/>
    </row>
    <row r="91" spans="1:5">
      <c r="A91" s="9"/>
      <c r="B91" s="12"/>
      <c r="C91" s="9"/>
      <c r="D91" s="31"/>
      <c r="E91" s="31"/>
    </row>
    <row r="92" spans="1:5">
      <c r="A92" s="9"/>
      <c r="B92" s="12"/>
      <c r="C92" s="9"/>
      <c r="D92" s="31"/>
      <c r="E92" s="31"/>
    </row>
    <row r="93" spans="1:5">
      <c r="A93" s="9"/>
      <c r="B93" s="12"/>
      <c r="C93" s="9"/>
      <c r="D93" s="31"/>
      <c r="E93" s="31"/>
    </row>
    <row r="94" spans="1:5">
      <c r="A94" s="9"/>
      <c r="B94" s="12"/>
      <c r="C94" s="9"/>
      <c r="D94" s="31"/>
      <c r="E94" s="31"/>
    </row>
    <row r="95" spans="1:5">
      <c r="A95" s="9"/>
      <c r="B95" s="12"/>
      <c r="C95" s="9"/>
      <c r="D95" s="31"/>
      <c r="E95" s="31"/>
    </row>
    <row r="96" spans="1:5">
      <c r="A96" s="9"/>
      <c r="B96" s="12"/>
      <c r="C96" s="9"/>
      <c r="D96" s="31"/>
      <c r="E96" s="31"/>
    </row>
    <row r="97" spans="1:5">
      <c r="A97" s="9"/>
      <c r="B97" s="12"/>
      <c r="C97" s="9"/>
      <c r="D97" s="31"/>
      <c r="E97" s="31"/>
    </row>
    <row r="98" spans="1:5">
      <c r="A98" s="9"/>
      <c r="B98" s="12"/>
      <c r="C98" s="9"/>
      <c r="D98" s="31"/>
      <c r="E98" s="31"/>
    </row>
    <row r="99" spans="1:5">
      <c r="A99" s="9"/>
      <c r="B99" s="12"/>
      <c r="C99" s="9"/>
      <c r="D99" s="31"/>
      <c r="E99" s="31"/>
    </row>
    <row r="100" spans="1:5">
      <c r="A100" s="9"/>
      <c r="B100" s="12"/>
      <c r="C100" s="9"/>
      <c r="D100" s="31"/>
      <c r="E100" s="31"/>
    </row>
    <row r="101" spans="1:5">
      <c r="A101" s="9"/>
      <c r="B101" s="12"/>
      <c r="C101" s="9"/>
      <c r="D101" s="31"/>
      <c r="E101" s="31"/>
    </row>
    <row r="102" spans="1:5">
      <c r="A102" s="9"/>
      <c r="B102" s="12"/>
      <c r="C102" s="9"/>
      <c r="D102" s="31"/>
      <c r="E102" s="31"/>
    </row>
    <row r="103" spans="1:5">
      <c r="A103" s="9"/>
      <c r="B103" s="12"/>
      <c r="C103" s="9"/>
      <c r="D103" s="31"/>
      <c r="E103" s="31"/>
    </row>
    <row r="104" spans="1:5">
      <c r="A104" s="9"/>
      <c r="B104" s="12"/>
      <c r="C104" s="9"/>
      <c r="D104" s="31"/>
      <c r="E104" s="31"/>
    </row>
    <row r="105" spans="1:5">
      <c r="A105" s="9"/>
      <c r="B105" s="12"/>
      <c r="C105" s="9"/>
      <c r="D105" s="31"/>
      <c r="E105" s="31"/>
    </row>
    <row r="106" spans="1:5">
      <c r="A106" s="9"/>
      <c r="B106" s="12"/>
      <c r="C106" s="9"/>
      <c r="D106" s="31"/>
      <c r="E106" s="31"/>
    </row>
    <row r="107" spans="1:5">
      <c r="A107" s="9"/>
      <c r="B107" s="12"/>
      <c r="C107" s="9"/>
      <c r="D107" s="31"/>
      <c r="E107" s="31"/>
    </row>
    <row r="108" spans="1:5">
      <c r="A108" s="9"/>
      <c r="B108" s="12"/>
      <c r="C108" s="9"/>
      <c r="D108" s="31"/>
      <c r="E108" s="31"/>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8"/>
  <sheetViews>
    <sheetView tabSelected="1" topLeftCell="B11" workbookViewId="0">
      <selection activeCell="D19" sqref="D19"/>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8929</v>
      </c>
      <c r="E14" s="9" t="s">
        <v>8930</v>
      </c>
    </row>
    <row r="15" spans="2:5" ht="93.75">
      <c r="B15" s="19">
        <v>44628</v>
      </c>
      <c r="C15" s="9">
        <v>1</v>
      </c>
      <c r="D15" s="20" t="s">
        <v>8975</v>
      </c>
      <c r="E15" s="20" t="s">
        <v>8976</v>
      </c>
    </row>
    <row r="16" spans="2:5">
      <c r="B16" s="63">
        <v>44648</v>
      </c>
      <c r="C16" s="12">
        <v>1.1000000000000001</v>
      </c>
      <c r="D16" s="64" t="s">
        <v>8980</v>
      </c>
      <c r="E16" s="9" t="s">
        <v>8894</v>
      </c>
    </row>
    <row r="17" spans="2:5" ht="56.25">
      <c r="B17" s="69">
        <v>44652</v>
      </c>
      <c r="C17" s="9">
        <v>1.2</v>
      </c>
      <c r="D17" s="20" t="s">
        <v>8986</v>
      </c>
      <c r="E17" s="9" t="s">
        <v>8894</v>
      </c>
    </row>
    <row r="18" spans="2:5" ht="112.5">
      <c r="B18" s="69">
        <v>44670</v>
      </c>
      <c r="C18" s="12">
        <v>1.3</v>
      </c>
      <c r="D18" s="73" t="s">
        <v>8997</v>
      </c>
      <c r="E18" s="12" t="s">
        <v>8995</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5"/>
  <sheetViews>
    <sheetView workbookViewId="0">
      <selection activeCell="K29" sqref="K29"/>
    </sheetView>
  </sheetViews>
  <sheetFormatPr defaultRowHeight="18.75"/>
  <cols>
    <col min="11" max="11" width="18.75" customWidth="1"/>
  </cols>
  <sheetData>
    <row r="1" spans="1:15">
      <c r="A1" s="8" t="s">
        <v>8928</v>
      </c>
    </row>
    <row r="2" spans="1:15">
      <c r="B2" t="s">
        <v>8922</v>
      </c>
      <c r="D2" s="60" t="str">
        <f>CONCATENATE(D23,"\Output\SSML")</f>
        <v>C:\Users\miph272640\PycharmProjects\VocalSoft\Output\SSML</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8993</v>
      </c>
    </row>
    <row r="4" spans="1:15">
      <c r="C4" t="s">
        <v>8924</v>
      </c>
      <c r="D4" s="61" t="str">
        <f>CONCATENATE($D$2,"\_out")</f>
        <v>C:\Users\miph272640\PycharmProjects\VocalSoft\Output\SSML\_out</v>
      </c>
      <c r="E4" s="61"/>
      <c r="F4" s="61"/>
      <c r="G4" s="61"/>
      <c r="H4" s="61"/>
      <c r="I4" s="61"/>
      <c r="J4" s="61"/>
      <c r="K4" s="61"/>
      <c r="N4" s="61"/>
      <c r="O4" t="s">
        <v>8936</v>
      </c>
    </row>
    <row r="5" spans="1:15">
      <c r="B5" t="s">
        <v>8925</v>
      </c>
      <c r="D5" s="60" t="str">
        <f>CONCATENATE(D23,"\Output\Audio")</f>
        <v>C:\Users\miph272640\PycharmProjects\VocalSoft\Output\Audio</v>
      </c>
      <c r="E5" s="60"/>
      <c r="F5" s="60"/>
      <c r="G5" s="60"/>
      <c r="H5" s="60"/>
      <c r="I5" s="60"/>
      <c r="J5" s="60"/>
      <c r="K5" s="60"/>
      <c r="N5" s="70"/>
      <c r="O5" t="s">
        <v>8994</v>
      </c>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tr">
        <f>CONCATENATE(D23,"\Output\Image")</f>
        <v>C:\Users\miph272640\PycharmProjects\VocalSoft\Output\Image</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tr">
        <f>CONCATENATE(D23,"\Output\Video")</f>
        <v>C:\Users\miph272640\PycharmProjects\VocalSoft\Output\Video</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8937</v>
      </c>
    </row>
    <row r="15" spans="1:15">
      <c r="A15" s="8"/>
      <c r="B15" t="s">
        <v>8939</v>
      </c>
      <c r="D15" t="str">
        <f>CONCATENATE(D23,"\venv\Scripts\python.exe")</f>
        <v>C:\Users\miph272640\PycharmProjects\VocalSoft\venv\Scripts\python.exe</v>
      </c>
    </row>
    <row r="16" spans="1:15">
      <c r="B16" t="s">
        <v>8938</v>
      </c>
      <c r="D16" s="60" t="str">
        <f>CONCATENATE(D23,"\Src")</f>
        <v>C:\Users\miph272640\PycharmProjects\VocalSoft\Src</v>
      </c>
      <c r="E16" s="60"/>
      <c r="F16" s="60"/>
      <c r="G16" s="60"/>
      <c r="H16" s="60"/>
      <c r="I16" s="60"/>
      <c r="J16" s="60"/>
      <c r="K16" s="60"/>
    </row>
    <row r="17" spans="1:11">
      <c r="C17" t="s">
        <v>8935</v>
      </c>
      <c r="D17" s="61" t="str">
        <f>CONCATENATE(D16,"\T2S_Generator.py")</f>
        <v>C:\Users\miph272640\PycharmProjects\VocalSoft\Src\T2S_Generator.py</v>
      </c>
      <c r="E17" s="61"/>
      <c r="F17" s="61"/>
      <c r="G17" s="61"/>
      <c r="H17" s="61"/>
      <c r="I17" s="61"/>
      <c r="J17" s="61"/>
      <c r="K17" s="61"/>
    </row>
    <row r="18" spans="1:11">
      <c r="C18" t="s">
        <v>8927</v>
      </c>
      <c r="D18" s="61" t="str">
        <f>CONCATENATE(D16,"\Video_Generator.py")</f>
        <v>C:\Users\miph272640\PycharmProjects\VocalSoft\Src\Video_Generator.py</v>
      </c>
      <c r="E18" s="61"/>
      <c r="F18" s="61"/>
      <c r="G18" s="61"/>
      <c r="H18" s="61"/>
      <c r="I18" s="61"/>
      <c r="J18" s="61"/>
      <c r="K18" s="61"/>
    </row>
    <row r="19" spans="1:11">
      <c r="A19" s="8" t="s">
        <v>8977</v>
      </c>
    </row>
    <row r="20" spans="1:11">
      <c r="B20" t="s">
        <v>8978</v>
      </c>
      <c r="D20" s="60" t="str">
        <f>CONCATENATE(D23,"\Macro")</f>
        <v>C:\Users\miph272640\PycharmProjects\VocalSoft\Macro</v>
      </c>
      <c r="E20" s="60"/>
      <c r="F20" s="60"/>
      <c r="G20" s="60"/>
      <c r="H20" s="60"/>
      <c r="I20" s="60"/>
      <c r="J20" s="60"/>
      <c r="K20" s="60"/>
    </row>
    <row r="21" spans="1:11">
      <c r="C21" t="s">
        <v>8979</v>
      </c>
      <c r="D21" s="61" t="str">
        <f>CONCATENATE(D20,"\GGTranslate_apiKey.txt")</f>
        <v>C:\Users\miph272640\PycharmProjects\VocalSoft\Macro\GGTranslate_apiKey.txt</v>
      </c>
      <c r="E21" s="61"/>
      <c r="F21" s="61"/>
      <c r="G21" s="61"/>
      <c r="H21" s="61"/>
      <c r="I21" s="61"/>
      <c r="J21" s="61"/>
      <c r="K21" s="61"/>
    </row>
    <row r="22" spans="1:11">
      <c r="A22" s="8" t="s">
        <v>8988</v>
      </c>
    </row>
    <row r="23" spans="1:11">
      <c r="B23" t="s">
        <v>8989</v>
      </c>
      <c r="D23" s="61" t="s">
        <v>8992</v>
      </c>
      <c r="E23" s="61"/>
      <c r="F23" s="61"/>
      <c r="G23" s="61"/>
      <c r="H23" s="61"/>
      <c r="I23" s="61"/>
      <c r="J23" s="61"/>
      <c r="K23" s="61"/>
    </row>
    <row r="24" spans="1:11">
      <c r="C24" t="s">
        <v>8990</v>
      </c>
      <c r="D24" s="70" t="s">
        <v>8992</v>
      </c>
      <c r="E24" s="70"/>
      <c r="F24" s="70"/>
      <c r="G24" s="70"/>
      <c r="H24" s="70"/>
      <c r="I24" s="70"/>
      <c r="J24" s="70"/>
      <c r="K24" s="70"/>
    </row>
    <row r="25" spans="1:11">
      <c r="C25" t="s">
        <v>8991</v>
      </c>
      <c r="D25" s="70" t="s">
        <v>8996</v>
      </c>
      <c r="E25" s="70"/>
      <c r="F25" s="70"/>
      <c r="G25" s="70"/>
      <c r="H25" s="70"/>
      <c r="I25" s="70"/>
      <c r="J25" s="70"/>
      <c r="K25" s="70"/>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いつも</v>
      </c>
      <c r="B3" s="17" t="str">
        <f t="shared" ref="B3:B66" si="0">TRIM(CONCATENATE($C3," ",$D3," ",$E3," ",$F3," ",$G3," ",$H3," ",$I3," ",$J3," ",$K3))</f>
        <v/>
      </c>
      <c r="C3" s="16" t="str">
        <f>IF(ISNA(VLOOKUP(MID($A3,1,1),Kanji_2_HanViet!$A:$C,2,FALSE)),"",VLOOKUP(MID($A3,1,1),Kanji_2_HanViet!$A:$C,2,FALSE))</f>
        <v/>
      </c>
      <c r="D3" s="16" t="str">
        <f>IF(ISNA(VLOOKUP(MID($A3,2,1),Kanji_2_HanViet!$A:$C,2,FALSE)),"",VLOOKUP(MID($A3,2,1),Kanji_2_HanViet!$A:$C,2,FALSE))</f>
        <v/>
      </c>
      <c r="E3" s="16" t="str">
        <f>IF(ISNA(VLOOKUP(MID($A3,3,1),Kanji_2_HanViet!$A:$C,2,FALSE)),"",VLOOKUP(MID($A3,3,1),Kanji_2_HanViet!$A:$C,2,FALSE))</f>
        <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77" t="s">
        <v>8913</v>
      </c>
      <c r="E2" s="77"/>
      <c r="F2" s="77"/>
      <c r="G2" s="77"/>
      <c r="H2" s="77"/>
      <c r="I2" s="77"/>
      <c r="J2" s="77"/>
      <c r="K2" s="27"/>
      <c r="L2" s="27">
        <v>26</v>
      </c>
    </row>
    <row r="3" spans="1:12" s="30" customFormat="1" ht="42">
      <c r="A3" s="29"/>
      <c r="B3" s="29"/>
      <c r="C3" s="29"/>
      <c r="D3" s="75" t="str">
        <f>Master!B8</f>
        <v>代表する</v>
      </c>
      <c r="E3" s="75"/>
      <c r="F3" s="75"/>
      <c r="G3" s="75"/>
      <c r="H3" s="75"/>
      <c r="I3" s="75"/>
      <c r="J3" s="75"/>
      <c r="K3" s="29"/>
      <c r="L3" s="29" t="s">
        <v>8918</v>
      </c>
    </row>
    <row r="4" spans="1:12" ht="58.5">
      <c r="A4" s="27"/>
      <c r="B4" s="28"/>
      <c r="C4" s="27"/>
      <c r="D4" s="76" t="str">
        <f>"/"&amp;Master!C8&amp;"/"</f>
        <v>/だいひょうする/</v>
      </c>
      <c r="E4" s="76"/>
      <c r="F4" s="76"/>
      <c r="G4" s="76"/>
      <c r="H4" s="76"/>
      <c r="I4" s="76"/>
      <c r="J4" s="76"/>
      <c r="K4" s="27"/>
      <c r="L4" s="27" t="s">
        <v>8915</v>
      </c>
    </row>
    <row r="5" spans="1:12" ht="58.5">
      <c r="A5" s="27"/>
      <c r="B5" s="28"/>
      <c r="C5" s="27"/>
      <c r="D5" s="74" t="s">
        <v>8914</v>
      </c>
      <c r="E5" s="74"/>
      <c r="F5" s="74"/>
      <c r="G5" s="74"/>
      <c r="H5" s="74"/>
      <c r="I5" s="74"/>
      <c r="J5" s="74"/>
      <c r="K5" s="27"/>
      <c r="L5" s="27" t="s">
        <v>8916</v>
      </c>
    </row>
    <row r="6" spans="1:12" ht="58.5">
      <c r="A6" s="27"/>
      <c r="B6" s="28"/>
      <c r="C6" s="27"/>
      <c r="D6" s="74" t="s">
        <v>8912</v>
      </c>
      <c r="E6" s="74"/>
      <c r="F6" s="74"/>
      <c r="G6" s="74"/>
      <c r="H6" s="74"/>
      <c r="I6" s="74"/>
      <c r="J6" s="74"/>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U9" sqref="U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8"/>
      <c r="F3" s="78"/>
      <c r="G3" s="78"/>
      <c r="H3" s="78"/>
      <c r="I3" s="78"/>
      <c r="J3" s="78"/>
      <c r="K3" s="78"/>
      <c r="L3" s="34"/>
      <c r="M3" s="33"/>
      <c r="N3" s="33"/>
      <c r="O3" s="36"/>
      <c r="P3" s="44"/>
    </row>
    <row r="4" spans="2:16" ht="54.75">
      <c r="B4" s="47"/>
      <c r="C4" s="35"/>
      <c r="D4" s="35"/>
      <c r="E4" s="49"/>
      <c r="F4" s="49"/>
      <c r="G4" s="49"/>
      <c r="H4" s="52"/>
      <c r="I4" s="65" t="s">
        <v>8984</v>
      </c>
      <c r="J4" s="49"/>
      <c r="K4" s="49"/>
      <c r="L4" s="49"/>
      <c r="M4" s="35"/>
      <c r="N4" s="35"/>
      <c r="O4" s="56"/>
      <c r="P4" s="57"/>
    </row>
    <row r="5" spans="2:16" ht="58.5">
      <c r="B5" s="46"/>
      <c r="C5" s="32"/>
      <c r="D5" s="33"/>
      <c r="E5" s="51"/>
      <c r="F5" s="51"/>
      <c r="G5" s="51"/>
      <c r="H5" s="51"/>
      <c r="I5" s="66" t="s">
        <v>8985</v>
      </c>
      <c r="J5" s="51"/>
      <c r="K5" s="51"/>
      <c r="L5" s="51"/>
      <c r="M5" s="33"/>
      <c r="N5" s="33"/>
      <c r="O5" s="36"/>
      <c r="P5" s="44"/>
    </row>
    <row r="6" spans="2:16" ht="58.5">
      <c r="B6" s="46"/>
      <c r="C6" s="32"/>
      <c r="D6" s="33"/>
      <c r="E6" s="53"/>
      <c r="F6" s="53"/>
      <c r="G6" s="53"/>
      <c r="H6" s="53"/>
      <c r="I6" s="67" t="s">
        <v>8958</v>
      </c>
      <c r="J6" s="53"/>
      <c r="K6" s="53"/>
      <c r="L6" s="53"/>
      <c r="M6" s="33"/>
      <c r="N6" s="33"/>
      <c r="O6" s="36"/>
      <c r="P6" s="44"/>
    </row>
    <row r="7" spans="2:16" ht="58.5">
      <c r="B7" s="46"/>
      <c r="C7" s="32"/>
      <c r="D7" s="33"/>
      <c r="E7" s="53"/>
      <c r="F7" s="53"/>
      <c r="G7" s="53"/>
      <c r="H7" s="53"/>
      <c r="I7" s="68" t="s">
        <v>8973</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8"/>
      <c r="F3" s="78"/>
      <c r="G3" s="78"/>
      <c r="H3" s="78"/>
      <c r="I3" s="78"/>
      <c r="J3" s="78"/>
      <c r="K3" s="78"/>
      <c r="L3" s="34"/>
      <c r="M3" s="33"/>
      <c r="N3" s="33"/>
      <c r="O3" s="36"/>
      <c r="P3" s="44"/>
    </row>
    <row r="4" spans="2:16" ht="54.75">
      <c r="B4" s="47"/>
      <c r="C4" s="35"/>
      <c r="D4" s="35"/>
      <c r="E4" s="49"/>
      <c r="F4" s="49"/>
      <c r="G4" s="49"/>
      <c r="H4" s="52"/>
      <c r="I4" s="52" t="s">
        <v>8931</v>
      </c>
      <c r="J4" s="49"/>
      <c r="K4" s="49"/>
      <c r="L4" s="49"/>
      <c r="M4" s="35"/>
      <c r="N4" s="35"/>
      <c r="O4" s="56"/>
      <c r="P4" s="57"/>
    </row>
    <row r="5" spans="2:16" ht="58.5">
      <c r="B5" s="46"/>
      <c r="C5" s="32"/>
      <c r="D5" s="33"/>
      <c r="E5" s="51"/>
      <c r="F5" s="51"/>
      <c r="G5" s="51"/>
      <c r="H5" s="51"/>
      <c r="I5" s="50" t="s">
        <v>8932</v>
      </c>
      <c r="J5" s="51"/>
      <c r="K5" s="51"/>
      <c r="L5" s="51"/>
      <c r="M5" s="33"/>
      <c r="N5" s="33"/>
      <c r="O5" s="36"/>
      <c r="P5" s="44"/>
    </row>
    <row r="6" spans="2:16" ht="58.5">
      <c r="B6" s="46"/>
      <c r="C6" s="32"/>
      <c r="D6" s="33"/>
      <c r="E6" s="53"/>
      <c r="F6" s="53"/>
      <c r="G6" s="53"/>
      <c r="H6" s="53"/>
      <c r="I6" s="55" t="s">
        <v>8933</v>
      </c>
      <c r="J6" s="53"/>
      <c r="K6" s="53"/>
      <c r="L6" s="53"/>
      <c r="M6" s="33"/>
      <c r="N6" s="33"/>
      <c r="O6" s="36"/>
      <c r="P6" s="44"/>
    </row>
    <row r="7" spans="2:16" ht="58.5">
      <c r="B7" s="46"/>
      <c r="C7" s="32"/>
      <c r="D7" s="33"/>
      <c r="E7" s="53"/>
      <c r="F7" s="53"/>
      <c r="G7" s="53"/>
      <c r="H7" s="53"/>
      <c r="I7" s="54" t="s">
        <v>8934</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R7" sqref="R7"/>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8"/>
      <c r="F3" s="78"/>
      <c r="G3" s="78"/>
      <c r="H3" s="78"/>
      <c r="I3" s="78"/>
      <c r="J3" s="78"/>
      <c r="K3" s="78"/>
      <c r="L3" s="34"/>
      <c r="M3" s="33"/>
      <c r="N3" s="33"/>
      <c r="O3" s="36"/>
      <c r="P3" s="44"/>
    </row>
    <row r="4" spans="2:16" ht="54.75">
      <c r="B4" s="47"/>
      <c r="C4" s="35"/>
      <c r="D4" s="35"/>
      <c r="E4" s="49"/>
      <c r="F4" s="49"/>
      <c r="G4" s="49"/>
      <c r="H4" s="52"/>
      <c r="I4" s="52" t="s">
        <v>8967</v>
      </c>
      <c r="J4" s="49"/>
      <c r="K4" s="49"/>
      <c r="L4" s="49"/>
      <c r="M4" s="35"/>
      <c r="N4" s="35"/>
      <c r="O4" s="56"/>
      <c r="P4" s="57"/>
    </row>
    <row r="5" spans="2:16" ht="58.5">
      <c r="B5" s="46"/>
      <c r="C5" s="32"/>
      <c r="D5" s="33"/>
      <c r="E5" s="51"/>
      <c r="F5" s="51"/>
      <c r="G5" s="51"/>
      <c r="H5" s="51"/>
      <c r="I5" s="50" t="s">
        <v>8968</v>
      </c>
      <c r="J5" s="51"/>
      <c r="K5" s="51"/>
      <c r="L5" s="51"/>
      <c r="M5" s="33"/>
      <c r="N5" s="33"/>
      <c r="O5" s="36"/>
      <c r="P5" s="44"/>
    </row>
    <row r="6" spans="2:16" ht="58.5">
      <c r="B6" s="46"/>
      <c r="C6" s="32"/>
      <c r="D6" s="33"/>
      <c r="E6" s="53"/>
      <c r="F6" s="53"/>
      <c r="G6" s="53"/>
      <c r="H6" s="53"/>
      <c r="I6" s="58" t="s">
        <v>8965</v>
      </c>
      <c r="J6" s="53"/>
      <c r="K6" s="53"/>
      <c r="L6" s="53"/>
      <c r="M6" s="33"/>
      <c r="N6" s="33"/>
      <c r="O6" s="36"/>
      <c r="P6" s="44"/>
    </row>
    <row r="7" spans="2:16" ht="58.5">
      <c r="B7" s="46"/>
      <c r="C7" s="32"/>
      <c r="D7" s="33"/>
      <c r="E7" s="53"/>
      <c r="F7" s="53"/>
      <c r="G7" s="53"/>
      <c r="H7" s="53"/>
      <c r="I7" s="59" t="s">
        <v>8940</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2022-04-19T13:32:39Z</dcterms:modified>
</cp:coreProperties>
</file>