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7EB53DD4-8110-4C75-BD5B-6FB53564E8F0}" xr6:coauthVersionLast="47" xr6:coauthVersionMax="47" xr10:uidLastSave="{00000000-0000-0000-0000-000000000000}"/>
  <bookViews>
    <workbookView xWindow="-120" yWindow="-120" windowWidth="29040" windowHeight="15990" activeTab="1"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5" i="13" l="1"/>
  <c r="D20" i="13"/>
  <c r="D2" i="13"/>
  <c r="D5" i="13"/>
  <c r="D8" i="13"/>
  <c r="D11" i="13"/>
  <c r="D16" i="13"/>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<sst xmlns="http://schemas.openxmlformats.org/spreadsheetml/2006/main" count="19490" uniqueCount="8998">
  <si>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</si>
  <si>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</si>
  <si>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</si>
  <si>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</si>
  <si>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</si>
  <si>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</si>
  <si>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</si>
  <si>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</si>
  <si>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</si>
  <si>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</si>
  <si>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</si>
  <si>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</si>
  <si>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</si>
  <si>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</si>
  <si>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</si>
  <si>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</si>
  <si>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</si>
  <si>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</si>
  <si>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</si>
  <si>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</si>
  <si>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</si>
  <si>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</si>
  <si>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</si>
  <si>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</si>
  <si>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</si>
  <si>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</si>
  <si>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</si>
  <si>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</si>
  <si>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</si>
  <si>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</si>
  <si>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</si>
  <si>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</si>
  <si>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</si>
  <si>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</si>
  <si>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</si>
  <si>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</si>
  <si>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</si>
  <si>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</si>
  <si>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</si>
  <si>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</si>
  <si>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</si>
  <si>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</si>
  <si>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</si>
  <si>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</si>
  <si>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</si>
  <si>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</si>
  <si>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</si>
  <si>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</si>
  <si>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</si>
  <si>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</si>
  <si>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</si>
  <si>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</si>
  <si>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</si>
  <si>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</si>
  <si>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</si>
  <si>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</si>
  <si>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</si>
  <si>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</si>
  <si>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</si>
  <si>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</si>
  <si>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</si>
  <si>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</si>
  <si>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</si>
  <si>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</si>
  <si>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</si>
  <si>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</si>
  <si>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</si>
  <si>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</si>
  <si>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</si>
  <si>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</si>
  <si>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</si>
  <si>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</si>
  <si>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</si>
  <si>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</si>
  <si>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</si>
  <si>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</si>
  <si>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</si>
  <si>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</si>
  <si>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</si>
  <si>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</si>
  <si>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</si>
  <si>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</si>
  <si>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</si>
  <si>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</si>
  <si>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</si>
  <si>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</si>
  <si>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</si>
  <si>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</si>
  <si>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</si>
  <si>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</si>
  <si>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</si>
  <si>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</si>
  <si>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</si>
  <si>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</si>
  <si>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</si>
  <si>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</si>
  <si>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</si>
  <si>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</si>
  <si>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</si>
  <si>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</si>
  <si>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</si>
  <si>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</si>
  <si>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</si>
  <si>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</si>
  <si>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</si>
  <si>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</si>
  <si>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</si>
  <si>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</si>
  <si>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</si>
  <si>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</si>
  <si>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</si>
  <si>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</si>
  <si>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</si>
  <si>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</si>
  <si>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</si>
  <si>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</si>
  <si>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</si>
  <si>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</si>
  <si>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</si>
  <si>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</si>
  <si>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</si>
  <si>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</si>
  <si>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</si>
  <si>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</si>
  <si>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</si>
  <si>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</si>
  <si>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</si>
  <si>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</si>
  <si>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</si>
  <si>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</si>
  <si>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</si>
  <si>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</si>
  <si>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</si>
  <si>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</si>
  <si>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</si>
  <si>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</si>
  <si>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</si>
  <si>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</si>
  <si>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</si>
  <si>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</si>
  <si>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</si>
  <si>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</si>
  <si>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</si>
  <si>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</si>
  <si>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</si>
  <si>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</si>
  <si>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</si>
  <si>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</si>
  <si>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</si>
  <si>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</si>
  <si>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</si>
  <si>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</si>
  <si>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</si>
  <si>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</si>
  <si>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</si>
  <si>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</si>
  <si>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</si>
  <si>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</si>
  <si>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</si>
  <si>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</si>
  <si>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</si>
  <si>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</si>
  <si>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</si>
  <si>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</si>
  <si>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</si>
  <si>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</si>
  <si>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</si>
  <si>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</si>
  <si>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</si>
  <si>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</si>
  <si>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</si>
  <si>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</si>
  <si>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</si>
  <si>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</si>
  <si>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</si>
  <si>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</si>
  <si>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</si>
  <si>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</si>
  <si>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</si>
  <si>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</si>
  <si>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</si>
  <si>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</si>
  <si>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</si>
  <si>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</si>
  <si>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</si>
  <si>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</si>
  <si>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</si>
  <si>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</si>
  <si>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</si>
  <si>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</si>
  <si>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</si>
  <si>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</si>
  <si>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</si>
  <si>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</si>
  <si>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</si>
  <si>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</si>
  <si>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</si>
  <si>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</si>
  <si>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</si>
  <si>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</si>
  <si>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</si>
  <si>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</si>
  <si>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</si>
  <si>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</si>
  <si>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</si>
  <si>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</si>
  <si>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</si>
  <si>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</si>
  <si>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</si>
  <si>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</si>
  <si>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</si>
  <si>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</si>
  <si>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</si>
  <si>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</si>
  <si>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</si>
  <si>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</si>
  <si>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</si>
  <si>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</si>
  <si>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</si>
  <si>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</si>
  <si>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</si>
  <si>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</si>
  <si>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</si>
  <si>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</si>
  <si>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</si>
  <si>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</si>
  <si>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</si>
  <si>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</si>
  <si>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</si>
  <si>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</si>
  <si>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</si>
  <si>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</si>
  <si>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</si>
  <si>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</si>
  <si>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</si>
  <si>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</si>
  <si>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</si>
  <si>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</si>
  <si>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</si>
  <si>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</si>
  <si>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</si>
  <si>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</si>
  <si>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</si>
  <si>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</si>
  <si>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</si>
  <si>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</si>
  <si>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</si>
  <si>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</si>
  <si>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</si>
  <si>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</si>
  <si>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</si>
  <si>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</si>
  <si>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</si>
  <si>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</si>
  <si>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</si>
  <si>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</si>
  <si>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</si>
  <si>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</si>
  <si>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</si>
  <si>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</si>
  <si>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</si>
  <si>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</si>
  <si>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</si>
  <si>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</si>
  <si>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</si>
  <si>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</si>
  <si>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</si>
  <si>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</si>
  <si>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</si>
  <si>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</si>
  <si>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</si>
  <si>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</si>
  <si>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</si>
  <si>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</si>
  <si>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</si>
  <si>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</si>
  <si>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</si>
  <si>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</si>
  <si>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</si>
  <si>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</si>
  <si>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</si>
  <si>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</si>
  <si>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</si>
  <si>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</si>
  <si>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</si>
  <si>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</si>
  <si>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</si>
  <si>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</si>
  <si>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</si>
  <si>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</si>
  <si>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</si>
  <si>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</si>
  <si>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</si>
  <si>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</si>
  <si>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</si>
  <si>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</si>
  <si>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</si>
  <si>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</si>
  <si>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</si>
  <si>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</si>
  <si>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</si>
  <si>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</si>
  <si>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</si>
  <si>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</si>
  <si>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</si>
  <si>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</si>
  <si>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</si>
  <si>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</si>
  <si>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</si>
  <si>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</si>
  <si>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</si>
  <si>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</si>
  <si>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</si>
  <si>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</si>
  <si>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</si>
  <si>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</si>
  <si>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</si>
  <si>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</si>
  <si>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</si>
  <si>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</si>
  <si>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</si>
  <si>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</si>
  <si>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</si>
  <si>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</si>
  <si>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</si>
  <si>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</si>
  <si>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</si>
  <si>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</si>
  <si>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</si>
  <si>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</si>
  <si>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</si>
  <si>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</si>
  <si>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</si>
  <si>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</si>
  <si>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</si>
  <si>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</si>
  <si>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</si>
  <si>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</si>
  <si>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</si>
  <si>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</si>
  <si>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</si>
  <si>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</si>
  <si>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</si>
  <si>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</si>
  <si>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</si>
  <si>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</si>
  <si>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</si>
  <si>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</si>
  <si>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</si>
  <si>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</si>
  <si>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</si>
  <si>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</si>
  <si>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</si>
  <si>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</si>
  <si>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</si>
  <si>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</si>
  <si>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</si>
  <si>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</si>
  <si>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</si>
  <si>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</si>
  <si>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</si>
  <si>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</si>
  <si>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</si>
  <si>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</si>
  <si>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</si>
  <si>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</si>
  <si>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</si>
  <si>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</si>
  <si>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</si>
  <si>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</si>
  <si>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</si>
  <si>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</si>
  <si>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</si>
  <si>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</si>
  <si>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</si>
  <si>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</si>
  <si>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</si>
  <si>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</si>
  <si>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</si>
  <si>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</si>
  <si>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</si>
  <si>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</si>
  <si>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</si>
  <si>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</si>
  <si>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</si>
  <si>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</si>
  <si>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</si>
  <si>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</si>
  <si>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</si>
  <si>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</si>
  <si>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</si>
  <si>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</si>
  <si>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</si>
  <si>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</si>
  <si>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</si>
  <si>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</si>
  <si>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</si>
  <si>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</si>
  <si>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</si>
  <si>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</si>
  <si>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</si>
  <si>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</si>
  <si>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</si>
  <si>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</si>
  <si>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</si>
  <si>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</si>
  <si>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</si>
  <si>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</si>
  <si>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</si>
  <si>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</si>
  <si>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</si>
  <si>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</si>
  <si>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</si>
  <si>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</si>
  <si>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</si>
  <si>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</si>
  <si>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</si>
  <si>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</si>
  <si>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</si>
  <si>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</si>
  <si>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</si>
  <si>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</si>
  <si>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</si>
  <si>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</si>
  <si>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</si>
  <si>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</si>
  <si>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</si>
  <si>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</si>
  <si>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</si>
  <si>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</si>
  <si>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</si>
  <si>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</si>
  <si>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</si>
  <si>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</si>
  <si>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</si>
  <si>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</si>
  <si>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</si>
  <si>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</si>
  <si>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</si>
  <si>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</si>
  <si>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</si>
  <si>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</si>
  <si>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</si>
  <si>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</si>
  <si>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</si>
  <si>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</si>
  <si>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</si>
  <si>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</si>
  <si>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</si>
  <si>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</si>
  <si>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</si>
  <si>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</si>
  <si>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</si>
  <si>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</si>
  <si>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</si>
  <si>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</si>
  <si>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</si>
  <si>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</si>
  <si>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</si>
  <si>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</si>
  <si>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</si>
  <si>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</si>
  <si>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</si>
  <si>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</si>
  <si>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</si>
  <si>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</si>
  <si>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</si>
  <si>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</si>
  <si>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</si>
  <si>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</si>
  <si>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</si>
  <si>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</si>
  <si>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</si>
  <si>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</si>
  <si>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</si>
  <si>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</si>
  <si>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</si>
  <si>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</si>
  <si>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</si>
  <si>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</si>
  <si>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</si>
  <si>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</si>
  <si>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</si>
  <si>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</si>
  <si>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</si>
  <si>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</si>
  <si>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</si>
  <si>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</si>
  <si>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</si>
  <si>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</si>
  <si>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</si>
  <si>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</si>
  <si>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</si>
  <si>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</si>
  <si>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</si>
  <si>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</si>
  <si>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</si>
  <si>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</si>
  <si>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</si>
  <si>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</si>
  <si>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</si>
  <si>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</si>
  <si>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</si>
  <si>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</si>
  <si>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</si>
  <si>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</si>
  <si>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</si>
  <si>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</si>
  <si>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</si>
  <si>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</si>
  <si>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</si>
  <si>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</si>
  <si>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</si>
  <si>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</si>
  <si>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</si>
  <si>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</si>
  <si>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</si>
  <si>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</si>
  <si>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</si>
  <si>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</si>
  <si>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</si>
  <si>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</si>
  <si>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</si>
  <si>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</si>
  <si>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</si>
  <si>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</si>
  <si>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</si>
  <si>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</si>
  <si>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</si>
  <si>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</si>
  <si>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</si>
  <si>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</si>
  <si>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</si>
  <si>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</si>
  <si>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</si>
  <si>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</si>
  <si>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</si>
  <si>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</si>
  <si>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</si>
  <si>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</si>
  <si>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</si>
  <si>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</si>
  <si>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</si>
  <si>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</si>
  <si>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</si>
  <si>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</si>
  <si>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</si>
  <si>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</si>
  <si>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</si>
  <si>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</si>
  <si>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</si>
  <si>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</si>
  <si>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</si>
  <si>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</si>
  <si>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</si>
  <si>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</si>
  <si>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</si>
  <si>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</si>
  <si>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</si>
  <si>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</si>
  <si>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</si>
  <si>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</si>
  <si>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</si>
  <si>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</si>
  <si>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</si>
  <si>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</si>
  <si>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</si>
  <si>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</si>
  <si>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</si>
  <si>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</si>
  <si>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</si>
  <si>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</si>
  <si>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</si>
  <si>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</si>
  <si>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</si>
  <si>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</si>
  <si>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</si>
  <si>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</si>
  <si>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</si>
  <si>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</si>
  <si>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</si>
  <si>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</si>
  <si>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</si>
  <si>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</si>
  <si>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</si>
  <si>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</si>
  <si>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</si>
  <si>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</si>
  <si>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</si>
  <si>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</si>
  <si>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</si>
  <si>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</si>
  <si>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</si>
  <si>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</si>
  <si>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</si>
  <si>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</si>
  <si>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</si>
  <si>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</si>
  <si>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</si>
  <si>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</si>
  <si>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</si>
  <si>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</si>
  <si>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</si>
  <si>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</si>
  <si>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</si>
  <si>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</si>
  <si>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</si>
  <si>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</si>
  <si>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</si>
  <si>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</si>
  <si>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</si>
  <si>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</si>
  <si>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</si>
  <si>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</si>
  <si>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</si>
  <si>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</si>
  <si>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</si>
  <si>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</si>
  <si>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</si>
  <si>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</si>
  <si>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</si>
  <si>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</si>
  <si>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</si>
  <si>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</si>
  <si>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</si>
  <si>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</si>
  <si>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</si>
  <si>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</si>
  <si>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</si>
  <si>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</si>
  <si>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</si>
  <si>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</si>
  <si>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</si>
  <si>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</si>
  <si>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</si>
  <si>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</si>
  <si>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</si>
  <si>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</si>
  <si>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</si>
  <si>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</si>
  <si>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</si>
  <si>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</si>
  <si>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</si>
  <si>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</si>
  <si>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</si>
  <si>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</si>
  <si>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</si>
  <si>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</si>
  <si>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</si>
  <si>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</si>
  <si>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</si>
  <si>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</si>
  <si>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</si>
  <si>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</si>
  <si>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</si>
  <si>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</si>
  <si>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</si>
  <si>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</si>
  <si>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</si>
  <si>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</si>
  <si>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</si>
  <si>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</si>
  <si>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</si>
  <si>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</si>
  <si>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</si>
  <si>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</si>
  <si>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</si>
  <si>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</si>
  <si>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</si>
  <si>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</si>
  <si>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</si>
  <si>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</si>
  <si>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</si>
  <si>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</si>
  <si>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</si>
  <si>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</si>
  <si>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</si>
  <si>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</si>
  <si>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</si>
  <si>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</si>
  <si>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</si>
  <si>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</si>
  <si>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</si>
  <si>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</si>
  <si>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</si>
  <si>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</si>
  <si>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</si>
  <si>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</si>
  <si>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</si>
  <si>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</si>
  <si>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</si>
  <si>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</si>
  <si>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</si>
  <si>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</si>
  <si>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</si>
  <si>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</si>
  <si>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</si>
  <si>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</si>
  <si>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</si>
  <si>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</si>
  <si>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</si>
  <si>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</si>
  <si>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</si>
  <si>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</si>
  <si>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</si>
  <si>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</si>
  <si>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</si>
  <si>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</si>
  <si>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</si>
  <si>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</si>
  <si>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</si>
  <si>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</si>
  <si>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</si>
  <si>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</si>
  <si>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</si>
  <si>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</si>
  <si>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</si>
  <si>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</si>
  <si>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</si>
  <si>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</si>
  <si>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</si>
  <si>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</si>
  <si>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</si>
  <si>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</si>
  <si>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</si>
  <si>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</si>
  <si>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</si>
  <si>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</si>
  <si>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</si>
  <si>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</si>
  <si>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</si>
  <si>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</si>
  <si>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</si>
  <si>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</si>
  <si>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</si>
  <si>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</si>
  <si>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</si>
  <si>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</si>
  <si>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</si>
  <si>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</si>
  <si>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</si>
  <si>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</si>
  <si>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</si>
  <si>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</si>
  <si>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</si>
  <si>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</si>
  <si>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</si>
  <si>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</si>
  <si>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</si>
  <si>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</si>
  <si>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</si>
  <si>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</si>
  <si>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</si>
  <si>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</si>
  <si>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</si>
  <si>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</si>
  <si>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</si>
  <si>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</si>
  <si>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</si>
  <si>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</si>
  <si>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</si>
  <si>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</si>
  <si>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</si>
  <si>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</si>
  <si>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</si>
  <si>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</si>
  <si>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</si>
  <si>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</si>
  <si>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</si>
  <si>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</si>
  <si>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</si>
  <si>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</si>
  <si>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</si>
  <si>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</si>
  <si>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</si>
  <si>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</si>
  <si>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</si>
  <si>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</si>
  <si>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</si>
  <si>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</si>
  <si>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</si>
  <si>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</si>
  <si>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</si>
  <si>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</si>
  <si>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</si>
  <si>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</si>
  <si>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</si>
  <si>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</si>
  <si>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</si>
  <si>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</si>
  <si>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</si>
  <si>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</si>
  <si>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</si>
  <si>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</si>
  <si>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</si>
  <si>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</si>
  <si>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</si>
  <si>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</si>
  <si>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</si>
  <si>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</si>
  <si>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</si>
  <si>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</si>
  <si>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</si>
  <si>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</si>
  <si>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</si>
  <si>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</si>
  <si>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</si>
  <si>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</si>
  <si>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</si>
  <si>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</si>
  <si>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</si>
  <si>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</si>
  <si>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</si>
  <si>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</si>
  <si>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</si>
  <si>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</si>
  <si>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</si>
  <si>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</si>
  <si>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</si>
  <si>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</si>
  <si>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</si>
  <si>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</si>
  <si>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</si>
  <si>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</si>
  <si>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</si>
  <si>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</si>
  <si>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</si>
  <si>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</si>
  <si>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</si>
  <si>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</si>
  <si>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</si>
  <si>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</si>
  <si>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</si>
  <si>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</si>
  <si>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</si>
  <si>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</si>
  <si>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</si>
  <si>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</si>
  <si>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</si>
  <si>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</si>
  <si>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</si>
  <si>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</si>
  <si>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</si>
  <si>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</si>
  <si>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</si>
  <si>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</si>
  <si>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</si>
  <si>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</si>
  <si>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</si>
  <si>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</si>
  <si>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</si>
  <si>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</si>
  <si>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</si>
  <si>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</si>
  <si>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</si>
  <si>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</si>
  <si>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</si>
  <si>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</si>
  <si>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</si>
  <si>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</si>
  <si>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</si>
  <si>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</si>
  <si>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</si>
  <si>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</si>
  <si>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</si>
  <si>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</si>
  <si>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</si>
  <si>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</si>
  <si>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</si>
  <si>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</si>
  <si>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</si>
  <si>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</si>
  <si>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</si>
  <si>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</si>
  <si>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</si>
  <si>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</si>
  <si>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</si>
  <si>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</si>
  <si>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</si>
  <si>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</si>
  <si>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</si>
  <si>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</si>
  <si>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</si>
  <si>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</si>
  <si>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</si>
  <si>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</si>
  <si>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</si>
  <si>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</si>
  <si>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</si>
  <si>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</si>
  <si>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</si>
  <si>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</si>
  <si>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</si>
  <si>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</si>
  <si>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</si>
  <si>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</si>
  <si>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</si>
  <si>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</si>
  <si>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</si>
  <si>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</si>
  <si>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</si>
  <si>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</si>
  <si>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</si>
  <si>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</si>
  <si>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</si>
  <si>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</si>
  <si>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</si>
  <si>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</si>
  <si>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</si>
  <si>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</si>
  <si>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</si>
  <si>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</si>
  <si>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</si>
  <si>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</si>
  <si>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</si>
  <si>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</si>
  <si>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</si>
  <si>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</si>
  <si>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</si>
  <si>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</si>
  <si>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</si>
  <si>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</si>
  <si>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</si>
  <si>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</si>
  <si>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</si>
  <si>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</si>
  <si>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</si>
  <si>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</si>
  <si>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</si>
  <si>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</si>
  <si>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</si>
  <si>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</si>
  <si>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</si>
  <si>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</si>
  <si>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</si>
  <si>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</si>
  <si>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</si>
  <si>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</si>
  <si>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</si>
  <si>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</si>
  <si>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</si>
  <si>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</si>
  <si>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</si>
  <si>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</si>
  <si>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</si>
  <si>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</si>
  <si>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</si>
  <si>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</si>
  <si>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</si>
  <si>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</si>
  <si>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</si>
  <si>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</si>
  <si>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</si>
  <si>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</si>
  <si>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</si>
  <si>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</si>
  <si>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</si>
  <si>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</si>
  <si>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</si>
  <si>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</si>
  <si>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</si>
  <si>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</si>
  <si>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</si>
  <si>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</si>
  <si>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</si>
  <si>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</si>
  <si>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</si>
  <si>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</si>
  <si>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</si>
  <si>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</si>
  <si>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</si>
  <si>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</si>
  <si>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</si>
  <si>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</si>
  <si>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</si>
  <si>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</si>
  <si>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</si>
  <si>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</si>
  <si>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</si>
  <si>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</si>
  <si>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</si>
  <si>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</si>
  <si>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</si>
  <si>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</si>
  <si>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</si>
  <si>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</si>
  <si>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</si>
  <si>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</si>
  <si>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</si>
  <si>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</si>
  <si>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</si>
  <si>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</si>
  <si>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</si>
  <si>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</si>
  <si>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</si>
  <si>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</si>
  <si>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</si>
  <si>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</si>
  <si>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</si>
  <si>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</si>
  <si>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</si>
  <si>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</si>
  <si>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</si>
  <si>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</si>
  <si>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</si>
  <si>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</si>
  <si>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</si>
  <si>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</si>
  <si>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</si>
  <si>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</si>
  <si>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</si>
  <si>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</si>
  <si>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</si>
  <si>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</si>
  <si>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</si>
  <si>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</si>
  <si>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</si>
  <si>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</si>
  <si>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</si>
  <si>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</si>
  <si>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</si>
  <si>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</si>
  <si>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</si>
  <si>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</si>
  <si>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</si>
  <si>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</si>
  <si>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</si>
  <si>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</si>
  <si>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</si>
  <si>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</si>
  <si>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</si>
  <si>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</si>
  <si>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</si>
  <si>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</si>
  <si>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</si>
  <si>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</si>
  <si>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</si>
  <si>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</si>
  <si>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</si>
  <si>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</si>
  <si>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</si>
  <si>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</si>
  <si>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</si>
  <si>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</si>
  <si>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</si>
  <si>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</si>
  <si>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</si>
  <si>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</si>
  <si>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</si>
  <si>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</si>
  <si>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</si>
  <si>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</si>
  <si>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</si>
  <si>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</si>
  <si>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</si>
  <si>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</si>
  <si>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</si>
  <si>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</si>
  <si>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</si>
  <si>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</si>
  <si>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</si>
  <si>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</si>
  <si>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</si>
  <si>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</si>
  <si>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</si>
  <si>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</si>
  <si>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</si>
  <si>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</si>
  <si>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</si>
  <si>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</si>
  <si>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</si>
  <si>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</si>
  <si>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</si>
  <si>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</si>
  <si>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</si>
  <si>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</si>
  <si>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</si>
  <si>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</si>
  <si>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</si>
  <si>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</si>
  <si>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</si>
  <si>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</si>
  <si>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</si>
  <si>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</si>
  <si>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</si>
  <si>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</si>
  <si>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</si>
  <si>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</si>
  <si>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</si>
  <si>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</si>
  <si>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</si>
  <si>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</si>
  <si>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</si>
  <si>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</si>
  <si>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</si>
  <si>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</si>
  <si>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</si>
  <si>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</si>
  <si>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</si>
  <si>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</si>
  <si>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</si>
  <si>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</si>
  <si>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</si>
  <si>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</si>
  <si>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</si>
  <si>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</si>
  <si>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</si>
  <si>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</si>
  <si>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</si>
  <si>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</si>
  <si>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</si>
  <si>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</si>
  <si>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</si>
  <si>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</si>
  <si>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</si>
  <si>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</si>
  <si>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</si>
  <si>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</si>
  <si>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</si>
  <si>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</si>
  <si>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</si>
  <si>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</si>
  <si>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</si>
  <si>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</si>
  <si>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</si>
  <si>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</si>
  <si>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</si>
  <si>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</si>
  <si>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</si>
  <si>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</si>
  <si>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</si>
  <si>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</si>
  <si>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</si>
  <si>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</si>
  <si>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</si>
  <si>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</si>
  <si>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</si>
  <si>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</si>
  <si>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</si>
  <si>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</si>
  <si>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</si>
  <si>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</si>
  <si>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</si>
  <si>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</si>
  <si>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</si>
  <si>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</si>
  <si>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</si>
  <si>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</si>
  <si>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</si>
  <si>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</si>
  <si>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</si>
  <si>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</si>
  <si>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</si>
  <si>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</si>
  <si>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</si>
  <si>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</si>
  <si>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</si>
  <si>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</si>
  <si>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</si>
  <si>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</si>
  <si>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</si>
  <si>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</si>
  <si>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</si>
  <si>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</si>
  <si>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</si>
  <si>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</si>
  <si>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</si>
  <si>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</si>
  <si>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</si>
  <si>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</si>
  <si>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</si>
  <si>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</si>
  <si>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</si>
  <si>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</si>
  <si>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</si>
  <si>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</si>
  <si>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</si>
  <si>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</si>
  <si>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</si>
  <si>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</si>
  <si>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</si>
  <si>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</si>
  <si>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</si>
  <si>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</si>
  <si>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</si>
  <si>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</si>
  <si>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</si>
  <si>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</si>
  <si>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</si>
  <si>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</si>
  <si>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</si>
  <si>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</si>
  <si>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</si>
  <si>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</si>
  <si>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</si>
  <si>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</si>
  <si>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</si>
  <si>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</si>
  <si>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</si>
  <si>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</si>
  <si>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</si>
  <si>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</si>
  <si>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</si>
  <si>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</si>
  <si>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</si>
  <si>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</si>
  <si>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</si>
  <si>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</si>
  <si>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</si>
  <si>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</si>
  <si>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</si>
  <si>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</si>
  <si>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</si>
  <si>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</si>
  <si>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</si>
  <si>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</si>
  <si>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</si>
  <si>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</si>
  <si>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</si>
  <si>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</si>
  <si>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</si>
  <si>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</si>
  <si>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</si>
  <si>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</si>
  <si>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</si>
  <si>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</si>
  <si>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</si>
  <si>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</si>
  <si>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</si>
  <si>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</si>
  <si>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</si>
  <si>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</si>
  <si>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</si>
  <si>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</si>
  <si>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</si>
  <si>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</si>
  <si>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</si>
  <si>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</si>
  <si>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</si>
  <si>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</si>
  <si>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</si>
  <si>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</si>
  <si>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</si>
  <si>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</si>
  <si>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</si>
  <si>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</si>
  <si>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</si>
  <si>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</si>
  <si>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</si>
  <si>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</si>
  <si>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</si>
  <si>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</si>
  <si>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</si>
  <si>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</si>
  <si>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</si>
  <si>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</si>
  <si>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</si>
  <si>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</si>
  <si>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</si>
  <si>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</si>
  <si>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</si>
  <si>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</si>
  <si>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</si>
  <si>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</si>
  <si>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</si>
  <si>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</si>
  <si>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</si>
  <si>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</si>
  <si>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</si>
  <si>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</si>
  <si>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</si>
  <si>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</si>
  <si>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</si>
  <si>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</si>
  <si>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</si>
  <si>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</si>
  <si>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</si>
  <si>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</si>
  <si>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</si>
  <si>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</si>
  <si>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</si>
  <si>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</si>
  <si>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</si>
  <si>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</si>
  <si>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</si>
  <si>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</si>
  <si>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</si>
  <si>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</si>
  <si>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</si>
  <si>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</si>
  <si>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</si>
  <si>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</si>
  <si>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</si>
  <si>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</si>
  <si>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</si>
  <si>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</si>
  <si>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</si>
  <si>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</si>
  <si>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</si>
  <si>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</si>
  <si>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</si>
  <si>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</si>
  <si>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</si>
  <si>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</si>
  <si>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</si>
  <si>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</si>
  <si>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</si>
  <si>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</si>
  <si>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</si>
  <si>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</si>
  <si>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</si>
  <si>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</si>
  <si>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</si>
  <si>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</si>
  <si>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</si>
  <si>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</si>
  <si>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</si>
  <si>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</si>
  <si>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</si>
  <si>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</si>
  <si>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</si>
  <si>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</si>
  <si>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</si>
  <si>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</si>
  <si>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</si>
  <si>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</si>
  <si>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</si>
  <si>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</si>
  <si>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</si>
  <si>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</si>
  <si>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</si>
  <si>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</si>
  <si>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</si>
  <si>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</si>
  <si>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</si>
  <si>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</si>
  <si>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</si>
  <si>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</si>
  <si>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</si>
  <si>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</si>
  <si>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</si>
  <si>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</si>
  <si>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</si>
  <si>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</si>
  <si>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</si>
  <si>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</si>
  <si>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</si>
  <si>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</si>
  <si>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</si>
  <si>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</si>
  <si>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</si>
  <si>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</si>
  <si>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</si>
  <si>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</si>
  <si>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</si>
  <si>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</si>
  <si>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</si>
  <si>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</si>
  <si>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</si>
  <si>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</si>
  <si>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</si>
  <si>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</si>
  <si>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</si>
  <si>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</si>
  <si>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</si>
  <si>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</si>
  <si>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</si>
  <si>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</si>
  <si>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</si>
  <si>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</si>
  <si>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</si>
  <si>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</si>
  <si>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</si>
  <si>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</si>
  <si>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</si>
  <si>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</si>
  <si>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</si>
  <si>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</si>
  <si>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</si>
  <si>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</si>
  <si>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</si>
  <si>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</si>
  <si>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</si>
  <si>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</si>
  <si>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</si>
  <si>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</si>
  <si>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</si>
  <si>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</si>
  <si>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</si>
  <si>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</si>
  <si>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</si>
  <si>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</si>
  <si>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</si>
  <si>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</si>
  <si>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</si>
  <si>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</si>
  <si>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</si>
  <si>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</si>
  <si>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</si>
  <si>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</si>
  <si>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</si>
  <si>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</si>
  <si>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</si>
  <si>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</si>
  <si>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</si>
  <si>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</si>
  <si>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</si>
  <si>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</si>
  <si>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</si>
  <si>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</si>
  <si>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</si>
  <si>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</si>
  <si>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</si>
  <si>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</si>
  <si>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</si>
  <si>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</si>
  <si>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</si>
  <si>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</si>
  <si>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</si>
  <si>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</si>
  <si>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</si>
  <si>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</si>
  <si>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</si>
  <si>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</si>
  <si>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</si>
  <si>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</si>
  <si>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</si>
  <si>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</si>
  <si>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</si>
  <si>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</si>
  <si>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</si>
  <si>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</si>
  <si>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</si>
  <si>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</si>
  <si>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</si>
  <si>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</si>
  <si>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</si>
  <si>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</si>
  <si>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</si>
  <si>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</si>
  <si>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</si>
  <si>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</si>
  <si>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</si>
  <si>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</si>
  <si>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</si>
  <si>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</si>
  <si>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</si>
  <si>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</si>
  <si>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</si>
  <si>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</si>
  <si>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</si>
  <si>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</si>
  <si>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</si>
  <si>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</si>
  <si>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</si>
  <si>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</si>
  <si>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</si>
  <si>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</si>
  <si>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</si>
  <si>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</si>
  <si>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</si>
  <si>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</si>
  <si>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</si>
  <si>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</si>
  <si>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</si>
  <si>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</si>
  <si>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</si>
  <si>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</si>
  <si>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</si>
  <si>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</si>
  <si>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</si>
  <si>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</si>
  <si>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</si>
  <si>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</si>
  <si>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</si>
  <si>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</si>
  <si>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</si>
  <si>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</si>
  <si>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</si>
  <si>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</si>
  <si>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</si>
  <si>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</si>
  <si>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</si>
  <si>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</si>
  <si>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</si>
  <si>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</si>
  <si>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</si>
  <si>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</si>
  <si>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</si>
  <si>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</si>
  <si>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</si>
  <si>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</si>
  <si>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</si>
  <si>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</si>
  <si>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</si>
  <si>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</si>
  <si>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</si>
  <si>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</si>
  <si>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</si>
  <si>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</si>
  <si>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</si>
  <si>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</si>
  <si>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</si>
  <si>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</si>
  <si>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</si>
  <si>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</si>
  <si>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</si>
  <si>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</si>
  <si>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</si>
  <si>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</si>
  <si>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</si>
  <si>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</si>
  <si>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</si>
  <si>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</si>
  <si>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</si>
  <si>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</si>
  <si>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</si>
  <si>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</si>
  <si>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</si>
  <si>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</si>
  <si>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</si>
  <si>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</si>
  <si>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</si>
  <si>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</si>
  <si>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</si>
  <si>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</si>
  <si>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</si>
  <si>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</si>
  <si>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</si>
  <si>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</si>
  <si>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</si>
  <si>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</si>
  <si>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</si>
  <si>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</si>
  <si>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</si>
  <si>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</si>
  <si>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</si>
  <si>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</si>
  <si>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</si>
  <si>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</si>
  <si>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</si>
  <si>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</si>
  <si>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</si>
  <si>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</si>
  <si>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</si>
  <si>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</si>
  <si>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</si>
  <si>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</si>
  <si>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</si>
  <si>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</si>
  <si>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</si>
  <si>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</si>
  <si>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</si>
  <si>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</si>
  <si>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</si>
  <si>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</si>
  <si>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</si>
  <si>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</si>
  <si>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</si>
  <si>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</si>
  <si>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</si>
  <si>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</si>
  <si>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</si>
  <si>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</si>
  <si>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</si>
  <si>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</si>
  <si>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</si>
  <si>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</si>
  <si>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</si>
  <si>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</si>
  <si>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</si>
  <si>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</si>
  <si>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</si>
  <si>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</si>
  <si>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</si>
  <si>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</si>
  <si>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</si>
  <si>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</si>
  <si>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</si>
  <si>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</si>
  <si>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</si>
  <si>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</si>
  <si>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</si>
  <si>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</si>
  <si>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</si>
  <si>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</si>
  <si>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</si>
  <si>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</si>
  <si>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</si>
  <si>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</si>
  <si>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</si>
  <si>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</si>
  <si>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</si>
  <si>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</si>
  <si>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</si>
  <si>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</si>
  <si>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</si>
  <si>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</si>
  <si>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</si>
  <si>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</si>
  <si>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</si>
  <si>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</si>
  <si>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</si>
  <si>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</si>
  <si>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</si>
  <si>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</si>
  <si>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</si>
  <si>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</si>
  <si>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</si>
  <si>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</si>
  <si>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</si>
  <si>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</si>
  <si>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</si>
  <si>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</si>
  <si>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</si>
  <si>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</si>
  <si>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</si>
  <si>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</si>
  <si>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</si>
  <si>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</si>
  <si>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</si>
  <si>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</si>
  <si>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</si>
  <si>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</si>
  <si>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</si>
  <si>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</si>
  <si>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</si>
  <si>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</si>
  <si>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</si>
  <si>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</si>
  <si>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</si>
  <si>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</si>
  <si>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</si>
  <si>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</si>
  <si>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</si>
  <si>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</si>
  <si>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</si>
  <si>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</si>
  <si>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</si>
  <si>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</si>
  <si>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</si>
  <si>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</si>
  <si>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</si>
  <si>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</si>
  <si>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</si>
  <si>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</si>
  <si>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</si>
  <si>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</si>
  <si>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</si>
  <si>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</si>
  <si>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</si>
  <si>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</si>
  <si>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</si>
  <si>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</si>
  <si>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</si>
  <si>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</si>
  <si>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</si>
  <si>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</si>
  <si>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</si>
  <si>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</si>
  <si>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</si>
  <si>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</si>
  <si>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</si>
  <si>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</si>
  <si>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</si>
  <si>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</si>
  <si>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</si>
  <si>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</si>
  <si>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</si>
  <si>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</si>
  <si>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</si>
  <si>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</si>
  <si>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</si>
  <si>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</si>
  <si>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</si>
  <si>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</si>
  <si>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</si>
  <si>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</si>
  <si>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</si>
  <si>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</si>
  <si>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</si>
  <si>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</si>
  <si>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</si>
  <si>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</si>
  <si>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</si>
  <si>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</si>
  <si>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</si>
  <si>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</si>
  <si>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</si>
  <si>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</si>
  <si>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</si>
  <si>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</si>
  <si>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</si>
  <si>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</si>
  <si>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</si>
  <si>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</si>
  <si>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</si>
  <si>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</si>
  <si>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</si>
  <si>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</si>
  <si>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</si>
  <si>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</si>
  <si>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</si>
  <si>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</si>
  <si>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</si>
  <si>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</si>
  <si>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</si>
  <si>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</si>
  <si>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</si>
  <si>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</si>
  <si>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</si>
  <si>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</si>
  <si>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</si>
  <si>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</si>
  <si>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</si>
  <si>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</si>
  <si>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</si>
  <si>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</si>
  <si>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</si>
  <si>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</si>
  <si>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</si>
  <si>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</si>
  <si>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</si>
  <si>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</si>
  <si>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</si>
  <si>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</si>
  <si>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</si>
  <si>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</si>
  <si>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</si>
  <si>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</si>
  <si>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</si>
  <si>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</si>
  <si>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</si>
  <si>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</si>
  <si>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</si>
  <si>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</si>
  <si>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</si>
  <si>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</si>
  <si>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</si>
  <si>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</si>
  <si>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</si>
  <si>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</si>
  <si>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</si>
  <si>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</si>
  <si>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</si>
  <si>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</si>
  <si>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</si>
  <si>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</si>
  <si>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</si>
  <si>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</si>
  <si>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</si>
  <si>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</si>
  <si>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</si>
  <si>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</si>
  <si>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</si>
  <si>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</si>
  <si>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</si>
  <si>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</si>
  <si>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</si>
  <si>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</si>
  <si>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</si>
  <si>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</si>
  <si>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</si>
  <si>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</si>
  <si>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</si>
  <si>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</si>
  <si>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</si>
  <si>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</si>
  <si>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</si>
  <si>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</si>
  <si>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</si>
  <si>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</si>
  <si>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</si>
  <si>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</si>
  <si>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</si>
  <si>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</si>
  <si>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</si>
  <si>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</si>
  <si>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</si>
  <si>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</si>
  <si>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</si>
  <si>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</si>
  <si>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</si>
  <si>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</si>
  <si>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</si>
  <si>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</si>
  <si>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</si>
  <si>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</si>
  <si>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</si>
  <si>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</si>
  <si>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</si>
  <si>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</si>
  <si>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</si>
  <si>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</si>
  <si>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</si>
  <si>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</si>
  <si>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</si>
  <si>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</si>
  <si>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</si>
  <si>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</si>
  <si>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</si>
  <si>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</si>
  <si>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</si>
  <si>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</si>
  <si>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</si>
  <si>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</si>
  <si>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</si>
  <si>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</si>
  <si>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</si>
  <si>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</si>
  <si>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</si>
  <si>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</si>
  <si>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</si>
  <si>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</si>
  <si>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</si>
  <si>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</si>
  <si>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</si>
  <si>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</si>
  <si>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</si>
  <si>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</si>
  <si>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</si>
  <si>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</si>
  <si>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</si>
  <si>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</si>
  <si>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</si>
  <si>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</si>
  <si>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</si>
  <si>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</si>
  <si>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</si>
  <si>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</si>
  <si>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</si>
  <si>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</si>
  <si>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</si>
  <si>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</si>
  <si>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</si>
  <si>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</si>
  <si>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</si>
  <si>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</si>
  <si>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</si>
  <si>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</si>
  <si>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</si>
  <si>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</si>
  <si>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</si>
  <si>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</si>
  <si>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</si>
  <si>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</si>
  <si>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</si>
  <si>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</si>
  <si>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</si>
  <si>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</si>
  <si>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</si>
  <si>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</si>
  <si>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</si>
  <si>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</si>
  <si>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</si>
  <si>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</si>
  <si>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</si>
  <si>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</si>
  <si>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</si>
  <si>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</si>
  <si>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</si>
  <si>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</si>
  <si>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</si>
  <si>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</si>
  <si>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</si>
  <si>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</si>
  <si>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</si>
  <si>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</si>
  <si>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</si>
  <si>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</si>
  <si>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</si>
  <si>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</si>
  <si>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</si>
  <si>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</si>
  <si>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</si>
  <si>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</si>
  <si>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</si>
  <si>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</si>
  <si>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</si>
  <si>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</si>
  <si>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</si>
  <si>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</si>
  <si>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</si>
  <si>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</si>
  <si>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</si>
  <si>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</si>
  <si>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</si>
  <si>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</si>
  <si>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</si>
  <si>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</si>
  <si>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</si>
  <si>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</si>
  <si>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</si>
  <si>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</si>
  <si>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</si>
  <si>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</si>
  <si>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</si>
  <si>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</si>
  <si>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</si>
  <si>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</si>
  <si>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</si>
  <si>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</si>
  <si>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</si>
  <si>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</si>
  <si>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</si>
  <si>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</si>
  <si>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</si>
  <si>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</si>
  <si>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</si>
  <si>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</si>
  <si>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</si>
  <si>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</si>
  <si>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</si>
  <si>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</si>
  <si>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</si>
  <si>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</si>
  <si>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</si>
  <si>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</si>
  <si>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</si>
  <si>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</si>
  <si>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</si>
  <si>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</si>
  <si>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</si>
  <si>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</si>
  <si>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</si>
  <si>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</si>
  <si>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</si>
  <si>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</si>
  <si>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</si>
  <si>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</si>
  <si>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</si>
  <si>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</si>
  <si>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</si>
  <si>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</si>
  <si>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</si>
  <si>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</si>
  <si>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</si>
  <si>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</si>
  <si>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</si>
  <si>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</si>
  <si>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</si>
  <si>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</si>
  <si>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</si>
  <si>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</si>
  <si>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</si>
  <si>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</si>
  <si>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</si>
  <si>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</si>
  <si>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</si>
  <si>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</si>
  <si>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</si>
  <si>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</si>
  <si>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</si>
  <si>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</si>
  <si>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</si>
  <si>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</si>
  <si>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</si>
  <si>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</si>
  <si>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</si>
  <si>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</si>
  <si>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</si>
  <si>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</si>
  <si>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</si>
  <si>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</si>
  <si>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</si>
  <si>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</si>
  <si>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</si>
  <si>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</si>
  <si>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</si>
  <si>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</si>
  <si>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</si>
  <si>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</si>
  <si>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</si>
  <si>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</si>
  <si>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</si>
  <si>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</si>
  <si>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</si>
  <si>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</si>
  <si>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</si>
  <si>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</si>
  <si>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</si>
  <si>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</si>
  <si>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</si>
  <si>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</si>
  <si>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</si>
  <si>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</si>
  <si>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</si>
  <si>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</si>
  <si>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</si>
  <si>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</si>
  <si>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</si>
  <si>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</si>
  <si>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</si>
  <si>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</si>
  <si>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</si>
  <si>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</si>
  <si>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</si>
  <si>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</si>
  <si>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</si>
  <si>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</si>
  <si>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</si>
  <si>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</si>
  <si>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</si>
  <si>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</si>
  <si>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</si>
  <si>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</si>
  <si>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</si>
  <si>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</si>
  <si>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</si>
  <si>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</si>
  <si>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</si>
  <si>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</si>
  <si>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</si>
  <si>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</si>
  <si>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</si>
  <si>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</si>
  <si>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</si>
  <si>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</si>
  <si>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</si>
  <si>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</si>
  <si>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</si>
  <si>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</si>
  <si>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</si>
  <si>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</si>
  <si>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</si>
  <si>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</si>
  <si>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</si>
  <si>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</si>
  <si>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</si>
  <si>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</si>
  <si>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</si>
  <si>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</si>
  <si>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</si>
  <si>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</si>
  <si>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</si>
  <si>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</si>
  <si>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</si>
  <si>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</si>
  <si>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</si>
  <si>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</si>
  <si>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</si>
  <si>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</si>
  <si>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</si>
  <si>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</si>
  <si>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</si>
  <si>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</si>
  <si>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</si>
  <si>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</si>
  <si>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</si>
  <si>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</si>
  <si>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</si>
  <si>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</si>
  <si>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</si>
  <si>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</si>
  <si>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</si>
  <si>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</si>
  <si>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</si>
  <si>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</si>
  <si>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</si>
  <si>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</si>
  <si>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</si>
  <si>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</si>
  <si>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</si>
  <si>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</si>
  <si>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</si>
  <si>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</si>
  <si>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</si>
  <si>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</si>
  <si>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</si>
  <si>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</si>
  <si>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</si>
  <si>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</si>
  <si>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</si>
  <si>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</si>
  <si>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</si>
  <si>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</si>
  <si>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</si>
  <si>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</si>
  <si>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</si>
  <si>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</si>
  <si>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</si>
  <si>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</si>
  <si>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</si>
  <si>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</si>
  <si>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</si>
  <si>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</si>
  <si>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</si>
  <si>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</si>
  <si>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</si>
  <si>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</si>
  <si>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</si>
  <si>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</si>
  <si>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</si>
  <si>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</si>
  <si>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</si>
  <si>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</si>
  <si>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</si>
  <si>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</si>
  <si>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</si>
  <si>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</si>
  <si>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</si>
  <si>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</si>
  <si>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</si>
  <si>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</si>
  <si>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</si>
  <si>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</si>
  <si>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</si>
  <si>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</si>
  <si>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</si>
  <si>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</si>
  <si>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</si>
  <si>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</si>
  <si>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</si>
  <si>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</si>
  <si>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</si>
  <si>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</si>
  <si>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</si>
  <si>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</si>
  <si>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</si>
  <si>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</si>
  <si>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</si>
  <si>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</si>
  <si>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</si>
  <si>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</si>
  <si>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</si>
  <si>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</si>
  <si>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</si>
  <si>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</si>
  <si>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</si>
  <si>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</si>
  <si>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</si>
  <si>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</si>
  <si>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</si>
  <si>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</si>
  <si>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</si>
  <si>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</si>
  <si>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</si>
  <si>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</si>
  <si>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</si>
  <si>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</si>
  <si>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</si>
  <si>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</si>
  <si>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</si>
  <si>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</si>
  <si>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</si>
  <si>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</si>
  <si>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</si>
  <si>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</si>
  <si>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</si>
  <si>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</si>
  <si>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</si>
  <si>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</si>
  <si>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</si>
  <si>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</si>
  <si>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</si>
  <si>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</si>
  <si>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</si>
  <si>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</si>
  <si>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</si>
  <si>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</si>
  <si>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</si>
  <si>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</si>
  <si>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</si>
  <si>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</si>
  <si>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</si>
  <si>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</si>
  <si>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</si>
  <si>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</si>
  <si>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</si>
  <si>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</si>
  <si>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</si>
  <si>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</si>
  <si>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</si>
  <si>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</si>
  <si>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</si>
  <si>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</si>
  <si>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</si>
  <si>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</si>
  <si>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</si>
  <si>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</si>
  <si>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</si>
  <si>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</si>
  <si>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</si>
  <si>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</si>
  <si>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</si>
  <si>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</si>
  <si>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</si>
  <si>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</si>
  <si>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</si>
  <si>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</si>
  <si>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</si>
  <si>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</si>
  <si>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</si>
  <si>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</si>
  <si>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</si>
  <si>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</si>
  <si>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</si>
  <si>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</si>
  <si>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</si>
  <si>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</si>
  <si>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</si>
  <si>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</si>
  <si>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</si>
  <si>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</si>
  <si>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</si>
  <si>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</si>
  <si>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</si>
  <si>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</si>
  <si>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</si>
  <si>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</si>
  <si>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</si>
  <si>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</si>
  <si>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</si>
  <si>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</si>
  <si>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</si>
  <si>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</si>
  <si>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</si>
  <si>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</si>
  <si>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</si>
  <si>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</si>
  <si>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</si>
  <si>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</si>
  <si>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</si>
  <si>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</si>
  <si>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</si>
  <si>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</si>
  <si>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</si>
  <si>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</si>
  <si>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</si>
  <si>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</si>
  <si>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</si>
  <si>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</si>
  <si>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</si>
  <si>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</si>
  <si>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</si>
  <si>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</si>
  <si>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</si>
  <si>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</si>
  <si>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</si>
  <si>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</si>
  <si>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</si>
  <si>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</si>
  <si>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</si>
  <si>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</si>
  <si>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</si>
  <si>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</si>
  <si>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</si>
  <si>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</si>
  <si>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</si>
  <si>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</si>
  <si>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</si>
  <si>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</si>
  <si>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</si>
  <si>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</si>
  <si>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</si>
  <si>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</si>
  <si>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</si>
  <si>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</si>
  <si>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</si>
  <si>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</si>
  <si>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</si>
  <si>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</si>
  <si>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</si>
  <si>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</si>
  <si>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</si>
  <si>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</si>
  <si>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</si>
  <si>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</si>
  <si>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</si>
  <si>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</si>
  <si>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</si>
  <si>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</si>
  <si>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</si>
  <si>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</si>
  <si>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</si>
  <si>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</si>
  <si>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</si>
  <si>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</si>
  <si>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</si>
  <si>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</si>
  <si>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</si>
  <si>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</si>
  <si>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</si>
  <si>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</si>
  <si>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</si>
  <si>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</si>
  <si>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</si>
  <si>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</si>
  <si>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</si>
  <si>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</si>
  <si>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</si>
  <si>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</si>
  <si>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</si>
  <si>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</si>
  <si>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</si>
  <si>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</si>
  <si>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</si>
  <si>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</si>
  <si>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</si>
  <si>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</si>
  <si>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</si>
  <si>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</si>
  <si>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</si>
  <si>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</si>
  <si>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</si>
  <si>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</si>
  <si>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</si>
  <si>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</si>
  <si>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</si>
  <si>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</si>
  <si>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</si>
  <si>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</si>
  <si>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</si>
  <si>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</si>
  <si>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</si>
  <si>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</si>
  <si>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</si>
  <si>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</si>
  <si>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</si>
  <si>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</si>
  <si>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</si>
  <si>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</si>
  <si>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</si>
  <si>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</si>
  <si>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</si>
  <si>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</si>
  <si>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</si>
  <si>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</si>
  <si>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</si>
  <si>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</si>
  <si>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</si>
  <si>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</si>
  <si>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</si>
  <si>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</si>
  <si>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</si>
  <si>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</si>
  <si>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</si>
  <si>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</si>
  <si>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</si>
  <si>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</si>
  <si>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</si>
  <si>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</si>
  <si>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</si>
  <si>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</si>
  <si>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</si>
  <si>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</si>
  <si>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</si>
  <si>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</si>
  <si>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</si>
  <si>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</si>
  <si>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</si>
  <si>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</si>
  <si>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</si>
  <si>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</si>
  <si>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</si>
  <si>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</si>
  <si>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</si>
  <si>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</si>
  <si>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</si>
  <si>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</si>
  <si>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</si>
  <si>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</si>
  <si>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</si>
  <si>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</si>
  <si>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</si>
  <si>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</si>
  <si>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</si>
  <si>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</si>
  <si>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</si>
  <si>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</si>
  <si>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</si>
  <si>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</si>
  <si>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</si>
  <si>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</si>
  <si>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</si>
  <si>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</si>
  <si>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</si>
  <si>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</si>
  <si>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</si>
  <si>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</si>
  <si>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</si>
  <si>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</si>
  <si>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</si>
  <si>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</si>
  <si>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</si>
  <si>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</si>
  <si>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</si>
  <si>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</si>
  <si>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</si>
  <si>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</si>
  <si>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</si>
  <si>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</si>
  <si>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</si>
  <si>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</si>
  <si>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</si>
  <si>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</si>
  <si>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</si>
  <si>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</si>
  <si>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</si>
  <si>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</si>
  <si>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</si>
  <si>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</si>
  <si>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</si>
  <si>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</si>
  <si>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</si>
  <si>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</si>
  <si>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</si>
  <si>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</si>
  <si>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</si>
  <si>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</si>
  <si>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</si>
  <si>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</si>
  <si>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</si>
  <si>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</si>
  <si>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</si>
  <si>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</si>
  <si>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</si>
  <si>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</si>
  <si>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</si>
  <si>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</si>
  <si>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</si>
  <si>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</si>
  <si>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</si>
  <si>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</si>
  <si>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</si>
  <si>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</si>
  <si>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</si>
  <si>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</si>
  <si>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</si>
  <si>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</si>
  <si>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</si>
  <si>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</si>
  <si>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</si>
  <si>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</si>
  <si>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</si>
  <si>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</si>
  <si>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</si>
  <si>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</si>
  <si>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</si>
  <si>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</si>
  <si>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</si>
  <si>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</si>
  <si>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</si>
  <si>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</si>
  <si>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</si>
  <si>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</si>
  <si>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</si>
  <si>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</si>
  <si>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</si>
  <si>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</si>
  <si>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</si>
  <si>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</si>
  <si>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</si>
  <si>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</si>
  <si>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</si>
  <si>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</si>
  <si>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</si>
  <si>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</si>
  <si>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</si>
  <si>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</si>
  <si>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</si>
  <si>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</si>
  <si>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</si>
  <si>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</si>
  <si>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</si>
  <si>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</si>
  <si>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</si>
  <si>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</si>
  <si>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</si>
  <si>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</si>
  <si>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</si>
  <si>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</si>
  <si>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</si>
  <si>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</si>
  <si>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</si>
  <si>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</si>
  <si>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</si>
  <si>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</si>
  <si>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</si>
  <si>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</si>
  <si>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</si>
  <si>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</si>
  <si>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</si>
  <si>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</si>
  <si>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</si>
  <si>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</si>
  <si>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</si>
  <si>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</si>
  <si>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</si>
  <si>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</si>
  <si>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</si>
  <si>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</si>
  <si>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</si>
  <si>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</si>
  <si>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</si>
  <si>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</si>
  <si>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</si>
  <si>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</si>
  <si>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</si>
  <si>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</si>
  <si>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</si>
  <si>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</si>
  <si>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</si>
  <si>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</si>
  <si>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</si>
  <si>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</si>
  <si>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</si>
  <si>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</si>
  <si>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</si>
  <si>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</si>
  <si>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</si>
  <si>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</si>
  <si>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</si>
  <si>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</si>
  <si>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</si>
  <si>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</si>
  <si>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</si>
  <si>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</si>
  <si>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</si>
  <si>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</si>
  <si>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</si>
  <si>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</si>
  <si>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</si>
  <si>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</si>
  <si>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</si>
  <si>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</si>
  <si>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</si>
  <si>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</si>
  <si>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</si>
  <si>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</si>
  <si>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</si>
  <si>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</si>
  <si>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</si>
  <si>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</si>
  <si>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</si>
  <si>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</si>
  <si>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</si>
  <si>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</si>
  <si>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</si>
  <si>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</si>
  <si>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</si>
  <si>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</si>
  <si>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</si>
  <si>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</si>
  <si>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</si>
  <si>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</si>
  <si>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</si>
  <si>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</si>
  <si>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</si>
  <si>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</si>
  <si>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</si>
  <si>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</si>
  <si>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</si>
  <si>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</si>
  <si>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</si>
  <si>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</si>
  <si>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</si>
  <si>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</si>
  <si>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</si>
  <si>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</si>
  <si>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</si>
  <si>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</si>
  <si>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</si>
  <si>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</si>
  <si>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</si>
  <si>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</si>
  <si>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</si>
  <si>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</si>
  <si>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</si>
  <si>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</si>
  <si>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</si>
  <si>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</si>
  <si>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</si>
  <si>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</si>
  <si>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</si>
  <si>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</si>
  <si>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</si>
  <si>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</si>
  <si>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</si>
  <si>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</si>
  <si>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</si>
  <si>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</si>
  <si>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</si>
  <si>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</si>
  <si>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</si>
  <si>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</si>
  <si>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</si>
  <si>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</si>
  <si>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</si>
  <si>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</si>
  <si>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</si>
  <si>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</si>
  <si>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</si>
  <si>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</si>
  <si>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</si>
  <si>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</si>
  <si>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</si>
  <si>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</si>
  <si>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</si>
  <si>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</si>
  <si>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</si>
  <si>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</si>
  <si>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</si>
  <si>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</si>
  <si>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</si>
  <si>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</si>
  <si>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</si>
  <si>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</si>
  <si>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</si>
  <si>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</si>
  <si>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</si>
  <si>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</si>
  <si>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</si>
  <si>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</si>
  <si>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</si>
  <si>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</si>
  <si>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</si>
  <si>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</si>
  <si>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</si>
  <si>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</si>
  <si>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</si>
  <si>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</si>
  <si>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</si>
  <si>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</si>
  <si>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</si>
  <si>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</si>
  <si>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</si>
  <si>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</si>
  <si>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</si>
  <si>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</si>
  <si>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</si>
  <si>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</si>
  <si>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</si>
  <si>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</si>
  <si>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</si>
  <si>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</si>
  <si>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</si>
  <si>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</si>
  <si>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</si>
  <si>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</si>
  <si>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</si>
  <si>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</si>
  <si>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</si>
  <si>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</si>
  <si>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</si>
  <si>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</si>
  <si>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</si>
  <si>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</si>
  <si>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</si>
  <si>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</si>
  <si>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</si>
  <si>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</si>
  <si>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</si>
  <si>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</si>
  <si>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</si>
  <si>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</si>
  <si>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</si>
  <si>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</si>
  <si>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</si>
  <si>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</si>
  <si>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</si>
  <si>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</si>
  <si>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</si>
  <si>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</si>
  <si>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</si>
  <si>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</si>
  <si>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</si>
  <si>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</si>
  <si>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</si>
  <si>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</si>
  <si>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</si>
  <si>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</si>
  <si>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</si>
  <si>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</si>
  <si>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</si>
  <si>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</si>
  <si>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</si>
  <si>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</si>
  <si>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</si>
  <si>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</si>
  <si>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</si>
  <si>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</si>
  <si>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</si>
  <si>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</si>
  <si>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</si>
  <si>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</si>
  <si>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</si>
  <si>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</si>
  <si>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</si>
  <si>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</si>
  <si>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</si>
  <si>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</si>
  <si>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</si>
  <si>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</si>
  <si>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</si>
  <si>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</si>
  <si>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</si>
  <si>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</si>
  <si>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</si>
  <si>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</si>
  <si>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</si>
  <si>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</si>
  <si>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</si>
  <si>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</si>
  <si>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</si>
  <si>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</si>
  <si>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</si>
  <si>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</si>
  <si>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</si>
  <si>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</si>
  <si>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</si>
  <si>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</si>
  <si>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</si>
  <si>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</si>
  <si>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</si>
  <si>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</si>
  <si>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</si>
  <si>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</si>
  <si>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</si>
  <si>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</si>
  <si>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</si>
  <si>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</si>
  <si>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</si>
  <si>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</si>
  <si>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</si>
  <si>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</si>
  <si>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</si>
  <si>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</si>
  <si>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</si>
  <si>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</si>
  <si>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</si>
  <si>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</si>
  <si>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</si>
  <si>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</si>
  <si>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</si>
  <si>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</si>
  <si>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</si>
  <si>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</si>
  <si>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</si>
  <si>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</si>
  <si>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</si>
  <si>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</si>
  <si>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</si>
  <si>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</si>
  <si>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</si>
  <si>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</si>
  <si>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</si>
  <si>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</si>
  <si>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</si>
  <si>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</si>
  <si>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</si>
  <si>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</si>
  <si>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</si>
  <si>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</si>
  <si>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</si>
  <si>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</si>
  <si>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</si>
  <si>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</si>
  <si>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</si>
  <si>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</si>
  <si>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</si>
  <si>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</si>
  <si>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</si>
  <si>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</si>
  <si>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</si>
  <si>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</si>
  <si>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</si>
  <si>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</si>
  <si>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</si>
  <si>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</si>
  <si>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</si>
  <si>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</si>
  <si>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</si>
  <si>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</si>
  <si>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</si>
  <si>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</si>
  <si>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</si>
  <si>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</si>
  <si>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</si>
  <si>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</si>
  <si>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</si>
  <si>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</si>
  <si>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</si>
  <si>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</si>
  <si>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</si>
  <si>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</si>
  <si>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</si>
  <si>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</si>
  <si>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</si>
  <si>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</si>
  <si>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</si>
  <si>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</si>
  <si>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</si>
  <si>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</si>
  <si>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</si>
  <si>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</si>
  <si>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</si>
  <si>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</si>
  <si>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</si>
  <si>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</si>
  <si>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</si>
  <si>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</si>
  <si>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</si>
  <si>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</si>
  <si>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</si>
  <si>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</si>
  <si>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</si>
  <si>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</si>
  <si>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</si>
  <si>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</si>
  <si>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</si>
  <si>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</si>
  <si>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</si>
  <si>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</si>
  <si>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</si>
  <si>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</si>
  <si>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</si>
  <si>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</si>
  <si>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</si>
  <si>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</si>
  <si>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</si>
  <si>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</si>
  <si>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</si>
  <si>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</si>
  <si>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</si>
  <si>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</si>
  <si>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</si>
  <si>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</si>
  <si>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</si>
  <si>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</si>
  <si>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</si>
  <si>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</si>
  <si>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</si>
  <si>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</si>
  <si>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</si>
  <si>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</si>
  <si>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</si>
  <si>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</si>
  <si>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</si>
  <si>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</si>
  <si>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</si>
  <si>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</si>
  <si>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</si>
  <si>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</si>
  <si>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</si>
  <si>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</si>
  <si>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</si>
  <si>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</si>
  <si>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</si>
  <si>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</si>
  <si>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</si>
  <si>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</si>
  <si>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</si>
  <si>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</si>
  <si>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</si>
  <si>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</si>
  <si>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</si>
  <si>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</si>
  <si>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</si>
  <si>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</si>
  <si>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</si>
  <si>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</si>
  <si>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</si>
  <si>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</si>
  <si>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</si>
  <si>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</si>
  <si>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</si>
  <si>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</si>
  <si>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</si>
  <si>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</si>
  <si>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</si>
  <si>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</si>
  <si>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</si>
  <si>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</si>
  <si>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</si>
  <si>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</si>
  <si>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</si>
  <si>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</si>
  <si>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</si>
  <si>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</si>
  <si>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</si>
  <si>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</si>
  <si>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</si>
  <si>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</si>
  <si>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</si>
  <si>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</si>
  <si>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</si>
  <si>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</si>
  <si>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</si>
  <si>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</si>
  <si>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</si>
  <si>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</si>
  <si>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</si>
  <si>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</si>
  <si>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</si>
  <si>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</si>
  <si>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</si>
  <si>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</si>
  <si>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</si>
  <si>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</si>
  <si>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</si>
  <si>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</si>
  <si>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</si>
  <si>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</si>
  <si>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</si>
  <si>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</si>
  <si>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</si>
  <si>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</si>
  <si>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</si>
  <si>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</si>
  <si>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</si>
  <si>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</si>
  <si>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</si>
  <si>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</si>
  <si>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</si>
  <si>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</si>
  <si>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</si>
  <si>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</si>
  <si>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</si>
  <si>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</si>
  <si>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</si>
  <si>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</si>
  <si>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</si>
  <si>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</si>
  <si>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</si>
  <si>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</si>
  <si>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</si>
  <si>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</si>
  <si>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</si>
  <si>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</si>
  <si>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</si>
  <si>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</si>
  <si>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</si>
  <si>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</si>
  <si>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</si>
  <si>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</si>
  <si>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</si>
  <si>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</si>
  <si>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</si>
  <si>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</si>
  <si>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</si>
  <si>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</si>
  <si>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</si>
  <si>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</si>
  <si>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</si>
  <si>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</si>
  <si>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</si>
  <si>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</si>
  <si>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</si>
  <si>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</si>
  <si>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</si>
  <si>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</si>
  <si>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</si>
  <si>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</si>
  <si>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</si>
  <si>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</si>
  <si>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</si>
  <si>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</si>
  <si>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</si>
  <si>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</si>
  <si>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</si>
  <si>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</si>
  <si>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</si>
  <si>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</si>
  <si>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</si>
  <si>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</si>
  <si>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</si>
  <si>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</si>
  <si>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</si>
  <si>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</si>
  <si>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</si>
  <si>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</si>
  <si>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</si>
  <si>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</si>
  <si>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</si>
  <si>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</si>
  <si>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</si>
  <si>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</si>
  <si>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</si>
  <si>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</si>
  <si>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</si>
  <si>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</si>
  <si>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</si>
  <si>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</si>
  <si>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</si>
  <si>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</si>
  <si>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</si>
  <si>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</si>
  <si>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</si>
  <si>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</si>
  <si>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</si>
  <si>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</si>
  <si>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</si>
  <si>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</si>
  <si>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</si>
  <si>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</si>
  <si>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</si>
  <si>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</si>
  <si>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</si>
  <si>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</si>
  <si>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</si>
  <si>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</si>
  <si>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</si>
  <si>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</si>
  <si>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</si>
  <si>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</si>
  <si>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</si>
  <si>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</si>
  <si>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</si>
  <si>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</si>
  <si>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</si>
  <si>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</si>
  <si>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</si>
  <si>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</si>
  <si>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</si>
  <si>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</si>
  <si>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</si>
  <si>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</si>
  <si>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</si>
  <si>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</si>
  <si>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</si>
  <si>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</si>
  <si>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</si>
  <si>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</si>
  <si>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</si>
  <si>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</si>
  <si>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</si>
  <si>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</si>
  <si>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</si>
  <si>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</si>
  <si>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</si>
  <si>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</si>
  <si>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</si>
  <si>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</si>
  <si>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</si>
  <si>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</si>
  <si>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</si>
  <si>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</si>
  <si>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</si>
  <si>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</si>
  <si>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</si>
  <si>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</si>
  <si>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</si>
  <si>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</si>
  <si>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</si>
  <si>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</si>
  <si>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</si>
  <si>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</si>
  <si>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</si>
  <si>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</si>
  <si>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</si>
  <si>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</si>
  <si>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</si>
  <si>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</si>
  <si>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</si>
  <si>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</si>
  <si>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</si>
  <si>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</si>
  <si>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</si>
  <si>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</si>
  <si>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</si>
  <si>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</si>
  <si>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</si>
  <si>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</si>
  <si>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</si>
  <si>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</si>
  <si>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</si>
  <si>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</si>
  <si>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</si>
  <si>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</si>
  <si>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</si>
  <si>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</si>
  <si>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</si>
  <si>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</si>
  <si>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</si>
  <si>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</si>
  <si>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</si>
  <si>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</si>
  <si>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</si>
  <si>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</si>
  <si>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</si>
  <si>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</si>
  <si>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</si>
  <si>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</si>
  <si>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</si>
  <si>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</si>
  <si>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</si>
  <si>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</si>
  <si>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</si>
  <si>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</si>
  <si>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</si>
  <si>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</si>
  <si>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</si>
  <si>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</si>
  <si>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</si>
  <si>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</si>
  <si>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</si>
  <si>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</si>
  <si>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</si>
  <si>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</si>
  <si>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</si>
  <si>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</si>
  <si>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</si>
  <si>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</si>
  <si>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</si>
  <si>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</si>
  <si>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</si>
  <si>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</si>
  <si>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</si>
  <si>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</si>
  <si>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</si>
  <si>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</si>
  <si>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</si>
  <si>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</si>
  <si>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</si>
  <si>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</si>
  <si>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</si>
  <si>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</si>
  <si>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</si>
  <si>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</si>
  <si>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</si>
  <si>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</si>
  <si>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</si>
  <si>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</si>
  <si>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</si>
  <si>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</si>
  <si>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</si>
  <si>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</si>
  <si>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</si>
  <si>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</si>
  <si>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</si>
  <si>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</si>
  <si>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</si>
  <si>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</si>
  <si>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</si>
  <si>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</si>
  <si>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</si>
  <si>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</si>
  <si>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</si>
  <si>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</si>
  <si>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</si>
  <si>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</si>
  <si>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</si>
  <si>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</si>
  <si>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</si>
  <si>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</si>
  <si>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</si>
  <si>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</si>
  <si>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</si>
  <si>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</si>
  <si>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</si>
  <si>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</si>
  <si>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</si>
  <si>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</si>
  <si>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</si>
  <si>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</si>
  <si>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</si>
  <si>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</si>
  <si>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</si>
  <si>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</si>
  <si>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</si>
  <si>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</si>
  <si>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</si>
  <si>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</si>
  <si>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</si>
  <si>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</si>
  <si>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</si>
  <si>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</si>
  <si>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</si>
  <si>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</si>
  <si>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</si>
  <si>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</si>
  <si>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</si>
  <si>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</si>
  <si>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</si>
  <si>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</si>
  <si>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</si>
  <si>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</si>
  <si>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</si>
  <si>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</si>
  <si>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</si>
  <si>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</si>
  <si>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</si>
  <si>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</si>
  <si>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</si>
  <si>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</si>
  <si>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</si>
  <si>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</si>
  <si>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</si>
  <si>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</si>
  <si>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</si>
  <si>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</si>
  <si>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</si>
  <si>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</si>
  <si>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</si>
  <si>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</si>
  <si>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</si>
  <si>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</si>
  <si>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</si>
  <si>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</si>
  <si>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</si>
  <si>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</si>
  <si>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</si>
  <si>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</si>
  <si>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</si>
  <si>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</si>
  <si>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</si>
  <si>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</si>
  <si>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</si>
  <si>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</si>
  <si>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</si>
  <si>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</si>
  <si>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</si>
  <si>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</si>
  <si>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</si>
  <si>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</si>
  <si>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</si>
  <si>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</si>
  <si>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</si>
  <si>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</si>
  <si>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</si>
  <si>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</si>
  <si>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</si>
  <si>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</si>
  <si>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</si>
  <si>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</si>
  <si>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</si>
  <si>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</si>
  <si>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</si>
  <si>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</si>
  <si>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</si>
  <si>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</si>
  <si>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</si>
  <si>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</si>
  <si>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</si>
  <si>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</si>
  <si>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</si>
  <si>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</si>
  <si>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</si>
  <si>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</si>
  <si>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</si>
  <si>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</si>
  <si>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</si>
  <si>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</si>
  <si>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</si>
  <si>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</si>
  <si>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</si>
  <si>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</si>
  <si>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</si>
  <si>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</si>
  <si>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</si>
  <si>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</si>
  <si>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</si>
  <si>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</si>
  <si>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</si>
  <si>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</si>
  <si>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</si>
  <si>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</si>
  <si>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</si>
  <si>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</si>
  <si>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</si>
  <si>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</si>
  <si>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</si>
  <si>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</si>
  <si>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</si>
  <si>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</si>
  <si>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</si>
  <si>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</si>
  <si>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</si>
  <si>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</si>
  <si>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</si>
  <si>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</si>
  <si>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</si>
  <si>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</si>
  <si>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</si>
  <si>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</si>
  <si>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</si>
  <si>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</si>
  <si>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</si>
  <si>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</si>
  <si>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</si>
  <si>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</si>
  <si>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</si>
  <si>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</si>
  <si>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</si>
  <si>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</si>
  <si>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</si>
  <si>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</si>
  <si>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</si>
  <si>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</si>
  <si>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</si>
  <si>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</si>
  <si>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</si>
  <si>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</si>
  <si>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</si>
  <si>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</si>
  <si>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</si>
  <si>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</si>
  <si>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</si>
  <si>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</si>
  <si>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</si>
  <si>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</si>
  <si>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</si>
  <si>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</si>
  <si>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</si>
  <si>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</si>
  <si>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</si>
  <si>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</si>
  <si>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</si>
  <si>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</si>
  <si>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</si>
  <si>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</si>
  <si>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</si>
  <si>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</si>
  <si>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</si>
  <si>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</si>
  <si>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</si>
  <si>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</si>
  <si>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</si>
  <si>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</si>
  <si>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</si>
  <si>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</si>
  <si>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</si>
  <si>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</si>
  <si>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</si>
  <si>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</si>
  <si>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</si>
  <si>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</si>
  <si>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</si>
  <si>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</si>
  <si>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</si>
  <si>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</si>
  <si>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</si>
  <si>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</si>
  <si>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</si>
  <si>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</si>
  <si>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</si>
  <si>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</si>
  <si>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</si>
  <si>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</si>
  <si>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</si>
  <si>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</si>
  <si>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</si>
  <si>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</si>
  <si>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</si>
  <si>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</si>
  <si>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</si>
  <si>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</si>
  <si>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</si>
  <si>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</si>
  <si>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</si>
  <si>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</si>
  <si>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</si>
  <si>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</si>
  <si>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</si>
  <si>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</si>
  <si>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</si>
  <si>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</si>
  <si>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</si>
  <si>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</si>
  <si>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</si>
  <si>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</si>
  <si>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</si>
  <si>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</si>
  <si>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</si>
  <si>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</si>
  <si>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</si>
  <si>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</si>
  <si>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</si>
  <si>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</si>
  <si>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</si>
  <si>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</si>
  <si>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</si>
  <si>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</si>
  <si>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</si>
  <si>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</si>
  <si>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</si>
  <si>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</si>
  <si>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</si>
  <si>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</si>
  <si>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</si>
  <si>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</si>
  <si>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</si>
  <si>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</si>
  <si>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</si>
  <si>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</si>
  <si>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</si>
  <si>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</si>
  <si>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</si>
  <si>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</si>
  <si>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</si>
  <si>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</si>
  <si>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</si>
  <si>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</si>
  <si>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</si>
  <si>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</si>
  <si>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</si>
  <si>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</si>
  <si>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</si>
  <si>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</si>
  <si>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</si>
  <si>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</si>
  <si>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</si>
  <si>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</si>
  <si>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</si>
  <si>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</si>
  <si>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</si>
  <si>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</si>
  <si>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</si>
  <si>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</si>
  <si>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</si>
  <si>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</si>
  <si>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</si>
  <si>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</si>
  <si>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</si>
  <si>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</si>
  <si>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</si>
  <si>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</si>
  <si>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</si>
  <si>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</si>
  <si>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</si>
  <si>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</si>
  <si>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</si>
  <si>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</si>
  <si>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</si>
  <si>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</si>
  <si>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</si>
  <si>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</si>
  <si>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</si>
  <si>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</si>
  <si>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</si>
  <si>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</si>
  <si>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</si>
  <si>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</si>
  <si>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</si>
  <si>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</si>
  <si>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</si>
  <si>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</si>
  <si>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</si>
  <si>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</si>
  <si>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</si>
  <si>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</si>
  <si>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</si>
  <si>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</si>
  <si>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</si>
  <si>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</si>
  <si>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</si>
  <si>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</si>
  <si>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</si>
  <si>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</si>
  <si>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</si>
  <si>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</si>
  <si>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</si>
  <si>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</si>
  <si>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</si>
  <si>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</si>
  <si>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</si>
  <si>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</si>
  <si>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</si>
  <si>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</si>
  <si>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</si>
  <si>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</si>
  <si>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</si>
  <si>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</si>
  <si>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</si>
  <si>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</si>
  <si>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</si>
  <si>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</si>
  <si>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</si>
  <si>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</si>
  <si>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</si>
  <si>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</si>
  <si>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</si>
  <si>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</si>
  <si>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</si>
  <si>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</si>
  <si>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</si>
  <si>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</si>
  <si>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</si>
  <si>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</si>
  <si>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</si>
  <si>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</si>
  <si>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</si>
  <si>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</si>
  <si>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</si>
  <si>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</si>
  <si>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</si>
  <si>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</si>
  <si>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</si>
  <si>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</si>
  <si>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</si>
  <si>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</si>
  <si>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</si>
  <si>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</si>
  <si>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</si>
  <si>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</si>
  <si>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</si>
  <si>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</si>
  <si>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</si>
  <si>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</si>
  <si>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</si>
  <si>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</si>
  <si>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</si>
  <si>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</si>
  <si>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</si>
  <si>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</si>
  <si>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</si>
  <si>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</si>
  <si>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</si>
  <si>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</si>
  <si>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</si>
  <si>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</si>
  <si>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</si>
  <si>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</si>
  <si>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</si>
  <si>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</si>
  <si>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</si>
  <si>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</si>
  <si>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</si>
  <si>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</si>
  <si>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</si>
  <si>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</si>
  <si>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</si>
  <si>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</si>
  <si>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</si>
  <si>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</si>
  <si>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</si>
  <si>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</si>
  <si>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</si>
  <si>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</si>
  <si>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</si>
  <si>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</si>
  <si>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</si>
  <si>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</si>
  <si>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</si>
  <si>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</si>
  <si>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</si>
  <si>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</si>
  <si>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</si>
  <si>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</si>
  <si>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</si>
  <si>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</si>
  <si>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</si>
  <si>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</si>
  <si>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</si>
  <si>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</si>
  <si>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</si>
  <si>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</si>
  <si>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</si>
  <si>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</si>
  <si>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</si>
  <si>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</si>
  <si>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</si>
  <si>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</si>
  <si>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</si>
  <si>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</si>
  <si>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</si>
  <si>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</si>
  <si>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</si>
  <si>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</si>
  <si>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</si>
  <si>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</si>
  <si>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</si>
  <si>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</si>
  <si>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</si>
  <si>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</si>
  <si>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</si>
  <si>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</si>
  <si>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</si>
  <si>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</si>
  <si>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</si>
  <si>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</si>
  <si>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</si>
  <si>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</si>
  <si>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</si>
  <si>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</si>
  <si>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</si>
  <si>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</si>
  <si>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</si>
  <si>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</si>
  <si>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</si>
  <si>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</si>
  <si>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</si>
  <si>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</si>
  <si>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</si>
  <si>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</si>
  <si>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</si>
  <si>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</si>
  <si>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</si>
  <si>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</si>
  <si>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</si>
  <si>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</si>
  <si>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</si>
  <si>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</si>
  <si>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</si>
  <si>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</si>
  <si>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</si>
  <si>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</si>
  <si>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</si>
  <si>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</si>
  <si>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</si>
  <si>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</si>
  <si>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</si>
  <si>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</si>
  <si>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</si>
  <si>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</si>
  <si>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</si>
  <si>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</si>
  <si>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</si>
  <si>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</si>
  <si>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</si>
  <si>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</si>
  <si>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</si>
  <si>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</si>
  <si>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</si>
  <si>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</si>
  <si>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</si>
  <si>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</si>
  <si>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</si>
  <si>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</si>
  <si>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</si>
  <si>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</si>
  <si>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</si>
  <si>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</si>
  <si>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</si>
  <si>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</si>
  <si>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</si>
  <si>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</si>
  <si>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</si>
  <si>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</si>
  <si>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</si>
  <si>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</si>
  <si>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</si>
  <si>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</si>
  <si>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</si>
  <si>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</si>
  <si>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</si>
  <si>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</si>
  <si>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</si>
  <si>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</si>
  <si>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</si>
  <si>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</si>
  <si>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</si>
  <si>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</si>
  <si>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</si>
  <si>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</si>
  <si>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</si>
  <si>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</si>
  <si>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</si>
  <si>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</si>
  <si>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</si>
  <si>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</si>
  <si>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</si>
  <si>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</si>
  <si>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</si>
  <si>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</si>
  <si>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</si>
  <si>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</si>
  <si>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</si>
  <si>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</si>
  <si>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</si>
  <si>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</si>
  <si>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</si>
  <si>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</si>
  <si>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</si>
  <si>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</si>
  <si>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</si>
  <si>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</si>
  <si>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</si>
  <si>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</si>
  <si>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</si>
  <si>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</si>
  <si>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</si>
  <si>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</si>
  <si>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</si>
  <si>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</si>
  <si>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</si>
  <si>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</si>
  <si>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</si>
  <si>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</si>
  <si>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</si>
  <si>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</si>
  <si>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</si>
  <si>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</si>
  <si>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</si>
  <si>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</si>
  <si>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</si>
  <si>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</si>
  <si>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</si>
  <si>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</si>
  <si>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</si>
  <si>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</si>
  <si>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</si>
  <si>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</si>
  <si>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</si>
  <si>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</si>
  <si>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</si>
  <si>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</si>
  <si>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</si>
  <si>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</si>
  <si>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</si>
  <si>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</si>
  <si>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</si>
  <si>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</si>
  <si>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</si>
  <si>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</si>
  <si>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</si>
  <si>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</si>
  <si>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</si>
  <si>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</si>
  <si>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</si>
  <si>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</si>
  <si>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</si>
  <si>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</si>
  <si>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</si>
  <si>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</si>
  <si>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</si>
  <si>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</si>
  <si>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</si>
  <si>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</si>
  <si>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</si>
  <si>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</si>
  <si>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</si>
  <si>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</si>
  <si>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</si>
  <si>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</si>
  <si>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</si>
  <si>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</si>
  <si>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</si>
  <si>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</si>
  <si>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</si>
  <si>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</si>
  <si>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</si>
  <si>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</si>
  <si>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</si>
  <si>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</si>
  <si>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</si>
  <si>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</si>
  <si>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</si>
  <si>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</si>
  <si>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</si>
  <si>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</si>
  <si>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</si>
  <si>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</si>
  <si>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</si>
  <si>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</si>
  <si>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</si>
  <si>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</si>
  <si>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</si>
  <si>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</si>
  <si>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</si>
  <si>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</si>
  <si>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</si>
  <si>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</si>
  <si>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</si>
  <si>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</si>
  <si>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</si>
  <si>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</si>
  <si>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</si>
  <si>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</si>
  <si>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</si>
  <si>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</si>
  <si>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</si>
  <si>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</si>
  <si>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</si>
  <si>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</si>
  <si>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</si>
  <si>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</si>
  <si>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</si>
  <si>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</si>
  <si>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</si>
  <si>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</si>
  <si>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</si>
  <si>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</si>
  <si>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</si>
  <si>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</si>
  <si>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</si>
  <si>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</si>
  <si>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</si>
  <si>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</si>
  <si>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</si>
  <si>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</si>
  <si>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</si>
  <si>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</si>
  <si>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</si>
  <si>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</si>
  <si>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</si>
  <si>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</si>
  <si>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</si>
  <si>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</si>
  <si>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</si>
  <si>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</si>
  <si>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</si>
  <si>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</si>
  <si>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</si>
  <si>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</si>
  <si>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</si>
  <si>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</si>
  <si>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</si>
  <si>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</si>
  <si>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</si>
  <si>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</si>
  <si>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</si>
  <si>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</si>
  <si>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</si>
  <si>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</si>
  <si>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</si>
  <si>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</si>
  <si>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</si>
  <si>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</si>
  <si>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</si>
  <si>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</si>
  <si>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</si>
  <si>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</si>
  <si>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</si>
  <si>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</si>
  <si>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</si>
  <si>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</si>
  <si>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</si>
  <si>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</si>
  <si>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</si>
  <si>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</si>
  <si>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</si>
  <si>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</si>
  <si>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</si>
  <si>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</si>
  <si>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</si>
  <si>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</si>
  <si>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</si>
  <si>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</si>
  <si>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</si>
  <si>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</si>
  <si>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</si>
  <si>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</si>
  <si>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</si>
  <si>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</si>
  <si>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</si>
  <si>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</si>
  <si>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</si>
  <si>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</si>
  <si>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</si>
  <si>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</si>
  <si>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</si>
  <si>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</si>
  <si>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</si>
  <si>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</si>
  <si>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</si>
  <si>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</si>
  <si>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</si>
  <si>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</si>
  <si>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</si>
  <si>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</si>
  <si>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</si>
  <si>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</si>
  <si>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</si>
  <si>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</si>
  <si>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</si>
  <si>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</si>
  <si>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</si>
  <si>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</si>
  <si>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</si>
  <si>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</si>
  <si>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</si>
  <si>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</si>
  <si>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</si>
  <si>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</si>
  <si>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</si>
  <si>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</si>
  <si>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</si>
  <si>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</si>
  <si>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</si>
  <si>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</si>
  <si>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</si>
  <si>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</si>
  <si>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</si>
  <si>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</si>
  <si>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</si>
  <si>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</si>
  <si>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</si>
  <si>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</si>
  <si>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</si>
  <si>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</si>
  <si>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</si>
  <si>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</si>
  <si>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</si>
  <si>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</si>
  <si>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</si>
  <si>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</si>
  <si>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</si>
  <si>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</si>
  <si>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</si>
  <si>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</si>
  <si>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</si>
  <si>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</si>
  <si>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</si>
  <si>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</si>
  <si>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</si>
  <si>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</si>
  <si>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</si>
  <si>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</si>
  <si>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</si>
  <si>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</si>
  <si>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</si>
  <si>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</si>
  <si>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</si>
  <si>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</si>
  <si>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</si>
  <si>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</si>
  <si>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</si>
  <si>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</si>
  <si>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</si>
  <si>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</si>
  <si>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</si>
  <si>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</si>
  <si>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</si>
  <si>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</si>
  <si>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</si>
  <si>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</si>
  <si>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</si>
  <si>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</si>
  <si>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</si>
  <si>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</si>
  <si>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</si>
  <si>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</si>
  <si>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</si>
  <si>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</si>
  <si>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</si>
  <si>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</si>
  <si>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</si>
  <si>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</si>
  <si>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</si>
  <si>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</si>
  <si>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</si>
  <si>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</si>
  <si>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</si>
  <si>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</si>
  <si>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</si>
  <si>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</si>
  <si>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</si>
  <si>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</si>
  <si>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</si>
  <si>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</si>
  <si>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</si>
  <si>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</si>
  <si>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</si>
  <si>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</si>
  <si>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</si>
  <si>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</si>
  <si>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</si>
  <si>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</si>
  <si>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</si>
  <si>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</si>
  <si>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</si>
  <si>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</si>
  <si>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</si>
  <si>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</si>
  <si>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</si>
  <si>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</si>
  <si>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</si>
  <si>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</si>
  <si>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</si>
  <si>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</si>
  <si>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</si>
  <si>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</si>
  <si>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</si>
  <si>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</si>
  <si>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</si>
  <si>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</si>
  <si>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</si>
  <si>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</si>
  <si>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</si>
  <si>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</si>
  <si>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</si>
  <si>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</si>
  <si>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</si>
  <si>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</si>
  <si>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</si>
  <si>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</si>
  <si>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</si>
  <si>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</si>
  <si>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</si>
  <si>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</si>
  <si>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</si>
  <si>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</si>
  <si>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</si>
  <si>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</si>
  <si>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</si>
  <si>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</si>
  <si>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</si>
  <si>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</si>
  <si>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</si>
  <si>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</si>
  <si>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</si>
  <si>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</si>
  <si>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</si>
  <si>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</si>
  <si>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</si>
  <si>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</si>
  <si>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</si>
  <si>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</si>
  <si>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</si>
  <si>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</si>
  <si>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</si>
  <si>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</si>
  <si>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</si>
  <si>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</si>
  <si>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</si>
  <si>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</si>
  <si>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</si>
  <si>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</si>
  <si>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</si>
  <si>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</si>
  <si>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</si>
  <si>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</si>
  <si>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</si>
  <si>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</si>
  <si>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</si>
  <si>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</si>
  <si>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</si>
  <si>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</si>
  <si>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</si>
  <si>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</si>
  <si>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</si>
  <si>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</si>
  <si>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</si>
  <si>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</si>
  <si>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</si>
  <si>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</si>
  <si>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</si>
  <si>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</si>
  <si>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</si>
  <si>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</si>
  <si>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</si>
  <si>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</si>
  <si>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</si>
  <si>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</si>
  <si>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</si>
  <si>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</si>
  <si>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</si>
  <si>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</si>
  <si>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</si>
  <si>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</si>
  <si>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</si>
  <si>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</si>
  <si>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</si>
  <si>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</si>
  <si>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</si>
  <si>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</si>
  <si>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</si>
  <si>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</si>
  <si>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</si>
  <si>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</si>
  <si>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</si>
  <si>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</si>
  <si>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</si>
  <si>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</si>
  <si>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</si>
  <si>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</si>
  <si>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</si>
  <si>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</si>
  <si>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</si>
  <si>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</si>
  <si>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</si>
  <si>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</si>
  <si>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</si>
  <si>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</si>
  <si>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</si>
  <si>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</si>
  <si>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</si>
  <si>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</si>
  <si>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</si>
  <si>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</si>
  <si>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</si>
  <si>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</si>
  <si>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</si>
  <si>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</si>
  <si>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</si>
  <si>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</si>
  <si>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</si>
  <si>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</si>
  <si>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</si>
  <si>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</si>
  <si>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</si>
  <si>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</si>
  <si>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</si>
  <si>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</si>
  <si>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</si>
  <si>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</si>
  <si>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</si>
  <si>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</si>
  <si>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</si>
  <si>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</si>
  <si>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</si>
  <si>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</si>
  <si>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</si>
  <si>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</si>
  <si>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</si>
  <si>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</si>
  <si>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</si>
  <si>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</si>
  <si>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</si>
  <si>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</si>
  <si>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</si>
  <si>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</si>
  <si>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</si>
  <si>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</si>
  <si>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</si>
  <si>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</si>
  <si>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</si>
  <si>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</si>
  <si>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</si>
  <si>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</si>
  <si>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</si>
  <si>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</si>
  <si>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</si>
  <si>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</si>
  <si>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</si>
  <si>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</si>
  <si>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</si>
  <si>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</si>
  <si>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</si>
  <si>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</si>
  <si>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</si>
  <si>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</si>
  <si>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</si>
  <si>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</si>
  <si>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</si>
  <si>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</si>
  <si>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</si>
  <si>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</si>
  <si>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</si>
  <si>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</si>
  <si>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</si>
  <si>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</si>
  <si>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</si>
  <si>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</si>
  <si>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</si>
  <si>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</si>
  <si>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</si>
  <si>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</si>
  <si>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</si>
  <si>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</si>
  <si>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</si>
  <si>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</si>
  <si>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</si>
  <si>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</si>
  <si>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</si>
  <si>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</si>
  <si>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</si>
  <si>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</si>
  <si>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</si>
  <si>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</si>
  <si>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</si>
  <si>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</si>
  <si>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</si>
  <si>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</si>
  <si>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</si>
  <si>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</si>
  <si>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</si>
  <si>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</si>
  <si>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</si>
  <si>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</si>
  <si>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</si>
  <si>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</si>
  <si>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</si>
  <si>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</si>
  <si>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</si>
  <si>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</si>
  <si>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</si>
  <si>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</si>
  <si>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</si>
  <si>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</si>
  <si>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</si>
  <si>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</si>
  <si>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</si>
  <si>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</si>
  <si>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</si>
  <si>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</si>
  <si>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</si>
  <si>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</si>
  <si>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</si>
  <si>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</si>
  <si>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</si>
  <si>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</si>
  <si>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</si>
  <si>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</si>
  <si>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</si>
  <si>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</si>
  <si>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</si>
  <si>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</si>
  <si>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</si>
  <si>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</si>
  <si>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</si>
  <si>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</si>
  <si>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</si>
  <si>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</si>
  <si>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</si>
  <si>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</si>
  <si>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</si>
  <si>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</si>
  <si>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</si>
  <si>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</si>
  <si>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</si>
  <si>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</si>
  <si>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</si>
  <si>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</si>
  <si>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</si>
  <si>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</si>
  <si>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</si>
  <si>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</si>
  <si>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</si>
  <si>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</si>
  <si>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</si>
  <si>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</si>
  <si>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</si>
  <si>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</si>
  <si>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</si>
  <si>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</si>
  <si>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</si>
  <si>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</si>
  <si>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</si>
  <si>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</si>
  <si>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</si>
  <si>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</si>
  <si>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</si>
  <si>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</si>
  <si>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</si>
  <si>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</si>
  <si>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</si>
  <si>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</si>
  <si>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</si>
  <si>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</si>
  <si>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</si>
  <si>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</si>
  <si>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</si>
  <si>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</si>
  <si>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</si>
  <si>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</si>
  <si>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</si>
  <si>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</si>
  <si>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</si>
  <si>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</si>
  <si>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</si>
  <si>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</si>
  <si>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</si>
  <si>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</si>
  <si>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</si>
  <si>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</si>
  <si>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</si>
  <si>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</si>
  <si>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</si>
  <si>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</si>
  <si>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</si>
  <si>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</si>
  <si>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</si>
  <si>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</si>
  <si>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</si>
  <si>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</si>
  <si>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</si>
  <si>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</si>
  <si>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</si>
  <si>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</si>
  <si>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</si>
  <si>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</si>
  <si>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</si>
  <si>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</si>
  <si>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</si>
  <si>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</si>
  <si>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</si>
  <si>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</si>
  <si>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</si>
  <si>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</si>
  <si>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</si>
  <si>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</si>
  <si>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</si>
  <si>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</si>
  <si>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</si>
  <si>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</si>
  <si>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</si>
  <si>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</si>
  <si>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</si>
  <si>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</si>
  <si>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</si>
  <si>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</si>
  <si>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</si>
  <si>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</si>
  <si>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</si>
  <si>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</si>
  <si>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</si>
  <si>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</si>
  <si>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</si>
  <si>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</si>
  <si>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</si>
  <si>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</si>
  <si>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</si>
  <si>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</si>
  <si>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</si>
  <si>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</si>
  <si>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</si>
  <si>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</si>
  <si>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</si>
  <si>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</si>
  <si>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</si>
  <si>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</si>
  <si>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</si>
  <si>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</si>
  <si>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</si>
  <si>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</si>
  <si>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</si>
  <si>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</si>
  <si>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</si>
  <si>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</si>
  <si>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</si>
  <si>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</si>
  <si>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</si>
  <si>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</si>
  <si>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</si>
  <si>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</si>
  <si>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</si>
  <si>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</si>
  <si>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</si>
  <si>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</si>
  <si>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</si>
  <si>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</si>
  <si>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</si>
  <si>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</si>
  <si>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</si>
  <si>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</si>
  <si>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</si>
  <si>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</si>
  <si>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</si>
  <si>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</si>
  <si>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</si>
  <si>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</si>
  <si>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</si>
  <si>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</si>
  <si>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</si>
  <si>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</si>
  <si>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</si>
  <si>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</si>
  <si>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</si>
  <si>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</si>
  <si>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</si>
  <si>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</si>
  <si>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</si>
  <si>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</si>
  <si>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</si>
  <si>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</si>
  <si>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</si>
  <si>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</si>
  <si>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</si>
  <si>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</si>
  <si>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</si>
  <si>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</si>
  <si>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</si>
  <si>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</si>
  <si>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</si>
  <si>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</si>
  <si>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</si>
  <si>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</si>
  <si>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</si>
  <si>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</si>
  <si>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</si>
  <si>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</si>
  <si>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</si>
  <si>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</si>
  <si>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</si>
  <si>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</si>
  <si>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</si>
  <si>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</si>
  <si>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</si>
  <si>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</si>
  <si>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</si>
  <si>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</si>
  <si>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</si>
  <si>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</si>
  <si>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</si>
  <si>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</si>
  <si>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</si>
  <si>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</si>
  <si>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</si>
  <si>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</si>
  <si>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</si>
  <si>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</si>
  <si>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</si>
  <si>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</si>
  <si>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</si>
  <si>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</si>
  <si>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</si>
  <si>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</si>
  <si>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</si>
  <si>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</si>
  <si>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</si>
  <si>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</si>
  <si>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</si>
  <si>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</si>
  <si>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</si>
  <si>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</si>
  <si>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</si>
  <si>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</si>
  <si>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</si>
  <si>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</si>
  <si>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</si>
  <si>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</si>
  <si>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</si>
  <si>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</si>
  <si>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</si>
  <si>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</si>
  <si>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</si>
  <si>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</si>
  <si>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</si>
  <si>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</si>
  <si>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</si>
  <si>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</si>
  <si>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</si>
  <si>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</si>
  <si>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</si>
  <si>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</si>
  <si>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</si>
  <si>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</si>
  <si>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</si>
  <si>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</si>
  <si>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</si>
  <si>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</si>
  <si>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</si>
  <si>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</si>
  <si>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</si>
  <si>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</si>
  <si>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</si>
  <si>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</si>
  <si>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</si>
  <si>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</si>
  <si>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</si>
  <si>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</si>
  <si>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</si>
  <si>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</si>
  <si>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</si>
  <si>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</si>
  <si>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</si>
  <si>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</si>
  <si>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</si>
  <si>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</si>
  <si>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</si>
  <si>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</si>
  <si>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</si>
  <si>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</si>
  <si>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</si>
  <si>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</si>
  <si>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</si>
  <si>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</si>
  <si>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</si>
  <si>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</si>
  <si>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</si>
  <si>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</si>
  <si>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</si>
  <si>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</si>
  <si>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</si>
  <si>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</si>
  <si>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</si>
  <si>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</si>
  <si>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</si>
  <si>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</si>
  <si>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</si>
  <si>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</si>
  <si>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</si>
  <si>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</si>
  <si>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</si>
  <si>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</si>
  <si>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</si>
  <si>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</si>
  <si>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</si>
  <si>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</si>
  <si>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</si>
  <si>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</si>
  <si>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</si>
  <si>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</si>
  <si>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</si>
  <si>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</si>
  <si>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</si>
  <si>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</si>
  <si>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</si>
  <si>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</si>
  <si>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</si>
  <si>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</si>
  <si>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</si>
  <si>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</si>
  <si>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</si>
  <si>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</si>
  <si>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</si>
  <si>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</si>
  <si>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</si>
  <si>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</si>
  <si>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</si>
  <si>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</si>
  <si>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</si>
  <si>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</si>
  <si>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</si>
  <si>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</si>
  <si>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</si>
  <si>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</si>
  <si>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</si>
  <si>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</si>
  <si>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</si>
  <si>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</si>
  <si>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</si>
  <si>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</si>
  <si>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</si>
  <si>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</si>
  <si>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</si>
  <si>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</si>
  <si>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</si>
  <si>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</si>
  <si>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</si>
  <si>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</si>
  <si>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</si>
  <si>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</si>
  <si>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</si>
  <si>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</si>
  <si>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</si>
  <si>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</si>
  <si>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</si>
  <si>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</si>
  <si>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</si>
  <si>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</si>
  <si>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</si>
  <si>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</si>
  <si>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</si>
  <si>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</si>
  <si>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</si>
  <si>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</si>
  <si>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</si>
  <si>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</si>
  <si>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</si>
  <si>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</si>
  <si>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</si>
  <si>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</si>
  <si>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</si>
  <si>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</si>
  <si>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</si>
  <si>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</si>
  <si>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</si>
  <si>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</si>
  <si>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</si>
  <si>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</si>
  <si>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</si>
  <si>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</si>
  <si>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</si>
  <si>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</si>
  <si>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</si>
  <si>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</si>
  <si>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</si>
  <si>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</si>
  <si>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</si>
  <si>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</si>
  <si>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</si>
  <si>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</si>
  <si>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</si>
  <si>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</si>
  <si>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</si>
  <si>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</si>
  <si>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</si>
  <si>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</si>
  <si>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</si>
  <si>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</si>
  <si>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</si>
  <si>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</si>
  <si>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</si>
  <si>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</si>
  <si>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</si>
  <si>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</si>
  <si>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</si>
  <si>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</si>
  <si>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</si>
  <si>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</si>
  <si>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</si>
  <si>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</si>
  <si>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</si>
  <si>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</si>
  <si>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</si>
  <si>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</si>
  <si>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</si>
  <si>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</si>
  <si>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</si>
  <si>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</si>
  <si>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</si>
  <si>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</si>
  <si>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</si>
  <si>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</si>
  <si>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</si>
  <si>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</si>
  <si>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</si>
  <si>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</si>
  <si>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</si>
  <si>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</si>
  <si>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</si>
  <si>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</si>
  <si>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</si>
  <si>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</si>
  <si>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</si>
  <si>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</si>
  <si>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</si>
  <si>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</si>
  <si>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</si>
  <si>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</si>
  <si>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</si>
  <si>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</si>
  <si>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</si>
  <si>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</si>
  <si>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</si>
  <si>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</si>
  <si>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</si>
  <si>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</si>
  <si>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</si>
  <si>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</si>
  <si>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</si>
  <si>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</si>
  <si>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</si>
  <si>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</si>
  <si>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</si>
  <si>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</si>
  <si>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</si>
  <si>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</si>
  <si>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</si>
  <si>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</si>
  <si>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</si>
  <si>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</si>
  <si>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</si>
  <si>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</si>
  <si>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</si>
  <si>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</si>
  <si>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</si>
  <si>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</si>
  <si>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</si>
  <si>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</si>
  <si>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</si>
  <si>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</si>
  <si>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</si>
  <si>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</si>
  <si>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</si>
  <si>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</si>
  <si>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</si>
  <si>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</si>
  <si>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</si>
  <si>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</si>
  <si>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</si>
  <si>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</si>
  <si>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</si>
  <si>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</si>
  <si>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</si>
  <si>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</si>
  <si>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</si>
  <si>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</si>
  <si>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</si>
  <si>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</si>
  <si>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</si>
  <si>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</si>
  <si>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</si>
  <si>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</si>
  <si>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</si>
  <si>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</si>
  <si>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</si>
  <si>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</si>
  <si>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</si>
  <si>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</si>
  <si>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</si>
  <si>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</si>
  <si>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</si>
  <si>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</si>
  <si>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</si>
  <si>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</si>
  <si>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</si>
  <si>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</si>
  <si>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</si>
  <si>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</si>
  <si>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</si>
  <si>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</si>
  <si>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</si>
  <si>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</si>
  <si>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</si>
  <si>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</si>
  <si>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</si>
  <si>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</si>
  <si>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</si>
  <si>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</si>
  <si>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</si>
  <si>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</si>
  <si>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</si>
  <si>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</si>
  <si>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</si>
  <si>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</si>
  <si>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</si>
  <si>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</si>
  <si>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</si>
  <si>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</si>
  <si>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</si>
  <si>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</si>
  <si>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</si>
  <si>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</si>
  <si>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</si>
  <si>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</si>
  <si>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</si>
  <si>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</si>
  <si>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</si>
  <si>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</si>
  <si>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</si>
  <si>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</si>
  <si>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</si>
  <si>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</si>
  <si>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</si>
  <si>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</si>
  <si>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</si>
  <si>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</si>
  <si>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</si>
  <si>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</si>
  <si>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</si>
  <si>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</si>
  <si>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</si>
  <si>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</si>
  <si>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</si>
  <si>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</si>
  <si>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</si>
  <si>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</si>
  <si>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</si>
  <si>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</si>
  <si>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</si>
  <si>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</si>
  <si>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</si>
  <si>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</si>
  <si>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</si>
  <si>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</si>
  <si>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</si>
  <si>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</si>
  <si>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</si>
  <si>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</si>
  <si>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</si>
  <si>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</si>
  <si>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</si>
  <si>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</si>
  <si>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</si>
  <si>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</si>
  <si>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</si>
  <si>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</si>
  <si>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</si>
  <si>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</si>
  <si>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</si>
  <si>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</si>
  <si>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</si>
  <si>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</si>
  <si>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</si>
  <si>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</si>
  <si>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</si>
  <si>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</si>
  <si>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</si>
  <si>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</si>
  <si>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</si>
  <si>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</si>
  <si>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</si>
  <si>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</si>
  <si>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</si>
  <si>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</si>
  <si>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</si>
  <si>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</si>
  <si>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</si>
  <si>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</si>
  <si>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</si>
  <si>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</si>
  <si>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</si>
  <si>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</si>
  <si>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</si>
  <si>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</si>
  <si>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</si>
  <si>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</si>
  <si>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</si>
  <si>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</si>
  <si>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</si>
  <si>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</si>
  <si>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</si>
  <si>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</si>
  <si>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</si>
  <si>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</si>
  <si>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</si>
  <si>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</si>
  <si>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</si>
  <si>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</si>
  <si>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</si>
  <si>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</si>
  <si>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</si>
  <si>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</si>
  <si>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</si>
  <si>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</si>
  <si>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</si>
  <si>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</si>
  <si>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</si>
  <si>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</si>
  <si>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</si>
  <si>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</si>
  <si>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</si>
  <si>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</si>
  <si>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</si>
  <si>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</si>
  <si>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</si>
  <si>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</si>
  <si>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</si>
  <si>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</si>
  <si>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</si>
  <si>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</si>
  <si>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</si>
  <si>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</si>
  <si>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</si>
  <si>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</si>
  <si>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</si>
  <si>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</si>
  <si>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</si>
  <si>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</si>
  <si>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</si>
  <si>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</si>
  <si>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</si>
  <si>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</si>
  <si>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</si>
  <si>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</si>
  <si>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</si>
  <si>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</si>
  <si>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</si>
  <si>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</si>
  <si>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</si>
  <si>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</si>
  <si>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</si>
  <si>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</si>
  <si>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</si>
  <si>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</si>
  <si>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</si>
  <si>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</si>
  <si>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</si>
  <si>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</si>
  <si>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</si>
  <si>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</si>
  <si>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</si>
  <si>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</si>
  <si>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</si>
  <si>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</si>
  <si>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</si>
  <si>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</si>
  <si>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</si>
  <si>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</si>
  <si>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</si>
  <si>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</si>
  <si>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</si>
  <si>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</si>
  <si>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</si>
  <si>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</si>
  <si>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</si>
  <si>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</si>
  <si>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</si>
  <si>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</si>
  <si>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</si>
  <si>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</si>
  <si>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</si>
  <si>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</si>
  <si>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</si>
  <si>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</si>
  <si>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</si>
  <si>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</si>
  <si>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</si>
  <si>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</si>
  <si>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</si>
  <si>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</si>
  <si>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</si>
  <si>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</si>
  <si>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</si>
  <si>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</si>
  <si>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</si>
  <si>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</si>
  <si>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</si>
  <si>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</si>
  <si>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</si>
  <si>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</si>
  <si>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</si>
  <si>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</si>
  <si>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</si>
  <si>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</si>
  <si>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</si>
  <si>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</si>
  <si>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</si>
  <si>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</si>
  <si>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</si>
  <si>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</si>
  <si>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</si>
  <si>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</si>
  <si>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</si>
  <si>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</si>
  <si>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</si>
  <si>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</si>
  <si>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</si>
  <si>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</si>
  <si>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</si>
  <si>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</si>
  <si>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</si>
  <si>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</si>
  <si>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</si>
  <si>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</si>
  <si>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</si>
  <si>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</si>
  <si>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</si>
  <si>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</si>
  <si>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</si>
  <si>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</si>
  <si>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</si>
  <si>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</si>
  <si>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</si>
  <si>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</si>
  <si>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</si>
  <si>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</si>
  <si>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</si>
  <si>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</si>
  <si>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</si>
  <si>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</si>
  <si>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</si>
  <si>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</si>
  <si>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</si>
  <si>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</si>
  <si>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</si>
  <si>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</si>
  <si>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</si>
  <si>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</si>
  <si>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</si>
  <si>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</si>
  <si>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</si>
  <si>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</si>
  <si>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</si>
  <si>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</si>
  <si>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</si>
  <si>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</si>
  <si>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</si>
  <si>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</si>
  <si>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</si>
  <si>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</si>
  <si>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</si>
  <si>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</si>
  <si>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</si>
  <si>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</si>
  <si>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</si>
  <si>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</si>
  <si>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</si>
  <si>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</si>
  <si>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</si>
  <si>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</si>
  <si>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</si>
  <si>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</si>
  <si>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</si>
  <si>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</si>
  <si>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</si>
  <si>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</si>
  <si>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</si>
  <si>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</si>
  <si>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</si>
  <si>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</si>
  <si>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</si>
  <si>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</si>
  <si>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</si>
  <si>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</si>
  <si>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</si>
  <si>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</si>
  <si>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</si>
  <si>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</si>
  <si>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</si>
  <si>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</si>
  <si>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</si>
  <si>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</si>
  <si>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</si>
  <si>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</si>
  <si>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</si>
  <si>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</si>
  <si>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</si>
  <si>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</si>
  <si>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</si>
  <si>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</si>
  <si>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</si>
  <si>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</si>
  <si>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</si>
  <si>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</si>
  <si>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</si>
  <si>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</si>
  <si>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</si>
  <si>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</si>
  <si>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</si>
  <si>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</si>
  <si>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</si>
  <si>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</si>
  <si>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</si>
  <si>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</si>
  <si>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</si>
  <si>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</si>
  <si>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</si>
  <si>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</si>
  <si>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</si>
  <si>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</si>
  <si>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</si>
  <si>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</si>
  <si>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</si>
  <si>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</si>
  <si>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</si>
  <si>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</si>
  <si>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</si>
  <si>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</si>
  <si>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</si>
  <si>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</si>
  <si>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</si>
  <si>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</si>
  <si>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</si>
  <si>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</si>
  <si>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</si>
  <si>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</si>
  <si>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</si>
  <si>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</si>
  <si>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</si>
  <si>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</si>
  <si>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</si>
  <si>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</si>
  <si>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</si>
  <si>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</si>
  <si>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</si>
  <si>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</si>
  <si>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</si>
  <si>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</si>
  <si>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</si>
  <si>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</si>
  <si>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</si>
  <si>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</si>
  <si>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</si>
  <si>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</si>
  <si>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</si>
  <si>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</si>
  <si>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</si>
  <si>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</si>
  <si>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</si>
  <si>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</si>
  <si>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</si>
  <si>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</si>
  <si>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</si>
  <si>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</si>
  <si>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</si>
  <si>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</si>
  <si>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</si>
  <si>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</si>
  <si>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</si>
  <si>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</si>
  <si>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</si>
  <si>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</si>
  <si>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</si>
  <si>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</si>
  <si>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</si>
  <si>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</si>
  <si>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</si>
  <si>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</si>
  <si>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</si>
  <si>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</si>
  <si>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</si>
  <si>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</si>
  <si>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</si>
  <si>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</si>
  <si>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</si>
  <si>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</si>
  <si>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</si>
  <si>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</si>
  <si>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</si>
  <si>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</si>
  <si>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</si>
  <si>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</si>
  <si>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</si>
  <si>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</si>
  <si>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</si>
  <si>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</si>
  <si>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</si>
  <si>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</si>
  <si>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</si>
  <si>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</si>
  <si>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</si>
  <si>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</si>
  <si>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</si>
  <si>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</si>
  <si>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</si>
  <si>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</si>
  <si>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</si>
  <si>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</si>
  <si>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</si>
  <si>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</si>
  <si>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</si>
  <si>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</si>
  <si>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</si>
  <si>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</si>
  <si>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</si>
  <si>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</si>
  <si>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</si>
  <si>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</si>
  <si>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</si>
  <si>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</si>
  <si>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</si>
  <si>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</si>
  <si>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</si>
  <si>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</si>
  <si>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</si>
  <si>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</si>
  <si>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</si>
  <si>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</si>
  <si>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</si>
  <si>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</si>
  <si>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</si>
  <si>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</si>
  <si>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</si>
  <si>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</si>
  <si>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</si>
  <si>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</si>
  <si>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</si>
  <si>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</si>
  <si>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</si>
  <si>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</si>
  <si>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</si>
  <si>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</si>
  <si>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</si>
  <si>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</si>
  <si>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</si>
  <si>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</si>
  <si>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</si>
  <si>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</si>
  <si>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</si>
  <si>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</si>
  <si>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</si>
  <si>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</si>
  <si>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</si>
  <si>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</si>
  <si>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</si>
  <si>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</si>
  <si>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</si>
  <si>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</si>
  <si>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</si>
  <si>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</si>
  <si>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</si>
  <si>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</si>
  <si>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</si>
  <si>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</si>
  <si>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</si>
  <si>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</si>
  <si>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</si>
  <si>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</si>
  <si>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</si>
  <si>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</si>
  <si>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</si>
  <si>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</si>
  <si>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</si>
  <si>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</si>
  <si>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</si>
  <si>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</si>
  <si>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</si>
  <si>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</si>
  <si>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</si>
  <si>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</si>
  <si>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</si>
  <si>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</si>
  <si>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</si>
  <si>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</si>
  <si>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</si>
  <si>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</si>
  <si>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</si>
  <si>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</si>
  <si>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</si>
  <si>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</si>
  <si>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</si>
  <si>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</si>
  <si>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</si>
  <si>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</si>
  <si>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</si>
  <si>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</si>
  <si>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</si>
  <si>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</si>
  <si>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</si>
  <si>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</si>
  <si>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</si>
  <si>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</si>
  <si>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</si>
  <si>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</si>
  <si>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</si>
  <si>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</si>
  <si>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</si>
  <si>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</si>
  <si>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</si>
  <si>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</si>
  <si>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</si>
  <si>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</si>
  <si>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</si>
  <si>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</si>
  <si>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</si>
  <si>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</si>
  <si>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</si>
  <si>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</si>
  <si>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</si>
  <si>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</si>
  <si>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</si>
  <si>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</si>
  <si>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</si>
  <si>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</si>
  <si>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</si>
  <si>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</si>
  <si>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</si>
  <si>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</si>
  <si>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</si>
  <si>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</si>
  <si>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</si>
  <si>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</si>
  <si>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</si>
  <si>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</si>
  <si>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</si>
  <si>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</si>
  <si>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</si>
  <si>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</si>
  <si>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</si>
  <si>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</si>
  <si>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</si>
  <si>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</si>
  <si>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</si>
  <si>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</si>
  <si>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</si>
  <si>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</si>
  <si>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</si>
  <si>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</si>
  <si>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</si>
  <si>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</si>
  <si>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</si>
  <si>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</si>
  <si>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</si>
  <si>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</si>
  <si>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</si>
  <si>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</si>
  <si>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</si>
  <si>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</si>
  <si>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</si>
  <si>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</si>
  <si>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</si>
  <si>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</si>
  <si>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</si>
  <si>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</si>
  <si>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</si>
  <si>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</si>
  <si>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</si>
  <si>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</si>
  <si>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</si>
  <si>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</si>
  <si>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</si>
  <si>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</si>
  <si>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</si>
  <si>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</si>
  <si>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</si>
  <si>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</si>
  <si>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</si>
  <si>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</si>
  <si>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</si>
  <si>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</si>
  <si>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</si>
  <si>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</si>
  <si>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</si>
  <si>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</si>
  <si>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</si>
  <si>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</si>
  <si>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</si>
  <si>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</si>
  <si>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</si>
  <si>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</si>
  <si>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</si>
  <si>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</si>
  <si>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</si>
  <si>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</si>
  <si>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</si>
  <si>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</si>
  <si>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</si>
  <si>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</si>
  <si>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</si>
  <si>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</si>
  <si>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</si>
  <si>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</si>
  <si>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</si>
  <si>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</si>
  <si>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</si>
  <si>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</si>
  <si>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</si>
  <si>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</si>
  <si>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</si>
  <si>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</si>
  <si>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</si>
  <si>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</si>
  <si>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</si>
  <si>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</si>
  <si>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</si>
  <si>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</si>
  <si>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</si>
  <si>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</si>
  <si>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</si>
  <si>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</si>
  <si>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</si>
  <si>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</si>
  <si>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</si>
  <si>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</si>
  <si>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</si>
  <si>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</si>
  <si>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</si>
  <si>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</si>
  <si>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</si>
  <si>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</si>
  <si>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</si>
  <si>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</si>
  <si>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</si>
  <si>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</si>
  <si>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</si>
  <si>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</si>
  <si>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</si>
  <si>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</si>
  <si>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</si>
  <si>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</si>
  <si>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</si>
  <si>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</si>
  <si>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</si>
  <si>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</si>
  <si>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</si>
  <si>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</si>
  <si>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</si>
  <si>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</si>
  <si>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</si>
  <si>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</si>
  <si>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</si>
  <si>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</si>
  <si>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</si>
  <si>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</si>
  <si>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</si>
  <si>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</si>
  <si>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</si>
  <si>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</si>
  <si>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</si>
  <si>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</si>
  <si>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</si>
  <si>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</si>
  <si>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</si>
  <si>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</si>
  <si>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</si>
  <si>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</si>
  <si>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</si>
  <si>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</si>
  <si>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</si>
  <si>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</si>
  <si>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</si>
  <si>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</si>
  <si>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</si>
  <si>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</si>
  <si>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</si>
  <si>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</si>
  <si>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</si>
  <si>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</si>
  <si>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</si>
  <si>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</si>
  <si>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</si>
  <si>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</si>
  <si>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</si>
  <si>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</si>
  <si>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</si>
  <si>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</si>
  <si>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</si>
  <si>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</si>
  <si>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</si>
  <si>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</si>
  <si>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</si>
  <si>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</si>
  <si>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</si>
  <si>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</si>
  <si>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</si>
  <si>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</si>
  <si>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</si>
  <si>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</si>
  <si>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</si>
  <si>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</si>
  <si>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</si>
  <si>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</si>
  <si>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</si>
  <si>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</si>
  <si>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</si>
  <si>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</si>
  <si>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</si>
  <si>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</si>
  <si>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</si>
  <si>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</si>
  <si>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</si>
  <si>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</si>
  <si>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</si>
  <si>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</si>
  <si>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</si>
  <si>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</si>
  <si>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</si>
  <si>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</si>
  <si>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</si>
  <si>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</si>
  <si>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</si>
  <si>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</si>
  <si>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</si>
  <si>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</si>
  <si>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</si>
  <si>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</si>
  <si>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</si>
  <si>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</si>
  <si>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</si>
  <si>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</si>
  <si>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</si>
  <si>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</si>
  <si>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</si>
  <si>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</si>
  <si>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</si>
  <si>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</si>
  <si>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</si>
  <si>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</si>
  <si>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</si>
  <si>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</si>
  <si>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</si>
  <si>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</si>
  <si>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</si>
  <si>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</si>
  <si>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</si>
  <si>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</si>
  <si>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</si>
  <si>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</si>
  <si>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</si>
  <si>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</si>
  <si>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</si>
  <si>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</si>
  <si>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</si>
  <si>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</si>
  <si>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</si>
  <si>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</si>
  <si>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</si>
  <si>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</si>
  <si>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</si>
  <si>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</si>
  <si>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</si>
  <si>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</si>
  <si>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</si>
  <si>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</si>
  <si>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</si>
  <si>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</si>
  <si>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</si>
  <si>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</si>
  <si>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</si>
  <si>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</si>
  <si>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</si>
  <si>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</si>
  <si>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</si>
  <si>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</si>
  <si>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</si>
  <si>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</si>
  <si>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</si>
  <si>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</si>
  <si>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</si>
  <si>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</si>
  <si>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</si>
  <si>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</si>
  <si>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</si>
  <si>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</si>
  <si>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</si>
  <si>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</si>
  <si>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</si>
  <si>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</si>
  <si>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</si>
  <si>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</si>
  <si>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</si>
  <si>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</si>
  <si>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</si>
  <si>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</si>
  <si>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</si>
  <si>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</si>
  <si>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</si>
  <si>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</si>
  <si>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</si>
  <si>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</si>
  <si>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</si>
  <si>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</si>
  <si>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</si>
  <si>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</si>
  <si>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</si>
  <si>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</si>
  <si>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</si>
  <si>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</si>
  <si>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</si>
  <si>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</si>
  <si>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</si>
  <si>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</si>
  <si>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</si>
  <si>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</si>
  <si>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</si>
  <si>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</si>
  <si>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</si>
  <si>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</si>
  <si>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</si>
  <si>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</si>
  <si>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</si>
  <si>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</si>
  <si>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</si>
  <si>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</si>
  <si>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</si>
  <si>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</si>
  <si>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</si>
  <si>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</si>
  <si>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</si>
  <si>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</si>
  <si>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</si>
  <si>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</si>
  <si>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</si>
  <si>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</si>
  <si>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</si>
  <si>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</si>
  <si>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</si>
  <si>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</si>
  <si>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</si>
  <si>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</si>
  <si>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</si>
  <si>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</si>
  <si>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</si>
  <si>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</si>
  <si>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</si>
  <si>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</si>
  <si>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</si>
  <si>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</si>
  <si>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</si>
  <si>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</si>
  <si>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</si>
  <si>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</si>
  <si>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</si>
  <si>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</si>
  <si>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</si>
  <si>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</si>
  <si>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</si>
  <si>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</si>
  <si>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</si>
  <si>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</si>
  <si>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</si>
  <si>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</si>
  <si>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</si>
  <si>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</si>
  <si>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</si>
  <si>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</si>
  <si>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</si>
  <si>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</si>
  <si>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</si>
  <si>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</si>
  <si>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</si>
  <si>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</si>
  <si>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</si>
  <si>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</si>
  <si>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</si>
  <si>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</si>
  <si>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</si>
  <si>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</si>
  <si>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</si>
  <si>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</si>
  <si>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</si>
  <si>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</si>
  <si>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</si>
  <si>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</si>
  <si>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</si>
  <si>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</si>
  <si>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</si>
  <si>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</si>
  <si>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</si>
  <si>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</si>
  <si>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</si>
  <si>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</si>
  <si>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</si>
  <si>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</si>
  <si>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</si>
  <si>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</si>
  <si>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</si>
  <si>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</si>
  <si>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</si>
  <si>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</si>
  <si>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</si>
  <si>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</si>
  <si>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</si>
  <si>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</si>
  <si>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</si>
  <si>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</si>
  <si>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</si>
  <si>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</si>
  <si>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</si>
  <si>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</si>
  <si>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</si>
  <si>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</si>
  <si>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</si>
  <si>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</si>
  <si>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</si>
  <si>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</si>
  <si>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</si>
  <si>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</si>
  <si>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</si>
  <si>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</si>
  <si>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</si>
  <si>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</si>
  <si>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</si>
  <si>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</si>
  <si>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</si>
  <si>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</si>
  <si>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</si>
  <si>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</si>
  <si>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</si>
  <si>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</si>
  <si>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</si>
  <si>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</si>
  <si>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</si>
  <si>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</si>
  <si>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</si>
  <si>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</si>
  <si>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</si>
  <si>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</si>
  <si>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</si>
  <si>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</si>
  <si>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</si>
  <si>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</si>
  <si>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</si>
  <si>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</si>
  <si>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</si>
  <si>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</si>
  <si>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</si>
  <si>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</si>
  <si>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</si>
  <si>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</si>
  <si>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</si>
  <si>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</si>
  <si>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</si>
  <si>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</si>
  <si>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</si>
  <si>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</si>
  <si>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</si>
  <si>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</si>
  <si>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</si>
  <si>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</si>
  <si>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</si>
  <si>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</si>
  <si>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</si>
  <si>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</si>
  <si>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</si>
  <si>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</si>
  <si>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</si>
  <si>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</si>
  <si>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</si>
  <si>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</si>
  <si>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</si>
  <si>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</si>
  <si>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</si>
  <si>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</si>
  <si>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</si>
  <si>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</si>
  <si>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</si>
  <si>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</si>
  <si>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</si>
  <si>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</si>
  <si>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</si>
  <si>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</si>
  <si>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</si>
  <si>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</si>
  <si>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</si>
  <si>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</si>
  <si>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</si>
  <si>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</si>
  <si>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</si>
  <si>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</si>
  <si>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</si>
  <si>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</si>
  <si>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</si>
  <si>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</si>
  <si>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</si>
  <si>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</si>
  <si>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</si>
  <si>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</si>
  <si>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</si>
  <si>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</si>
  <si>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</si>
  <si>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</si>
  <si>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</si>
  <si>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</si>
  <si>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</si>
  <si>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</si>
  <si>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</si>
  <si>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</si>
  <si>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</si>
  <si>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</si>
  <si>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</si>
  <si>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</si>
  <si>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</si>
  <si>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</si>
  <si>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</si>
  <si>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</si>
  <si>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</si>
  <si>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</si>
  <si>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</si>
  <si>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</si>
  <si>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</si>
  <si>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</si>
  <si>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</si>
  <si>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</si>
  <si>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</si>
  <si>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</si>
  <si>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</si>
  <si>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</si>
  <si>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</si>
  <si>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</si>
  <si>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</si>
  <si>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</si>
  <si>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</si>
  <si>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</si>
  <si>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</si>
  <si>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</si>
  <si>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</si>
  <si>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</si>
  <si>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</si>
  <si>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</si>
  <si>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</si>
  <si>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</si>
  <si>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</si>
  <si>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</si>
  <si>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</si>
  <si>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</si>
  <si>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</si>
  <si>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</si>
  <si>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</si>
  <si>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</si>
  <si>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</si>
  <si>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</si>
  <si>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</si>
  <si>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</si>
  <si>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</si>
  <si>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</si>
  <si>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</si>
  <si>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</si>
  <si>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</si>
  <si>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</si>
  <si>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</si>
  <si>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</si>
  <si>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</si>
  <si>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</si>
  <si>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</si>
  <si>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</si>
  <si>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</si>
  <si>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</si>
  <si>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</si>
  <si>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</si>
  <si>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</si>
  <si>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</si>
  <si>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</si>
  <si>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</si>
  <si>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</si>
  <si>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</si>
  <si>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</si>
  <si>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</si>
  <si>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</si>
  <si>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</si>
  <si>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</si>
  <si>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</si>
  <si>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</si>
  <si>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</si>
  <si>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</si>
  <si>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</si>
  <si>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</si>
  <si>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</si>
  <si>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</si>
  <si>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</si>
  <si>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</si>
  <si>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</si>
  <si>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</si>
  <si>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</si>
  <si>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</si>
  <si>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</si>
  <si>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</si>
  <si>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</si>
  <si>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</si>
  <si>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</si>
  <si>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</si>
  <si>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</si>
  <si>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</si>
  <si>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</si>
  <si>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</si>
  <si>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</si>
  <si>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</si>
  <si>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</si>
  <si>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</si>
  <si>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</si>
  <si>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</si>
  <si>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</si>
  <si>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</si>
  <si>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</si>
  <si>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</si>
  <si>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</si>
  <si>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</si>
  <si>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</si>
  <si>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</si>
  <si>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</si>
  <si>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</si>
  <si>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</si>
  <si>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</si>
  <si>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</si>
  <si>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</si>
  <si>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</si>
  <si>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</si>
  <si>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</si>
  <si>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</si>
  <si>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</si>
  <si>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</si>
  <si>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</si>
  <si>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</si>
  <si>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</si>
  <si>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</si>
  <si>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</si>
  <si>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</si>
  <si>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</si>
  <si>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</si>
  <si>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</si>
  <si>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</si>
  <si>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</si>
  <si>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</si>
  <si>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</si>
  <si>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</si>
  <si>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</si>
  <si>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</si>
  <si>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</si>
  <si>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</si>
  <si>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</si>
  <si>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</si>
  <si>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</si>
  <si>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</si>
  <si>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</si>
  <si>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</si>
  <si>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</si>
  <si>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</si>
  <si>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</si>
  <si>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</si>
  <si>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</si>
  <si>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</si>
  <si>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</si>
  <si>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</si>
  <si>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</si>
  <si>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</si>
  <si>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</si>
  <si>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</si>
  <si>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</si>
  <si>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</si>
  <si>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</si>
  <si>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</si>
  <si>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</si>
  <si>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</si>
  <si>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</si>
  <si>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</si>
  <si>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</si>
  <si>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</si>
  <si>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</si>
  <si>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</si>
  <si>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</si>
  <si>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</si>
  <si>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</si>
  <si>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</si>
  <si>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</si>
  <si>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</si>
  <si>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</si>
  <si>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</si>
  <si>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</si>
  <si>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</si>
  <si>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</si>
  <si>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</si>
  <si>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</si>
  <si>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</si>
  <si>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</si>
  <si>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</si>
  <si>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</si>
  <si>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</si>
  <si>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</si>
  <si>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</si>
  <si>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</si>
  <si>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</si>
  <si>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</si>
  <si>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</si>
  <si>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</si>
  <si>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</si>
  <si>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</si>
  <si>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</si>
  <si>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</si>
  <si>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</si>
  <si>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</si>
  <si>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</si>
  <si>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</si>
  <si>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</si>
  <si>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</si>
  <si>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</si>
  <si>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</si>
  <si>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</si>
  <si>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</si>
  <si>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</si>
  <si>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</si>
  <si>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</si>
  <si>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</si>
  <si>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</si>
  <si>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</si>
  <si>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</si>
  <si>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</si>
  <si>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</si>
  <si>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</si>
  <si>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</si>
  <si>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</si>
  <si>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</si>
  <si>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</si>
  <si>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</si>
  <si>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</si>
  <si>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</si>
  <si>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</si>
  <si>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</si>
  <si>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</si>
  <si>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</si>
  <si>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</si>
  <si>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</si>
  <si>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</si>
  <si>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</si>
  <si>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</si>
  <si>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</si>
  <si>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</si>
  <si>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</si>
  <si>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</si>
  <si>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</si>
  <si>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</si>
  <si>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</si>
  <si>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</si>
  <si>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</si>
  <si>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</si>
  <si>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</si>
  <si>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</si>
  <si>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</si>
  <si>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</si>
  <si>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</si>
  <si>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</si>
  <si>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</si>
  <si>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</si>
  <si>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</si>
  <si>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</si>
  <si>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</si>
  <si>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</si>
  <si>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</si>
  <si>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</si>
  <si>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</si>
  <si>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</si>
  <si>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</si>
  <si>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</si>
  <si>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</si>
  <si>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</si>
  <si>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</si>
  <si>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</si>
  <si>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</si>
  <si>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</si>
  <si>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</si>
  <si>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</si>
  <si>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</si>
  <si>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</si>
  <si>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</si>
  <si>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</si>
  <si>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</si>
  <si>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</si>
  <si>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</si>
  <si>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</si>
  <si>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</si>
  <si>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</si>
  <si>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</si>
  <si>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</si>
  <si>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</si>
  <si>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</si>
  <si>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</si>
  <si>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</si>
  <si>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</si>
  <si>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</si>
  <si>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</si>
  <si>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</si>
  <si>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</si>
  <si>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</si>
  <si>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</si>
  <si>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</si>
  <si>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</si>
  <si>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</si>
  <si>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</si>
  <si>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</si>
  <si>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</si>
  <si>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</si>
  <si>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</si>
  <si>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</si>
  <si>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</si>
  <si>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</si>
  <si>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</si>
  <si>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</si>
  <si>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</si>
  <si>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</si>
  <si>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</si>
  <si>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</si>
  <si>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</si>
  <si>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</si>
  <si>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</si>
  <si>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</si>
  <si>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</si>
  <si>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</si>
  <si>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</si>
  <si>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</si>
  <si>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</si>
  <si>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</si>
  <si>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</si>
  <si>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</si>
  <si>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</si>
  <si>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</si>
  <si>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</si>
  <si>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</si>
  <si>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</si>
  <si>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</si>
  <si>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</si>
  <si>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</si>
  <si>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</si>
  <si>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</si>
  <si>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</si>
  <si>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</si>
  <si>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</si>
  <si>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</si>
  <si>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</si>
  <si>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</si>
  <si>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</si>
  <si>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</si>
  <si>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</si>
  <si>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</si>
  <si>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</si>
  <si>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</si>
  <si>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</si>
  <si>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</si>
  <si>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</si>
  <si>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</si>
  <si>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</si>
  <si>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</si>
  <si>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</si>
  <si>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</si>
  <si>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</si>
  <si>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</si>
  <si>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</si>
  <si>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</si>
  <si>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</si>
  <si>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</si>
  <si>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</si>
  <si>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</si>
  <si>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</si>
  <si>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</si>
  <si>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</si>
  <si>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</si>
  <si>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</si>
  <si>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</si>
  <si>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</si>
  <si>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</si>
  <si>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</si>
  <si>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</si>
  <si>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</si>
  <si>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</si>
  <si>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</si>
  <si>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</si>
  <si>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</si>
  <si>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</si>
  <si>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</si>
  <si>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</si>
  <si>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</si>
  <si>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</si>
  <si>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</si>
  <si>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</si>
  <si>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</si>
  <si>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</si>
  <si>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</si>
  <si>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</si>
  <si>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</si>
  <si>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</si>
  <si>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</si>
  <si>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</si>
  <si>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</si>
  <si>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</si>
  <si>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</si>
  <si>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</si>
  <si>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</si>
  <si>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</si>
  <si>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</si>
  <si>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</si>
  <si>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</si>
  <si>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</si>
  <si>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</si>
  <si>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</si>
  <si>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</si>
  <si>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</si>
  <si>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</si>
  <si>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</si>
  <si>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</si>
  <si>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</si>
  <si>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</si>
  <si>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</si>
  <si>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</si>
  <si>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</si>
  <si>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</si>
  <si>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</si>
  <si>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</si>
  <si>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</si>
  <si>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</si>
  <si>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</si>
  <si>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</si>
  <si>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</si>
  <si>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</si>
  <si>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</si>
  <si>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</si>
  <si>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</si>
  <si>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</si>
  <si>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</si>
  <si>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</si>
  <si>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</si>
  <si>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</si>
  <si>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</si>
  <si>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</si>
  <si>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</si>
  <si>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</si>
  <si>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</si>
  <si>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</si>
  <si>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</si>
  <si>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</si>
  <si>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</si>
  <si>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</si>
  <si>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</si>
  <si>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</si>
  <si>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</si>
  <si>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</si>
  <si>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</si>
  <si>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</si>
  <si>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</si>
  <si>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</si>
  <si>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</si>
  <si>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</si>
  <si>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</si>
  <si>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</si>
  <si>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</si>
  <si>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</si>
  <si>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</si>
  <si>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</si>
  <si>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</si>
  <si>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</si>
  <si>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</si>
  <si>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</si>
  <si>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</si>
  <si>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</si>
  <si>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</si>
  <si>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</si>
  <si>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</si>
  <si>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</si>
  <si>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</si>
  <si>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</si>
  <si>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</si>
  <si>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</si>
  <si>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</si>
  <si>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</si>
  <si>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</si>
  <si>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</si>
  <si>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</si>
  <si>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</si>
  <si>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</si>
  <si>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</si>
  <si>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</si>
  <si>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</si>
  <si>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</si>
  <si>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</si>
  <si>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</si>
  <si>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</si>
  <si>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</si>
  <si>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</si>
  <si>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</si>
  <si>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</si>
  <si>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</si>
  <si>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</si>
  <si>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</si>
  <si>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</si>
  <si>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</si>
  <si>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</si>
  <si>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</si>
  <si>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</si>
  <si>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</si>
  <si>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</si>
  <si>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</si>
  <si>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</si>
  <si>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</si>
  <si>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</si>
  <si>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</si>
  <si>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</si>
  <si>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</si>
  <si>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</si>
  <si>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</si>
  <si>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</si>
  <si>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</si>
  <si>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</si>
  <si>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</si>
  <si>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</si>
  <si>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</si>
  <si>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</si>
  <si>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</si>
  <si>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</si>
  <si>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</si>
  <si>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</si>
  <si>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</si>
  <si>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</si>
  <si>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</si>
  <si>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</si>
  <si>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</si>
  <si>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</si>
  <si>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</si>
  <si>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</si>
  <si>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</si>
  <si>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</si>
  <si>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</si>
  <si>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</si>
  <si>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</si>
  <si>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</si>
  <si>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</si>
  <si>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</si>
  <si>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</si>
  <si>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</si>
  <si>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</si>
  <si>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</si>
  <si>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</si>
  <si>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</si>
  <si>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</si>
  <si>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</si>
  <si>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</si>
  <si>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</si>
  <si>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</si>
  <si>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</si>
  <si>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</si>
  <si>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</si>
  <si>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</si>
  <si>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</si>
  <si>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</si>
  <si>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</si>
  <si>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</si>
  <si>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</si>
  <si>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</si>
  <si>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</si>
  <si>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</si>
  <si>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</si>
  <si>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</si>
  <si>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</si>
  <si>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</si>
  <si>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</si>
  <si>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</si>
  <si>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</si>
  <si>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</si>
  <si>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</si>
  <si>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</si>
  <si>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</si>
  <si>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</si>
  <si>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</si>
  <si>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</si>
  <si>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</si>
  <si>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</si>
  <si>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</si>
  <si>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</si>
  <si>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</si>
  <si>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</si>
  <si>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</si>
  <si>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</si>
  <si>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</si>
  <si>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</si>
  <si>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</si>
  <si>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</si>
  <si>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</si>
  <si>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</si>
  <si>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</si>
  <si>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</si>
  <si>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</si>
  <si>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</si>
  <si>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</si>
  <si>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</si>
  <si>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</si>
  <si>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</si>
  <si>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</si>
  <si>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</si>
  <si>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</si>
  <si>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</si>
  <si>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</si>
  <si>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</si>
  <si>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</si>
  <si>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</si>
  <si>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</si>
  <si>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</si>
  <si>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</si>
  <si>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</si>
  <si>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</si>
  <si>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</si>
  <si>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</si>
  <si>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</si>
  <si>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</si>
  <si>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</si>
  <si>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</si>
  <si>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</si>
  <si>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</si>
  <si>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</si>
  <si>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</si>
  <si>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</si>
  <si>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</si>
  <si>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</si>
  <si>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</si>
  <si>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</si>
  <si>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</si>
  <si>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</si>
  <si>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</si>
  <si>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</si>
  <si>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</si>
  <si>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</si>
  <si>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</si>
  <si>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</si>
  <si>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</si>
  <si>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</si>
  <si>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</si>
  <si>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</si>
  <si>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</si>
  <si>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</si>
  <si>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</si>
  <si>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</si>
  <si>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</si>
  <si>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</si>
  <si>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</si>
  <si>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</si>
  <si>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</si>
  <si>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</si>
  <si>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</si>
  <si>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</si>
  <si>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</si>
  <si>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</si>
  <si>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</si>
  <si>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</si>
  <si>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</si>
  <si>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</si>
  <si>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</si>
  <si>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</si>
  <si>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</si>
  <si>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</si>
  <si>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</si>
  <si>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</si>
  <si>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</si>
  <si>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</si>
  <si>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</si>
  <si>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</si>
  <si>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</si>
  <si>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</si>
  <si>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</si>
  <si>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</si>
  <si>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</si>
  <si>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</si>
  <si>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</si>
  <si>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</si>
  <si>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</si>
  <si>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</si>
  <si>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</si>
  <si>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</si>
  <si>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</si>
  <si>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</si>
  <si>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</si>
  <si>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</si>
  <si>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</si>
  <si>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</si>
  <si>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</si>
  <si>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</si>
  <si>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</si>
  <si>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</si>
  <si>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</si>
  <si>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</si>
  <si>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</si>
  <si>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</si>
  <si>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</si>
  <si>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</si>
  <si>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</si>
  <si>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</si>
  <si>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</si>
  <si>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</si>
  <si>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</si>
  <si>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</si>
  <si>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</si>
  <si>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</si>
  <si>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</si>
  <si>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</si>
  <si>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</si>
  <si>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</si>
  <si>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</si>
  <si>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</si>
  <si>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</si>
  <si>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</si>
  <si>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</si>
  <si>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</si>
  <si>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</si>
  <si>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</si>
  <si>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</si>
  <si>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</si>
  <si>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</si>
  <si>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</si>
  <si>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</si>
  <si>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</si>
  <si>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</si>
  <si>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</si>
  <si>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</si>
  <si>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</si>
  <si>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</si>
  <si>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</si>
  <si>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</si>
  <si>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</si>
  <si>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</si>
  <si>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</si>
  <si>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</si>
  <si>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</si>
  <si>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</si>
  <si>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</si>
  <si>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</si>
  <si>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</si>
  <si>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</si>
  <si>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</si>
  <si>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</si>
  <si>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</si>
  <si>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</si>
  <si>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</si>
  <si>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</si>
  <si>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</si>
  <si>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</si>
  <si>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</si>
  <si>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</si>
  <si>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</si>
  <si>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</si>
  <si>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</si>
  <si>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</si>
  <si>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</si>
  <si>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</si>
  <si>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</si>
  <si>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</si>
  <si>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</si>
  <si>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</si>
  <si>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</si>
  <si>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</si>
  <si>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</si>
  <si>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</si>
  <si>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</si>
  <si>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</si>
  <si>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</si>
  <si>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</si>
  <si>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</si>
  <si>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</si>
  <si>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</si>
  <si>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</si>
  <si>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</si>
  <si>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</si>
  <si>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</si>
  <si>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</si>
  <si>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</si>
  <si>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</si>
  <si>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</si>
  <si>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</si>
  <si>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</si>
  <si>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</si>
  <si>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</si>
  <si>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</si>
  <si>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</si>
  <si>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</si>
  <si>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</si>
  <si>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</si>
  <si>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</si>
  <si>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</si>
  <si>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</si>
  <si>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</si>
  <si>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</si>
  <si>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</si>
  <si>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</si>
  <si>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</si>
  <si>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</si>
  <si>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</si>
  <si>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</si>
  <si>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</si>
  <si>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</si>
  <si>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</si>
  <si>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</si>
  <si>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</si>
  <si>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</si>
  <si>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</si>
  <si>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</si>
  <si>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</si>
  <si>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</si>
  <si>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</si>
  <si>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</si>
  <si>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</si>
  <si>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</si>
  <si>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</si>
  <si>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</si>
  <si>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</si>
  <si>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</si>
  <si>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</si>
  <si>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</si>
  <si>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</si>
  <si>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</si>
  <si>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</si>
  <si>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</si>
  <si>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</si>
  <si>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</si>
  <si>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</si>
  <si>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</si>
  <si>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</si>
  <si>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</si>
  <si>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</si>
  <si>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</si>
  <si>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</si>
  <si>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</si>
  <si>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</si>
  <si>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</si>
  <si>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</si>
  <si>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</si>
  <si>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</si>
  <si>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</si>
  <si>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</si>
  <si>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</si>
  <si>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</si>
  <si>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</si>
  <si>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</si>
  <si>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</si>
  <si>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</si>
  <si>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</si>
  <si>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</si>
  <si>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</si>
  <si>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</si>
  <si>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</si>
  <si>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</si>
  <si>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</si>
  <si>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</si>
  <si>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</si>
  <si>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</si>
  <si>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</si>
  <si>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</si>
  <si>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</si>
  <si>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</si>
  <si>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</si>
  <si>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</si>
  <si>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</si>
  <si>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</si>
  <si>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</si>
  <si>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</si>
  <si>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</si>
  <si>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</si>
  <si>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</si>
  <si>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</si>
  <si>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</si>
  <si>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</si>
  <si>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</si>
  <si>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</si>
  <si>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</si>
  <si>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</si>
  <si>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</si>
  <si>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</si>
  <si>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</si>
  <si>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</si>
  <si>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</si>
  <si>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</si>
  <si>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</si>
  <si>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</si>
  <si>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</si>
  <si>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</si>
  <si>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</si>
  <si>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</si>
  <si>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</si>
  <si>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</si>
  <si>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</si>
  <si>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</si>
  <si>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</si>
  <si>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</si>
  <si>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</si>
  <si>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</si>
  <si>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</si>
  <si>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</si>
  <si>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</si>
  <si>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</si>
  <si>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</si>
  <si>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</si>
  <si>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</si>
  <si>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</si>
  <si>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</si>
  <si>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</si>
  <si>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</si>
  <si>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</si>
  <si>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</si>
  <si>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</si>
  <si>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</si>
  <si>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</si>
  <si>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</si>
  <si>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</si>
  <si>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</si>
  <si>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</si>
  <si>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</si>
  <si>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</si>
  <si>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</si>
  <si>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</si>
  <si>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</si>
  <si>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</si>
  <si>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</si>
  <si>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</si>
  <si>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</si>
  <si>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</si>
  <si>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</si>
  <si>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</si>
  <si>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</si>
  <si>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</si>
  <si>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</si>
  <si>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</si>
  <si>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</si>
  <si>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</si>
  <si>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</si>
  <si>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</si>
  <si>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</si>
  <si>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</si>
  <si>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</si>
  <si>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</si>
  <si>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</si>
  <si>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</si>
  <si>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</si>
  <si>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</si>
  <si>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</si>
  <si>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</si>
  <si>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</si>
  <si>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</si>
  <si>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</si>
  <si>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</si>
  <si>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</si>
  <si>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</si>
  <si>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</si>
  <si>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</si>
  <si>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</si>
  <si>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</si>
  <si>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</si>
  <si>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</si>
  <si>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</si>
  <si>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</si>
  <si>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</si>
  <si>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</si>
  <si>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</si>
  <si>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</si>
  <si>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</si>
  <si>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</si>
  <si>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</si>
  <si>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</si>
  <si>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</si>
  <si>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</si>
  <si>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</si>
  <si>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</si>
  <si>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</si>
  <si>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</si>
  <si>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</si>
  <si>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</si>
  <si>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</si>
  <si>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</si>
  <si>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</si>
  <si>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</si>
  <si>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</si>
  <si>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</si>
  <si>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</si>
  <si>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</si>
  <si>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</si>
  <si>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</si>
  <si>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</si>
  <si>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</si>
  <si>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</si>
  <si>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</si>
  <si>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</si>
  <si>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</si>
  <si>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</si>
  <si>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</si>
  <si>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</si>
  <si>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</si>
  <si>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</si>
  <si>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</si>
  <si>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</si>
  <si>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</si>
  <si>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</si>
  <si>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</si>
  <si>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</si>
  <si>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</si>
  <si>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</si>
  <si>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</si>
  <si>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</si>
  <si>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</si>
  <si>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</si>
  <si>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</si>
  <si>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</si>
  <si>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</si>
  <si>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</si>
  <si>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</si>
  <si>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</si>
  <si>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</si>
  <si>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</si>
  <si>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</si>
  <si>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</si>
  <si>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</si>
  <si>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</si>
  <si>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</si>
  <si>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</si>
  <si>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</si>
  <si>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</si>
  <si>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</si>
  <si>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</si>
  <si>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</si>
  <si>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</si>
  <si>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</si>
  <si>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</si>
  <si>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</si>
  <si>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</si>
  <si>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</si>
  <si>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</si>
  <si>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</si>
  <si>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</si>
  <si>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</si>
  <si>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</si>
  <si>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</si>
  <si>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</si>
  <si>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</si>
  <si>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</si>
  <si>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</si>
  <si>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</si>
  <si>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</si>
  <si>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</si>
  <si>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</si>
  <si>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</si>
  <si>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</si>
  <si>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</si>
  <si>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</si>
  <si>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</si>
  <si>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</si>
  <si>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</si>
  <si>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</si>
  <si>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</si>
  <si>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</si>
  <si>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</si>
  <si>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</si>
  <si>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</si>
  <si>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</si>
  <si>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</si>
  <si>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</si>
  <si>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</si>
  <si>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</si>
  <si>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</si>
  <si>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</si>
  <si>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</si>
  <si>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</si>
  <si>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</si>
  <si>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</si>
  <si>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</si>
  <si>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</si>
  <si>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</si>
  <si>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</si>
  <si>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</si>
  <si>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</si>
  <si>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</si>
  <si>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</si>
  <si>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</si>
  <si>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</si>
  <si>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</si>
  <si>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</si>
  <si>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</si>
  <si>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</si>
  <si>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</si>
  <si>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</si>
  <si>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</si>
  <si>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</si>
  <si>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</si>
  <si>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</si>
  <si>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</si>
  <si>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</si>
  <si>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</si>
  <si>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</si>
  <si>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</si>
  <si>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</si>
  <si>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</si>
  <si>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</si>
  <si>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</si>
  <si>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</si>
  <si>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</si>
  <si>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</si>
  <si>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</si>
  <si>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</si>
  <si>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</si>
  <si>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</si>
  <si>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</si>
  <si>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</si>
  <si>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</si>
  <si>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</si>
  <si>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</si>
  <si>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</si>
  <si>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</si>
  <si>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</si>
  <si>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</si>
  <si>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</si>
  <si>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</si>
  <si>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</si>
  <si>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</si>
  <si>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</si>
  <si>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</si>
  <si>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</si>
  <si>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</si>
  <si>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</si>
  <si>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</si>
  <si>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</si>
  <si>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</si>
  <si>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</si>
  <si>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</si>
  <si>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</si>
  <si>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</si>
  <si>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</si>
  <si>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</si>
  <si>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</si>
  <si>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</si>
  <si>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</si>
  <si>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</si>
  <si>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</si>
  <si>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</si>
  <si>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</si>
  <si>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</si>
  <si>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</si>
  <si>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</si>
  <si>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</si>
  <si>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</si>
  <si>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</si>
  <si>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</si>
  <si>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</si>
  <si>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</si>
  <si>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</si>
  <si>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</si>
  <si>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</si>
  <si>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</si>
  <si>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</si>
  <si>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</si>
  <si>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</si>
  <si>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</si>
  <si>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</si>
  <si>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</si>
  <si>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</si>
  <si>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</si>
  <si>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</si>
  <si>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</si>
  <si>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</si>
  <si>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</si>
  <si>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</si>
  <si>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</si>
  <si>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</si>
  <si>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</si>
  <si>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</si>
  <si>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</si>
  <si>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</si>
  <si>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</si>
  <si>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</si>
  <si>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</si>
  <si>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</si>
  <si>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</si>
  <si>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</si>
  <si>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</si>
  <si>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</si>
  <si>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</si>
  <si>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</si>
  <si>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</si>
  <si>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</si>
  <si>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</si>
  <si>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</si>
  <si>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</si>
  <si>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</si>
  <si>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</si>
  <si>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</si>
  <si>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</si>
  <si>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</si>
  <si>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</si>
  <si>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</si>
  <si>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</si>
  <si>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</si>
  <si>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</si>
  <si>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</si>
  <si>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</si>
  <si>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</si>
  <si>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</si>
  <si>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</si>
  <si>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</si>
  <si>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</si>
  <si>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</si>
  <si>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</si>
  <si>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</si>
  <si>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</si>
  <si>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</si>
  <si>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</si>
  <si>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</si>
  <si>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</si>
  <si>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</si>
  <si>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</si>
  <si>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</si>
  <si>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</si>
  <si>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</si>
  <si>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</si>
  <si>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</si>
  <si>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</si>
  <si>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</si>
  <si>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</si>
  <si>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</si>
  <si>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</si>
  <si>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</si>
  <si>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</si>
  <si>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</si>
  <si>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</si>
  <si>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</si>
  <si>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</si>
  <si>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</si>
  <si>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</si>
  <si>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</si>
  <si>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</si>
  <si>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</si>
  <si>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</si>
  <si>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</si>
  <si>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</si>
  <si>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</si>
  <si>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</si>
  <si>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</si>
  <si>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</si>
  <si>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</si>
  <si>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</si>
  <si>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</si>
  <si>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</si>
  <si>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</si>
  <si>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</si>
  <si>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</si>
  <si>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</si>
  <si>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</si>
  <si>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</si>
  <si>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</si>
  <si>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</si>
  <si>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</si>
  <si>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</si>
  <si>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</si>
  <si>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</si>
  <si>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</si>
  <si>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</si>
  <si>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</si>
  <si>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</si>
  <si>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</si>
  <si>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</si>
  <si>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</si>
  <si>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</si>
  <si>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</si>
  <si>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</si>
  <si>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</si>
  <si>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</si>
  <si>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</si>
  <si>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</si>
  <si>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</si>
  <si>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</si>
  <si>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</si>
  <si>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</si>
  <si>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</si>
  <si>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</si>
  <si>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</si>
  <si>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</si>
  <si>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</si>
  <si>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</si>
  <si>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</si>
  <si>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</si>
  <si>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</si>
  <si>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</si>
  <si>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</si>
  <si>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</si>
  <si>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</si>
  <si>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</si>
  <si>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</si>
  <si>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</si>
  <si>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</si>
  <si>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</si>
  <si>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</si>
  <si>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</si>
  <si>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</si>
  <si>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</si>
  <si>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</si>
  <si>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</si>
  <si>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</si>
  <si>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</si>
  <si>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</si>
  <si>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</si>
  <si>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</si>
  <si>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</si>
  <si>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</si>
  <si>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</si>
  <si>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</si>
  <si>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</si>
  <si>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</si>
  <si>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</si>
  <si>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</si>
  <si>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</si>
  <si>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</si>
  <si>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</si>
  <si>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</si>
  <si>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</si>
  <si>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</si>
  <si>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</si>
  <si>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</si>
  <si>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</si>
  <si>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</si>
  <si>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</si>
  <si>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</si>
  <si>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</si>
  <si>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</si>
  <si>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</si>
  <si>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</si>
  <si>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</si>
  <si>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</si>
  <si>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</si>
  <si>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</si>
  <si>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</si>
  <si>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</si>
  <si>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</si>
  <si>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</si>
  <si>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</si>
  <si>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</si>
  <si>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</si>
  <si>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</si>
  <si>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</si>
  <si>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</si>
  <si>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</si>
  <si>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</si>
  <si>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</si>
  <si>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</si>
  <si>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</si>
  <si>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</si>
  <si>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</si>
  <si>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</si>
  <si>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</si>
  <si>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</si>
  <si>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</si>
  <si>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</si>
  <si>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</si>
  <si>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</si>
  <si>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</si>
  <si>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</si>
  <si>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</si>
  <si>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</si>
  <si>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</si>
  <si>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</si>
  <si>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</si>
  <si>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</si>
  <si>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</si>
  <si>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</si>
  <si>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</si>
  <si>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</si>
  <si>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</si>
  <si>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</si>
  <si>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</si>
  <si>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</si>
  <si>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</si>
  <si>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</si>
  <si>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</si>
  <si>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</si>
  <si>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</si>
  <si>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</si>
  <si>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</si>
  <si>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</si>
  <si>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</si>
  <si>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</si>
  <si>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</si>
  <si>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</si>
  <si>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</si>
  <si>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</si>
  <si>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</si>
  <si>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</si>
  <si>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</si>
  <si>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</si>
  <si>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</si>
  <si>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</si>
  <si>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</si>
  <si>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</si>
  <si>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</si>
  <si>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</si>
  <si>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</si>
  <si>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</si>
  <si>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</si>
  <si>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</si>
  <si>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</si>
  <si>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</si>
  <si>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</si>
  <si>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</si>
  <si>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</si>
  <si>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</si>
  <si>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</si>
  <si>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</si>
  <si>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</si>
  <si>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</si>
  <si>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</si>
  <si>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</si>
  <si>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</si>
  <si>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</si>
  <si>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</si>
  <si>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</si>
  <si>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</si>
  <si>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</si>
  <si>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</si>
  <si>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</si>
  <si>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</si>
  <si>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</si>
  <si>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</si>
  <si>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</si>
  <si>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</si>
  <si>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</si>
  <si>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</si>
  <si>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</si>
  <si>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</si>
  <si>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</si>
  <si>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</si>
  <si>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</si>
  <si>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</si>
  <si>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</si>
  <si>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</si>
  <si>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</si>
  <si>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</si>
  <si>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</si>
  <si>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</si>
  <si>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</si>
  <si>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</si>
  <si>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</si>
  <si>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</si>
  <si>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</si>
  <si>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</si>
  <si>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</si>
  <si>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</si>
  <si>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</si>
  <si>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</si>
  <si>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</si>
  <si>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</si>
  <si>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</si>
  <si>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</si>
  <si>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</si>
  <si>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</si>
  <si>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</si>
  <si>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</si>
  <si>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</si>
  <si>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</si>
  <si>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</si>
  <si>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</si>
  <si>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</si>
  <si>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</si>
  <si>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</si>
  <si>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</si>
  <si>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</si>
  <si>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</si>
  <si>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</si>
  <si>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</si>
  <si>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</si>
  <si>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</si>
  <si>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</si>
  <si>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</si>
  <si>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</si>
  <si>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</si>
  <si>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</si>
  <si>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</si>
  <si>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</si>
  <si>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</si>
  <si>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</si>
  <si>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</si>
  <si>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</si>
  <si>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</si>
  <si>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</si>
  <si>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</si>
  <si>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</si>
  <si>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</si>
  <si>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</si>
  <si>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</si>
  <si>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</si>
  <si>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</si>
  <si>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</si>
  <si>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</si>
  <si>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</si>
  <si>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</si>
  <si>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</si>
  <si>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</si>
  <si>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</si>
  <si>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</si>
  <si>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</si>
  <si>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</si>
  <si>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</si>
  <si>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</si>
  <si>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</si>
  <si>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</si>
  <si>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</si>
  <si>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</si>
  <si>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</si>
  <si>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</si>
  <si>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</si>
  <si>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</si>
  <si>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</si>
  <si>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</si>
  <si>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</si>
  <si>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</si>
  <si>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</si>
  <si>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</si>
  <si>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</si>
  <si>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</si>
  <si>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</si>
  <si>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</si>
  <si>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</si>
  <si>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</si>
  <si>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</si>
  <si>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</si>
  <si>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</si>
  <si>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</si>
  <si>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</si>
  <si>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</si>
  <si>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</si>
  <si>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</si>
  <si>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</si>
  <si>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</si>
  <si>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</si>
  <si>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</si>
  <si>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</si>
  <si>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</si>
  <si>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</si>
  <si>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</si>
  <si>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</si>
  <si>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</si>
  <si>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</si>
  <si>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</si>
  <si>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</si>
  <si>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</si>
  <si>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</si>
  <si>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</si>
  <si>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</si>
  <si>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</si>
  <si>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</si>
  <si>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</si>
  <si>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</si>
  <si>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</si>
  <si>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</si>
  <si>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</si>
  <si>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</si>
  <si>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</si>
  <si>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</si>
  <si>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</si>
  <si>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</si>
  <si>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</si>
  <si>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</si>
  <si>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</si>
  <si>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</si>
  <si>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</si>
  <si>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</si>
  <si>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</si>
  <si>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</si>
  <si>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</si>
  <si>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</si>
  <si>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</si>
  <si>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</si>
  <si>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</si>
  <si>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</si>
  <si>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</si>
  <si>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</si>
  <si>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</si>
  <si>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</si>
  <si>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</si>
  <si>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</si>
  <si>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</si>
  <si>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</si>
  <si>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</si>
  <si>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</si>
  <si>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</si>
  <si>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</si>
  <si>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</si>
  <si>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</si>
  <si>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</si>
  <si>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</si>
  <si>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</si>
  <si>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</si>
  <si>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</si>
  <si>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</si>
  <si>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</si>
  <si>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</si>
  <si>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</si>
  <si>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</si>
  <si>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</si>
  <si>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</si>
  <si>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</si>
  <si>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</si>
  <si>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</si>
  <si>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</si>
  <si>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</si>
  <si>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</si>
  <si>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</si>
  <si>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</si>
  <si>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</si>
  <si>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</si>
  <si>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</si>
  <si>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</si>
  <si>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</si>
  <si>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</si>
  <si>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</si>
  <si>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</si>
  <si>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</si>
  <si>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</si>
  <si>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</si>
  <si>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</si>
  <si>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</si>
  <si>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</si>
  <si>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</si>
  <si>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</si>
  <si>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</si>
  <si>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</si>
  <si>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</si>
  <si>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</si>
  <si>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</si>
  <si>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</si>
  <si>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</si>
  <si>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</si>
  <si>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</si>
  <si>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</si>
  <si>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</si>
  <si>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</si>
  <si>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</si>
  <si>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</si>
  <si>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</si>
  <si>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</si>
  <si>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</si>
  <si>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</si>
  <si>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</si>
  <si>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</si>
  <si>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</si>
  <si>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</si>
  <si>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</si>
  <si>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</si>
  <si>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</si>
  <si>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</si>
  <si>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</si>
  <si>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</si>
  <si>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</si>
  <si>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</si>
  <si>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</si>
  <si>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</si>
  <si>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</si>
  <si>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</si>
  <si>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</si>
  <si>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</si>
  <si>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</si>
  <si>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</si>
  <si>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</si>
  <si>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</si>
  <si>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</si>
  <si>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</si>
  <si>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</si>
  <si>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</si>
  <si>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</si>
  <si>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</si>
  <si>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</si>
  <si>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</si>
  <si>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</si>
  <si>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</si>
  <si>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</si>
  <si>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</si>
  <si>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</si>
  <si>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</si>
  <si>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</si>
  <si>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</si>
  <si>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</si>
  <si>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</si>
  <si>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</si>
  <si>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</si>
  <si>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</si>
  <si>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</si>
  <si>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</si>
  <si>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</si>
  <si>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</si>
  <si>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</si>
  <si>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</si>
  <si>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</si>
  <si>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</si>
  <si>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</si>
  <si>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</si>
  <si>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</si>
  <si>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</si>
  <si>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</si>
  <si>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</si>
  <si>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</si>
  <si>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</si>
  <si>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</si>
  <si>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</si>
  <si>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</si>
  <si>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</si>
  <si>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</si>
  <si>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</si>
  <si>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</si>
  <si>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</si>
  <si>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</si>
  <si>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</si>
  <si>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</si>
  <si>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</si>
  <si>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</si>
  <si>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</si>
  <si>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</si>
  <si>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</si>
  <si>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</si>
  <si>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</si>
  <si>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</si>
  <si>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</si>
  <si>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</si>
  <si>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</si>
  <si>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</si>
  <si>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</si>
  <si>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</si>
  <si>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</si>
  <si>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</si>
  <si>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</si>
  <si>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</si>
  <si>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</si>
  <si>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</si>
  <si>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</si>
  <si>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</si>
  <si>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</si>
  <si>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</si>
  <si>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</si>
  <si>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</si>
  <si>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</si>
  <si>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</si>
  <si>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</si>
  <si>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</si>
  <si>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</si>
  <si>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</si>
  <si>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</si>
  <si>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</si>
  <si>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</si>
  <si>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</si>
  <si>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</si>
  <si>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</si>
  <si>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</si>
  <si>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</si>
  <si>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</si>
  <si>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</si>
  <si>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</si>
  <si>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</si>
  <si>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</si>
  <si>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</si>
  <si>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</si>
  <si>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</si>
  <si>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</si>
  <si>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</si>
  <si>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</si>
  <si>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</si>
  <si>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</si>
  <si>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</si>
  <si>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</si>
  <si>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</si>
  <si>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</si>
  <si>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</si>
  <si>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</si>
  <si>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</si>
  <si>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</si>
  <si>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</si>
  <si>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</si>
  <si>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</si>
  <si>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</si>
  <si>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</si>
  <si>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</si>
  <si>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</si>
  <si>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</si>
  <si>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</si>
  <si>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</si>
  <si>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</si>
  <si>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</si>
  <si>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</si>
  <si>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</si>
  <si>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</si>
  <si>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</si>
  <si>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</si>
  <si>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</si>
  <si>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</si>
  <si>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</si>
  <si>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</si>
  <si>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</si>
  <si>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</si>
  <si>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</si>
  <si>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</si>
  <si>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</si>
  <si>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</si>
  <si>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</si>
  <si>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</si>
  <si>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</si>
  <si>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</si>
  <si>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</si>
  <si>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</si>
  <si>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</si>
  <si>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</si>
  <si>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</si>
  <si>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</si>
  <si>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</si>
  <si>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</si>
  <si>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</si>
  <si>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</si>
  <si>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</si>
  <si>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</si>
  <si>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</si>
  <si>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</si>
  <si>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</si>
  <si>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</si>
  <si>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</si>
  <si>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</si>
  <si>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</si>
  <si>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</si>
  <si>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</si>
  <si>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</si>
  <si>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</si>
  <si>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</si>
  <si>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</si>
  <si>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</si>
  <si>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</si>
  <si>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</si>
  <si>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</si>
  <si>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</si>
  <si>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</si>
  <si>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</si>
  <si>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</si>
  <si>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</si>
  <si>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</si>
  <si>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</si>
  <si>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</si>
  <si>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</si>
  <si>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</si>
  <si>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</si>
  <si>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</si>
  <si>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</si>
  <si>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</si>
  <si>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</si>
  <si>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</si>
  <si>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</si>
  <si>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</si>
  <si>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</si>
  <si>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</si>
  <si>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</si>
  <si>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</si>
  <si>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</si>
  <si>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</si>
  <si>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</si>
  <si>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</si>
  <si>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</si>
  <si>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</si>
  <si>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</si>
  <si>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</si>
  <si>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</si>
  <si>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</si>
  <si>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</si>
  <si>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</si>
  <si>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</si>
  <si>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</si>
  <si>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</si>
  <si>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</si>
  <si>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</si>
  <si>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</si>
  <si>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</si>
  <si>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</si>
  <si>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</si>
  <si>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</si>
  <si>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</si>
  <si>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</si>
  <si>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</si>
  <si>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</si>
  <si>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</si>
  <si>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</si>
  <si>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</si>
  <si>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</si>
  <si>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</si>
  <si>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</si>
  <si>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</si>
  <si>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</si>
  <si>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</si>
  <si>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</si>
  <si>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</si>
  <si>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</si>
  <si>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</si>
  <si>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</si>
  <si>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</si>
  <si>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</si>
  <si>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</si>
  <si>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</si>
  <si>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</si>
  <si>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</si>
  <si>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</si>
  <si>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</si>
  <si>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</si>
  <si>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</si>
  <si>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</si>
  <si>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</si>
  <si>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</si>
  <si>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</si>
  <si>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</si>
  <si>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</si>
  <si>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</si>
  <si>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</si>
  <si>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</si>
  <si>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</si>
  <si>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</si>
  <si>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</si>
  <si>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</si>
  <si>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</si>
  <si>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</si>
  <si>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</si>
  <si>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</si>
  <si>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</si>
  <si>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</si>
  <si>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</si>
  <si>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</si>
  <si>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</si>
  <si>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</si>
  <si>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</si>
  <si>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</si>
  <si>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</si>
  <si>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</si>
  <si>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</si>
  <si>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</si>
  <si>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</si>
  <si>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</si>
  <si>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</si>
  <si>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</si>
  <si>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</si>
  <si>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</si>
  <si>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</si>
  <si>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</si>
  <si>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</si>
  <si>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</si>
  <si>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</si>
  <si>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</si>
  <si>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</si>
  <si>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</si>
  <si>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</si>
  <si>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</si>
  <si>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</si>
  <si>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</si>
  <si>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</si>
  <si>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</si>
  <si>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</si>
  <si>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</si>
  <si>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</si>
  <si>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</si>
  <si>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</si>
  <si>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</si>
  <si>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</si>
  <si>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</si>
  <si>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</si>
  <si>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</si>
  <si>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</si>
  <si>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</si>
  <si>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</si>
  <si>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</si>
  <si>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</si>
  <si>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</si>
  <si>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</si>
  <si>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</si>
  <si>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</si>
  <si>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</si>
  <si>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</si>
  <si>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</si>
  <si>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</si>
  <si>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</si>
  <si>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</si>
  <si>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</si>
  <si>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</si>
  <si>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</si>
  <si>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</si>
  <si>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</si>
  <si>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</si>
  <si>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</si>
  <si>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</si>
  <si>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</si>
  <si>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</si>
  <si>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</si>
  <si>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</si>
  <si>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</si>
  <si>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</si>
  <si>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</si>
  <si>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</si>
  <si>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</si>
  <si>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</si>
  <si>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</si>
  <si>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</si>
  <si>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</si>
  <si>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</si>
  <si>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</si>
  <si>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</si>
  <si>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</si>
  <si>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</si>
  <si>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</si>
  <si>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</si>
  <si>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</si>
  <si>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</si>
  <si>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</si>
  <si>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</si>
  <si>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</si>
  <si>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</si>
  <si>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</si>
  <si>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</si>
  <si>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</si>
  <si>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</si>
  <si>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</si>
  <si>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</si>
  <si>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</si>
  <si>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</si>
  <si>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</si>
  <si>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</si>
  <si>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</si>
  <si>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</si>
  <si>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</si>
  <si>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</si>
  <si>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</si>
  <si>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</si>
  <si>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</si>
  <si>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</si>
  <si>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</si>
  <si>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</si>
  <si>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</si>
  <si>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</si>
  <si>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</si>
  <si>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</si>
  <si>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</si>
  <si>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</si>
  <si>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</si>
  <si>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</si>
  <si>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</si>
  <si>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</si>
  <si>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</si>
  <si>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</si>
  <si>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</si>
  <si>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</si>
  <si>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</si>
  <si>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</si>
  <si>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</si>
  <si>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</si>
  <si>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</si>
  <si>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</si>
  <si>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</si>
  <si>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</si>
  <si>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</si>
  <si>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</si>
  <si>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</si>
  <si>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</si>
  <si>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</si>
  <si>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</si>
  <si>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</si>
  <si>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</si>
  <si>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</si>
  <si>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</si>
  <si>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</si>
  <si>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</si>
  <si>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</si>
  <si>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</si>
  <si>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</si>
  <si>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</si>
  <si>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</si>
  <si>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</si>
  <si>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</si>
  <si>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</si>
  <si>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</si>
  <si>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</si>
  <si>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</si>
  <si>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</si>
  <si>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</si>
  <si>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</si>
  <si>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</si>
  <si>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</si>
  <si>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</si>
  <si>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</si>
  <si>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</si>
  <si>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</si>
  <si>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</si>
  <si>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</si>
  <si>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</si>
  <si>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</si>
  <si>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</si>
  <si>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</si>
  <si>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</si>
  <si>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</si>
  <si>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</si>
  <si>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</si>
  <si>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</si>
  <si>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</si>
  <si>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</si>
  <si>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</si>
  <si>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</si>
  <si>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</si>
  <si>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</si>
  <si>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</si>
  <si>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</si>
  <si>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</si>
  <si>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</si>
  <si>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</si>
  <si>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</si>
  <si>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</si>
  <si>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</si>
  <si>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</si>
  <si>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</si>
  <si>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</si>
  <si>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</si>
  <si>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</si>
  <si>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</si>
  <si>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</si>
  <si>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</si>
  <si>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</si>
  <si>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</si>
  <si>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</si>
  <si>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</si>
  <si>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</si>
  <si>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</si>
  <si>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</si>
  <si>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</si>
  <si>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</si>
  <si>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</si>
  <si>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</si>
  <si>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</si>
  <si>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</si>
  <si>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</si>
  <si>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</si>
  <si>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</si>
  <si>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</si>
  <si>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</si>
  <si>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</si>
  <si>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</si>
  <si>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</si>
  <si>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</si>
  <si>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</si>
  <si>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</si>
  <si>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</si>
  <si>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</si>
  <si>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</si>
  <si>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</si>
  <si>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</si>
  <si>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</si>
  <si>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</si>
  <si>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</si>
  <si>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</si>
  <si>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</si>
  <si>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</si>
  <si>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</si>
  <si>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</si>
  <si>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</si>
  <si>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</si>
  <si>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</si>
  <si>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</si>
  <si>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</si>
  <si>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</si>
  <si>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</si>
  <si>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</si>
  <si>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</si>
  <si>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</si>
  <si>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</si>
  <si>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</si>
  <si>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</si>
  <si>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</si>
  <si>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</si>
  <si>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</si>
  <si>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</si>
  <si>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</si>
  <si>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</si>
  <si>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</si>
  <si>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</si>
  <si>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</si>
  <si>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</si>
  <si>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</si>
  <si>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</si>
  <si>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</si>
  <si>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</si>
  <si>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</si>
  <si>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</si>
  <si>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</si>
  <si>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</si>
  <si>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</si>
  <si>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</si>
  <si>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</si>
  <si>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</si>
  <si>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</si>
  <si>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</si>
  <si>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</si>
  <si>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</si>
  <si>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</si>
  <si>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</si>
  <si>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</si>
  <si>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</si>
  <si>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</si>
  <si>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</si>
  <si>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</si>
  <si>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</si>
  <si>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</si>
  <si>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</si>
  <si>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</si>
  <si>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</si>
  <si>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</si>
  <si>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</si>
  <si>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</si>
  <si>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</si>
  <si>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</si>
  <si>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</si>
  <si>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</si>
  <si>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</si>
  <si>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</si>
  <si>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</si>
  <si>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</si>
  <si>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</si>
  <si>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</si>
  <si>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</si>
  <si>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</si>
  <si>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</si>
  <si>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</si>
  <si>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</si>
  <si>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</si>
  <si>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</si>
  <si>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</si>
  <si>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</si>
  <si>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</si>
  <si>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</si>
  <si>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</si>
  <si>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</si>
  <si>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</si>
  <si>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</si>
  <si>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</si>
  <si>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</si>
  <si>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</si>
  <si>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</si>
  <si>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</si>
  <si>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</si>
  <si>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</si>
  <si>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</si>
  <si>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</si>
  <si>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</si>
  <si>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</si>
  <si>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</si>
  <si>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</si>
  <si>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</si>
  <si>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</si>
  <si>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</si>
  <si>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</si>
  <si>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</si>
  <si>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</si>
  <si>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</si>
  <si>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</si>
  <si>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</si>
  <si>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</si>
  <si>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</si>
  <si>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</si>
  <si>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</si>
  <si>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</si>
  <si>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</si>
  <si>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</si>
  <si>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</si>
  <si>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</si>
  <si>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</si>
  <si>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</si>
  <si>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</si>
  <si>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</si>
  <si>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</si>
  <si>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</si>
  <si>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</si>
  <si>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</si>
  <si>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</si>
  <si>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</si>
  <si>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</si>
  <si>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</si>
  <si>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</si>
  <si>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</si>
  <si>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</si>
  <si>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</si>
  <si>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</si>
  <si>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</si>
  <si>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</si>
  <si>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</si>
  <si>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</si>
  <si>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</si>
  <si>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</si>
  <si>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</si>
  <si>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</si>
  <si>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</si>
  <si>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</si>
  <si>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</si>
  <si>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</si>
  <si>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</si>
  <si>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</si>
  <si>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</si>
  <si>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</si>
  <si>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</si>
  <si>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</si>
  <si>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</si>
  <si>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</si>
  <si>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</si>
  <si>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</si>
  <si>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</si>
  <si>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</si>
  <si>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</si>
  <si>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</si>
  <si>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</si>
  <si>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</si>
  <si>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</si>
  <si>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</si>
  <si>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</si>
  <si>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</si>
  <si>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</si>
  <si>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</si>
  <si>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</si>
  <si>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</si>
  <si>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</si>
  <si>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</si>
  <si>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</si>
  <si>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</si>
  <si>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</si>
  <si>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</si>
  <si>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</si>
  <si>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</si>
  <si>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</si>
  <si>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</si>
  <si>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</si>
  <si>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</si>
  <si>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</si>
  <si>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</si>
  <si>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</si>
  <si>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</si>
  <si>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</si>
  <si>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</si>
  <si>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</si>
  <si>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</si>
  <si>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</si>
  <si>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</si>
  <si>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</si>
  <si>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</si>
  <si>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</si>
  <si>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</si>
  <si>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</si>
  <si>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</si>
  <si>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</si>
  <si>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</si>
  <si>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</si>
  <si>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</si>
  <si>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</si>
  <si>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</si>
  <si>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</si>
  <si>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</si>
  <si>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</si>
  <si>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</si>
  <si>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</si>
  <si>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</si>
  <si>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</si>
  <si>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</si>
  <si>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</si>
  <si>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</si>
  <si>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</si>
  <si>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</si>
  <si>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</si>
  <si>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</si>
  <si>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</si>
  <si>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</si>
  <si>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</si>
  <si>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</si>
  <si>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</si>
  <si>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</si>
  <si>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</si>
  <si>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</si>
  <si>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</si>
  <si>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</si>
  <si>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</si>
  <si>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</si>
  <si>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</si>
  <si>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</si>
  <si>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</si>
  <si>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</si>
  <si>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</si>
  <si>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</si>
  <si>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</si>
  <si>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</si>
  <si>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</si>
  <si>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</si>
  <si>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</si>
  <si>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</si>
  <si>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</si>
  <si>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</si>
  <si>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</si>
  <si>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</si>
  <si>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</si>
  <si>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</si>
  <si>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</si>
  <si>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</si>
  <si>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</si>
  <si>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</si>
  <si>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</si>
  <si>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</si>
  <si>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</si>
  <si>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</si>
  <si>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</si>
  <si>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</si>
  <si>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</si>
  <si>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</si>
  <si>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</si>
  <si>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</si>
  <si>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</si>
  <si>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</si>
  <si>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</si>
  <si>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</si>
  <si>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</si>
  <si>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</si>
  <si>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</si>
  <si>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</si>
  <si>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</si>
  <si>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</si>
  <si>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</si>
  <si>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</si>
  <si>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</si>
  <si>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</si>
  <si>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</si>
  <si>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</si>
  <si>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</si>
  <si>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</si>
  <si>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</si>
  <si>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</si>
  <si>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</si>
  <si>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</si>
  <si>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</si>
  <si>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</si>
  <si>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</si>
  <si>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</si>
  <si>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</si>
  <si>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</si>
  <si>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</si>
  <si>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</si>
  <si>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</si>
  <si>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</si>
  <si>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</si>
  <si>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</si>
  <si>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</si>
  <si>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</si>
  <si>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</si>
  <si>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</si>
  <si>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</si>
  <si>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</si>
  <si>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</si>
  <si>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</si>
  <si>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</si>
  <si>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</si>
  <si>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</si>
  <si>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</si>
  <si>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</si>
  <si>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</si>
  <si>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</si>
  <si>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</si>
  <si>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</si>
  <si>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</si>
  <si>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</si>
  <si>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</si>
  <si>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</si>
  <si>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</si>
  <si>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</si>
  <si>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</si>
  <si>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</si>
  <si>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</si>
  <si>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</si>
  <si>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</si>
  <si>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</si>
  <si>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</si>
  <si>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</si>
  <si>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</si>
  <si>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</si>
  <si>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</si>
  <si>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</si>
  <si>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</si>
  <si>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</si>
  <si>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</si>
  <si>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</si>
  <si>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</si>
  <si>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</si>
  <si>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</si>
  <si>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</si>
  <si>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</si>
  <si>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</si>
  <si>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</si>
  <si>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</si>
  <si>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</si>
  <si>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</si>
  <si>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</si>
  <si>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</si>
  <si>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</si>
  <si>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</si>
  <si>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</si>
  <si>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</si>
  <si>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</si>
  <si>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</si>
  <si>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</si>
  <si>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</si>
  <si>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</si>
  <si>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</si>
  <si>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</si>
  <si>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</si>
  <si>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</si>
  <si>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</si>
  <si>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</si>
  <si>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</si>
  <si>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</si>
  <si>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</si>
  <si>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</si>
  <si>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</si>
  <si>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</si>
  <si>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</si>
  <si>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</si>
  <si>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</si>
  <si>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</si>
  <si>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</si>
  <si>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</si>
  <si>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</si>
  <si>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</si>
  <si>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</si>
  <si>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</si>
  <si>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</si>
  <si>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</si>
  <si>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</si>
  <si>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</si>
  <si>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</si>
  <si>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</si>
  <si>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</si>
  <si>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</si>
  <si>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</si>
  <si>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</si>
  <si>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</si>
  <si>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</si>
  <si>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</si>
  <si>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</si>
  <si>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</si>
  <si>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</si>
  <si>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</si>
  <si>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</si>
  <si>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</si>
  <si>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</si>
  <si>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</si>
  <si>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</si>
  <si>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</si>
  <si>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</si>
  <si>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</si>
  <si>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</si>
  <si>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</si>
  <si>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</si>
  <si>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</si>
  <si>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</si>
  <si>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</si>
  <si>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</si>
  <si>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</si>
  <si>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</si>
  <si>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</si>
  <si>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</si>
  <si>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</si>
  <si>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</si>
  <si>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</si>
  <si>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</si>
  <si>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</si>
  <si>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</si>
  <si>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</si>
  <si>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</si>
  <si>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</si>
  <si>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</si>
  <si>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</si>
  <si>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</si>
  <si>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</si>
  <si>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</si>
  <si>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</si>
  <si>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</si>
  <si>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</si>
  <si>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</si>
  <si>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</si>
  <si>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</si>
  <si>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</si>
  <si>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</si>
  <si>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</si>
  <si>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</si>
  <si>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</si>
  <si>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</si>
  <si>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</si>
  <si>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</si>
  <si>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</si>
  <si>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</si>
  <si>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</si>
  <si>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</si>
  <si>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</si>
  <si>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</si>
  <si>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</si>
  <si>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</si>
  <si>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</si>
  <si>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</si>
  <si>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</si>
  <si>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</si>
  <si>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</si>
  <si>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</si>
  <si>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</si>
  <si>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</si>
  <si>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</si>
  <si>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</si>
  <si>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</si>
  <si>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</si>
  <si>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</si>
  <si>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</si>
  <si>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</si>
  <si>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</si>
  <si>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</si>
  <si>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</si>
  <si>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</si>
  <si>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</si>
  <si>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</si>
  <si>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</si>
  <si>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</si>
  <si>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</si>
  <si>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</si>
  <si>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</si>
  <si>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</si>
  <si>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</si>
  <si>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</si>
  <si>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</si>
  <si>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</si>
  <si>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</si>
  <si>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</si>
  <si>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</si>
  <si>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</si>
  <si>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</si>
  <si>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</si>
  <si>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</si>
  <si>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</si>
  <si>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</si>
  <si>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</si>
  <si>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</si>
  <si>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</si>
  <si>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</si>
  <si>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</si>
  <si>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</si>
  <si>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</si>
  <si>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</si>
  <si>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</si>
  <si>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</si>
  <si>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</si>
  <si>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</si>
  <si>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</si>
  <si>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</si>
  <si>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</si>
  <si>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</si>
  <si>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</si>
  <si>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</si>
  <si>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</si>
  <si>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</si>
  <si>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</si>
  <si>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</si>
  <si>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</si>
  <si>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</si>
  <si>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</si>
  <si>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</si>
  <si>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</si>
  <si>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</si>
  <si>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</si>
  <si>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</si>
  <si>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</si>
  <si>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</si>
  <si>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</si>
  <si>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</si>
  <si>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</si>
  <si>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</si>
  <si>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</si>
  <si>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</si>
  <si>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</si>
  <si>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</si>
  <si>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</si>
  <si>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</si>
  <si>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</si>
  <si>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</si>
  <si>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</si>
  <si>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</si>
  <si>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</si>
  <si>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</si>
  <si>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</si>
  <si>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</si>
  <si>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</si>
  <si>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</si>
  <si>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</si>
  <si>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</si>
  <si>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</si>
  <si>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</si>
  <si>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</si>
  <si>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</si>
  <si>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</si>
  <si>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</si>
  <si>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</si>
  <si>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</si>
  <si>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</si>
  <si>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</si>
  <si>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</si>
  <si>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</si>
  <si>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</si>
  <si>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</si>
  <si>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</si>
  <si>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</si>
  <si>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</si>
  <si>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</si>
  <si>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</si>
  <si>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</si>
  <si>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</si>
  <si>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</si>
  <si>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</si>
  <si>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</si>
  <si>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</si>
  <si>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</si>
  <si>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</si>
  <si>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</si>
  <si>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</si>
  <si>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</si>
  <si>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</si>
  <si>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</si>
  <si>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</si>
  <si>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</si>
  <si>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</si>
  <si>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</si>
  <si>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</si>
  <si>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</si>
  <si>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</si>
  <si>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</si>
  <si>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</si>
  <si>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</si>
  <si>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</si>
  <si>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</si>
  <si>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</si>
  <si>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</si>
  <si>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</si>
  <si>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</si>
  <si>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</si>
  <si>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</si>
  <si>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</si>
  <si>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</si>
  <si>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</si>
  <si>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</si>
  <si>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</si>
  <si>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</si>
  <si>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</si>
  <si>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</si>
  <si>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</si>
  <si>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</si>
  <si>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</si>
  <si>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</si>
  <si>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</si>
  <si>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</si>
  <si>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</si>
  <si>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</si>
  <si>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</si>
  <si>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</si>
  <si>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</si>
  <si>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</si>
  <si>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</si>
  <si>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</si>
  <si>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</si>
  <si>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</si>
  <si>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</si>
  <si>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</si>
  <si>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</si>
  <si>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</si>
  <si>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</si>
  <si>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</si>
  <si>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</si>
  <si>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</si>
  <si>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</si>
  <si>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</si>
  <si>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</si>
  <si>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</si>
  <si>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</si>
  <si>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</si>
  <si>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</si>
  <si>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</si>
  <si>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</si>
  <si>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</si>
  <si>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</si>
  <si>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</si>
  <si>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</si>
  <si>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</si>
  <si>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</si>
  <si>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</si>
  <si>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</si>
  <si>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</si>
  <si>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</si>
  <si>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</si>
  <si>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</si>
  <si>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</si>
  <si>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</si>
  <si>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</si>
  <si>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</si>
  <si>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</si>
  <si>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</si>
  <si>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</si>
  <si>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</si>
  <si>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</si>
  <si>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</si>
  <si>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</si>
  <si>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</si>
  <si>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</si>
  <si>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</si>
  <si>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</si>
  <si>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</si>
  <si>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</si>
  <si>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</si>
  <si>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</si>
  <si>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</si>
  <si>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</si>
  <si>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</si>
  <si>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</si>
  <si>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</si>
  <si>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</si>
  <si>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</si>
  <si>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</si>
  <si>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</si>
  <si>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</si>
  <si>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</si>
  <si>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</si>
  <si>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</si>
  <si>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</si>
  <si>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</si>
  <si>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</si>
  <si>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</si>
  <si>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</si>
  <si>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</si>
  <si>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</si>
  <si>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</si>
  <si>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</si>
  <si>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</si>
  <si>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</si>
  <si>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</si>
  <si>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</si>
  <si>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</si>
  <si>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</si>
  <si>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</si>
  <si>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</si>
  <si>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</si>
  <si>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</si>
  <si>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</si>
  <si>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</si>
  <si>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</si>
  <si>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</si>
  <si>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</si>
  <si>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</si>
  <si>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</si>
  <si>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</si>
  <si>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</si>
  <si>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</si>
  <si>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</si>
  <si>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</si>
  <si>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</si>
  <si>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</si>
  <si>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</si>
  <si>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</si>
  <si>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</si>
  <si>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</si>
  <si>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</si>
  <si>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</si>
  <si>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</si>
  <si>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</si>
  <si>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</si>
  <si>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</si>
  <si>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</si>
  <si>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</si>
  <si>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</si>
  <si>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</si>
  <si>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</si>
  <si>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</si>
  <si>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</si>
  <si>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</si>
  <si>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</si>
  <si>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</si>
  <si>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</si>
  <si>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</si>
  <si>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</si>
  <si>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</si>
  <si>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</si>
  <si>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</si>
  <si>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</si>
  <si>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</si>
  <si>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</si>
  <si>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</si>
  <si>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</si>
  <si>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</si>
  <si>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</si>
  <si>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</si>
  <si>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</si>
  <si>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</si>
  <si>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</si>
  <si>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</si>
  <si>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</si>
  <si>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</si>
  <si>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</si>
  <si>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</si>
  <si>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</si>
  <si>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</si>
  <si>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</si>
  <si>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</si>
  <si>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</si>
  <si>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</si>
  <si>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</si>
  <si>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</si>
  <si>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</si>
  <si>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</si>
  <si>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</si>
  <si>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</si>
  <si>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</si>
  <si>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</si>
  <si>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</si>
  <si>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</si>
  <si>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</si>
  <si>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</si>
  <si>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</si>
  <si>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</si>
  <si>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</si>
  <si>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</si>
  <si>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</si>
  <si>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</si>
  <si>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</si>
  <si>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</si>
  <si>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</si>
  <si>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</si>
  <si>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</si>
  <si>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</si>
  <si>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</si>
  <si>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</si>
  <si>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</si>
  <si>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</si>
  <si>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</si>
  <si>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</si>
  <si>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</si>
  <si>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</si>
  <si>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</si>
  <si>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</si>
  <si>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</si>
  <si>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</si>
  <si>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</si>
  <si>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</si>
  <si>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</si>
  <si>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</si>
  <si>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</si>
  <si>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</si>
  <si>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</si>
  <si>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</si>
  <si>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</si>
  <si>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</si>
  <si>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</si>
  <si>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</si>
  <si>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</si>
  <si>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</si>
  <si>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</si>
  <si>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</si>
  <si>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</si>
  <si>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</si>
  <si>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</si>
  <si>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</si>
  <si>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</si>
  <si>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</si>
  <si>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</si>
  <si>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</si>
  <si>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</si>
  <si>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</si>
  <si>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</si>
  <si>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</si>
  <si>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</si>
  <si>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</si>
  <si>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</si>
  <si>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</si>
  <si>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</si>
  <si>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</si>
  <si>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</si>
  <si>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</si>
  <si>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</si>
  <si>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</si>
  <si>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</si>
  <si>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</si>
  <si>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</si>
  <si>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</si>
  <si>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</si>
  <si>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</si>
  <si>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</si>
  <si>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</si>
  <si>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</si>
  <si>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</si>
  <si>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</si>
  <si>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</si>
  <si>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</si>
  <si>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</si>
  <si>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</si>
  <si>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</si>
  <si>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</si>
  <si>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</si>
  <si>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</si>
  <si>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</si>
  <si>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</si>
  <si>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</si>
  <si>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</si>
  <si>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</si>
  <si>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</si>
  <si>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</si>
  <si>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</si>
  <si>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</si>
  <si>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</si>
  <si>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</si>
  <si>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</si>
  <si>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</si>
  <si>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</si>
  <si>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</si>
  <si>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</si>
  <si>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</si>
  <si>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</si>
  <si>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</si>
  <si>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</si>
  <si>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</si>
  <si>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</si>
  <si>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</si>
  <si>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</si>
  <si>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</si>
  <si>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</si>
  <si>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</si>
  <si>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</si>
  <si>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</si>
  <si>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</si>
  <si>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</si>
  <si>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</si>
  <si>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</si>
  <si>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</si>
  <si>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</si>
  <si>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</si>
  <si>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</si>
  <si>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</si>
  <si>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</si>
  <si>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</si>
  <si>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</si>
  <si>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</si>
  <si>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</si>
  <si>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</si>
  <si>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</si>
  <si>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</si>
  <si>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</si>
  <si>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</si>
  <si>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</si>
  <si>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</si>
  <si>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</si>
  <si>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</si>
  <si>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</si>
  <si>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</si>
  <si>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</si>
  <si>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</si>
  <si>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</si>
  <si>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</si>
  <si>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</si>
  <si>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</si>
  <si>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</si>
  <si>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</si>
  <si>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</si>
  <si>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</si>
  <si>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</si>
  <si>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</si>
  <si>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</si>
  <si>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</si>
  <si>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</si>
  <si>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</si>
  <si>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</si>
  <si>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</si>
  <si>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</si>
  <si>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</si>
  <si>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</si>
  <si>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</si>
  <si>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</si>
  <si>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</si>
  <si>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</si>
  <si>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</si>
  <si>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</si>
  <si>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</si>
  <si>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</si>
  <si>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</si>
  <si>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</si>
  <si>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</si>
  <si>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</si>
  <si>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</si>
  <si>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</si>
  <si>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</si>
  <si>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</si>
  <si>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</si>
  <si>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</si>
  <si>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</si>
  <si>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</si>
  <si>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</si>
  <si>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</si>
  <si>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</si>
  <si>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</si>
  <si>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</si>
  <si>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</si>
  <si>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</si>
  <si>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</si>
  <si>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</si>
  <si>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</si>
  <si>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</si>
  <si>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</si>
  <si>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</si>
  <si>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</si>
  <si>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</si>
  <si>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</si>
  <si>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</si>
  <si>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</si>
  <si>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</si>
  <si>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</si>
  <si>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</si>
  <si>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</si>
  <si>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</si>
  <si>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</si>
  <si>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</si>
  <si>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</si>
  <si>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</si>
  <si>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</si>
  <si>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</si>
  <si>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</si>
  <si>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</si>
  <si>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</si>
  <si>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</si>
  <si>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</si>
  <si>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</si>
  <si>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</si>
  <si>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</si>
  <si>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</si>
  <si>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</si>
  <si>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</si>
  <si>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</si>
  <si>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</si>
  <si>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</si>
  <si>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</si>
  <si>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</si>
  <si>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</si>
  <si>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</si>
  <si>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</si>
  <si>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</si>
  <si>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</si>
  <si>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</si>
  <si>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</si>
  <si>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</si>
  <si>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</si>
  <si>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</si>
  <si>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</si>
  <si>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</si>
  <si>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</si>
  <si>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</si>
  <si>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</si>
  <si>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</si>
  <si>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</si>
  <si>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</si>
  <si>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</si>
  <si>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</si>
  <si>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</si>
  <si>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</si>
  <si>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</si>
  <si>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</si>
  <si>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</si>
  <si>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</si>
  <si>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</si>
  <si>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</si>
  <si>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</si>
  <si>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</si>
  <si>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</si>
  <si>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</si>
  <si>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</si>
  <si>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</si>
  <si>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</si>
  <si>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</si>
  <si>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</si>
  <si>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</si>
  <si>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</si>
  <si>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</si>
  <si>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</si>
  <si>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</si>
  <si>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</si>
  <si>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</si>
  <si>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</si>
  <si>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</si>
  <si>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</si>
  <si>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</si>
  <si>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</si>
  <si>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</si>
  <si>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</si>
  <si>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</si>
  <si>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</si>
  <si>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</si>
  <si>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</si>
  <si>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</si>
  <si>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</si>
  <si>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</si>
  <si>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</si>
  <si>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</si>
  <si>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</si>
  <si>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</si>
  <si>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</si>
  <si>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</si>
  <si>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</si>
  <si>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</si>
  <si>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</si>
  <si>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</si>
  <si>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</si>
  <si>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</si>
  <si>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</si>
  <si>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</si>
  <si>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</si>
  <si>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</si>
  <si>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</si>
  <si>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</si>
  <si>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</si>
  <si>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</si>
  <si>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</si>
  <si>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</si>
  <si>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</si>
  <si>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</si>
  <si>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</si>
  <si>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</si>
  <si>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</si>
  <si>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</si>
  <si>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</si>
  <si>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</si>
  <si>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</si>
  <si>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</si>
  <si>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</si>
  <si>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</si>
  <si>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</si>
  <si>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</si>
  <si>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</si>
  <si>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</si>
  <si>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</si>
  <si>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</si>
  <si>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</si>
  <si>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</si>
  <si>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</si>
  <si>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</si>
  <si>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</si>
  <si>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</si>
  <si>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</si>
  <si>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</si>
  <si>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</si>
  <si>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</si>
  <si>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</si>
  <si>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</si>
  <si>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</si>
  <si>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</si>
  <si>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T2S</t>
    <phoneticPr fontId="5"/>
  </si>
  <si>
    <t>Child folder - Auto generated</t>
    <phoneticPr fontId="5"/>
  </si>
  <si>
    <t>Python stuffs</t>
    <phoneticPr fontId="5"/>
  </si>
  <si>
    <t>Source</t>
    <phoneticPr fontId="5"/>
  </si>
  <si>
    <t>Execution</t>
    <phoneticPr fontId="5"/>
  </si>
  <si>
    <t>言葉練習</t>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</si>
  <si>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</si>
  <si>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</si>
  <si>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</si>
  <si>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</si>
  <si>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</si>
  <si>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</si>
  <si>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</si>
  <si>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</si>
  <si>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</si>
  <si>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あかるい</t>
  </si>
  <si>
    <t>せいかくがあかるい</t>
  </si>
  <si>
    <t>ちちおや</t>
  </si>
  <si>
    <t>PHỤ THÂN</t>
  </si>
  <si>
    <t>cha</t>
  </si>
  <si>
    <t>hồ</t>
  </si>
  <si>
    <t>めざす</t>
  </si>
  <si>
    <t>MỤC CHỈ</t>
  </si>
  <si>
    <t>はつもうで</t>
  </si>
  <si>
    <t>SƠ NGHỆ</t>
  </si>
  <si>
    <t>しょうがくきん</t>
  </si>
  <si>
    <t>học bổng</t>
  </si>
  <si>
    <t>TOÀN THỂ</t>
  </si>
  <si>
    <t>tiêu biểu, đại diện</t>
  </si>
  <si>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</si>
  <si>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</si>
  <si>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</si>
  <si>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</si>
  <si>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</si>
  <si>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vui vẻ/tươi sáng</t>
  </si>
  <si>
    <t>TÁNH CÁCH MINH</t>
  </si>
  <si>
    <t>tính cách tươi sáng</t>
  </si>
  <si>
    <t>hướng đến (mục tiêu)</t>
  </si>
  <si>
    <t>đi chùa đầu năm</t>
  </si>
  <si>
    <t>SUY TIẾN TRẠNG</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</si>
  <si>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</si>
  <si>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</si>
  <si>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</si>
  <si>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</si>
  <si>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</si>
  <si>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1. Load ggApiKey from file instead of harded code (detected in GIT)</t>
    <phoneticPr fontId="5"/>
  </si>
  <si>
    <t>sự sống</t>
  </si>
  <si>
    <t>いつも</t>
    <phoneticPr fontId="5"/>
  </si>
  <si>
    <t>mỗi lần</t>
  </si>
  <si>
    <t>初詣</t>
  </si>
  <si>
    <t>[SƠ NGHỆ]</t>
  </si>
  <si>
    <t>1. Remove set virtual environment before calling shell scripts
2. Fix blur button
3. Add path selection for Meo/Vit PC</t>
    <phoneticPr fontId="5"/>
  </si>
  <si>
    <t>だいひょうする</t>
    <phoneticPr fontId="4"/>
  </si>
  <si>
    <t>Workspaces</t>
    <phoneticPr fontId="5"/>
  </si>
  <si>
    <t>Used workspace</t>
    <phoneticPr fontId="5"/>
  </si>
  <si>
    <t>MeoPC</t>
    <phoneticPr fontId="5"/>
  </si>
  <si>
    <t>VitPC</t>
    <phoneticPr fontId="5"/>
  </si>
  <si>
    <t>C:\Users\miph272640\PycharmProjects\VocalSoft</t>
    <phoneticPr fontId="5"/>
  </si>
  <si>
    <t>Reference data</t>
    <phoneticPr fontId="5"/>
  </si>
  <si>
    <t>Selection data</t>
    <phoneticPr fontId="5"/>
  </si>
  <si>
    <t>Move button, checkbox to new pop-up form</t>
    <phoneticPr fontId="5"/>
  </si>
  <si>
    <t>C:\Users\Neko\PycharmProjects\VocalSoft</t>
    <phoneticPr fontId="5"/>
  </si>
  <si>
    <t>1. Now image is generated based on template (coded config)
2. Fix blank generated image (add timer 300ms)
3. Show application status while generating video, audio
4. Fix Master Sheet fonts
5. Auto detect and load workspace to config sheet</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</si>
</sst>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
      <sz val="11"/>
      <color theme="1"/>
      <name val="BIZ UDPMincho Medium"/>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79">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41" fillId="9" borderId="0" xfId="0" applyFont="1" applyFill="1" applyBorder="1" applyAlignment="1">
      <alignment horizontal="center" vertical="center"/>
    </xf>
    <xf numFmtId="0" fontId="42" fillId="9" borderId="0" xfId="0" applyFont="1" applyFill="1" applyBorder="1" applyAlignment="1">
      <alignment horizontal="center" vertical="center"/>
    </xf>
    <xf numFmtId="0" fontId="43" fillId="9" borderId="0" xfId="0" applyFont="1" applyFill="1" applyBorder="1" applyAlignment="1">
      <alignment horizontal="center" vertical="center"/>
    </xf>
    <xf numFmtId="0" fontId="44" fillId="9" borderId="0" xfId="0" applyFont="1" applyFill="1" applyBorder="1" applyAlignment="1">
      <alignment horizontal="center" vertical="center"/>
    </xf>
    <xf numFmtId="14" fontId="0" fillId="0" borderId="11" xfId="0" applyNumberFormat="1" applyBorder="1">
      <alignment vertical="center"/>
    </xf>
    <xf numFmtId="0" fontId="0" fillId="12" borderId="0" xfId="0" applyFill="1">
      <alignment vertical="center"/>
    </xf>
    <xf numFmtId="0" fontId="45" fillId="0" borderId="1" xfId="0" applyFont="1" applyFill="1" applyBorder="1">
      <alignment vertical="center"/>
    </xf>
    <xf numFmtId="0" fontId="45" fillId="0" borderId="1" xfId="0" applyFont="1" applyBorder="1">
      <alignment vertical="center"/>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xf numFmtId="0" fontId="0" fillId="0" borderId="11" xfId="0" applyBorder="1" applyAlignment="1">
      <alignment vertical="center" wrapText="1"/>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opLeftCell="A4" zoomScale="115" zoomScaleNormal="115" workbookViewId="0">
      <selection activeCell="D23" sqref="D23"/>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8964</v>
      </c>
    </row>
    <row r="2" spans="1:5">
      <c r="B2" t="s">
        <v>8884</v>
      </c>
      <c r="C2" s="25" t="s">
        <v>8966</v>
      </c>
    </row>
    <row r="3" spans="1:5">
      <c r="B3" t="s">
        <v>8885</v>
      </c>
      <c r="C3" s="26" t="s">
        <v>8965</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71" t="s">
        <v>8949</v>
      </c>
      <c r="C8" s="71" t="s">
        <v>8987</v>
      </c>
      <c r="D8" s="31" t="s">
        <v>8962</v>
      </c>
      <c r="E8" s="31" t="s">
        <v>8963</v>
      </c>
    </row>
    <row r="9" spans="1:5">
      <c r="A9" s="9">
        <v>2</v>
      </c>
      <c r="B9" s="72" t="s">
        <v>8982</v>
      </c>
      <c r="C9" s="72"/>
      <c r="D9" s="31"/>
      <c r="E9" s="31" t="s">
        <v>8983</v>
      </c>
    </row>
    <row r="10" spans="1:5">
      <c r="A10" s="9">
        <v>3</v>
      </c>
      <c r="B10" s="71" t="s">
        <v>8948</v>
      </c>
      <c r="C10" s="72" t="s">
        <v>8960</v>
      </c>
      <c r="D10" s="31" t="s">
        <v>8974</v>
      </c>
      <c r="E10" s="31" t="s">
        <v>8961</v>
      </c>
    </row>
    <row r="11" spans="1:5">
      <c r="A11" s="9">
        <v>4</v>
      </c>
      <c r="B11" s="72" t="s">
        <v>8941</v>
      </c>
      <c r="C11" s="72" t="s">
        <v>8950</v>
      </c>
      <c r="D11" s="31" t="s">
        <v>4688</v>
      </c>
      <c r="E11" s="31" t="s">
        <v>8969</v>
      </c>
    </row>
    <row r="12" spans="1:5">
      <c r="A12" s="9">
        <v>5</v>
      </c>
      <c r="B12" s="72" t="s">
        <v>8942</v>
      </c>
      <c r="C12" s="72" t="s">
        <v>8951</v>
      </c>
      <c r="D12" s="31" t="s">
        <v>8970</v>
      </c>
      <c r="E12" s="31" t="s">
        <v>8971</v>
      </c>
    </row>
    <row r="13" spans="1:5">
      <c r="A13" s="9">
        <v>6</v>
      </c>
      <c r="B13" s="72" t="s">
        <v>8943</v>
      </c>
      <c r="C13" s="72" t="s">
        <v>8952</v>
      </c>
      <c r="D13" s="31" t="s">
        <v>8953</v>
      </c>
      <c r="E13" s="31" t="s">
        <v>8954</v>
      </c>
    </row>
    <row r="14" spans="1:5">
      <c r="A14" s="9">
        <v>7</v>
      </c>
      <c r="B14" s="72" t="s">
        <v>8944</v>
      </c>
      <c r="C14" s="72" t="s">
        <v>3146</v>
      </c>
      <c r="D14" s="31" t="s">
        <v>3145</v>
      </c>
      <c r="E14" s="31" t="s">
        <v>8955</v>
      </c>
    </row>
    <row r="15" spans="1:5">
      <c r="A15" s="9">
        <v>8</v>
      </c>
      <c r="B15" s="72" t="s">
        <v>8945</v>
      </c>
      <c r="C15" s="72" t="s">
        <v>8956</v>
      </c>
      <c r="D15" s="31" t="s">
        <v>8957</v>
      </c>
      <c r="E15" s="31" t="s">
        <v>8972</v>
      </c>
    </row>
    <row r="16" spans="1:5">
      <c r="A16" s="9">
        <v>9</v>
      </c>
      <c r="B16" s="72" t="s">
        <v>8946</v>
      </c>
      <c r="C16" s="72" t="s">
        <v>4638</v>
      </c>
      <c r="D16" s="31" t="s">
        <v>4636</v>
      </c>
      <c r="E16" s="31" t="s">
        <v>8981</v>
      </c>
    </row>
    <row r="17" spans="1:5">
      <c r="A17" s="9">
        <v>10</v>
      </c>
      <c r="B17" s="72" t="s">
        <v>8947</v>
      </c>
      <c r="C17" s="72" t="s">
        <v>8958</v>
      </c>
      <c r="D17" s="31" t="s">
        <v>8959</v>
      </c>
      <c r="E17" s="31" t="s">
        <v>8973</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8"/>
  <sheetViews>
    <sheetView tabSelected="1" topLeftCell="B11" workbookViewId="0">
      <selection activeCell="D15" sqref="D15"/>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8929</v>
      </c>
      <c r="E14" s="9" t="s">
        <v>8930</v>
      </c>
    </row>
    <row r="15" spans="2:5" ht="93.75">
      <c r="B15" s="19">
        <v>44628</v>
      </c>
      <c r="C15" s="9">
        <v>1</v>
      </c>
      <c r="D15" s="20" t="s">
        <v>8975</v>
      </c>
      <c r="E15" s="20" t="s">
        <v>8976</v>
      </c>
    </row>
    <row r="16" spans="2:5">
      <c r="B16" s="63">
        <v>44648</v>
      </c>
      <c r="C16" s="12">
        <v>1.1000000000000001</v>
      </c>
      <c r="D16" s="64" t="s">
        <v>8980</v>
      </c>
      <c r="E16" s="9" t="s">
        <v>8894</v>
      </c>
    </row>
    <row r="17" spans="2:5" ht="56.25">
      <c r="B17" s="69">
        <v>44652</v>
      </c>
      <c r="C17" s="9">
        <v>1.2</v>
      </c>
      <c r="D17" s="20" t="s">
        <v>8986</v>
      </c>
      <c r="E17" s="9" t="s">
        <v>8894</v>
      </c>
    </row>
    <row r="18" spans="2:5" ht="93.75">
      <c r="B18" s="69">
        <v>44670</v>
      </c>
      <c r="C18" s="12">
        <v>1.3</v>
      </c>
      <c r="D18" s="78" t="s">
        <v>8997</v>
      </c>
      <c r="E18" s="12" t="s">
        <v>8995</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8928</v>
      </c>
    </row>
    <row r="2" spans="1:15">
      <c r="B2" t="s">
        <v>8922</v>
      </c>
      <c r="D2" s="60" t="str">
        <f>CONCATENATE(D23,"\Output\SSML")</f>
        <v>C:\Users\miph272640\PycharmProjects\VocalSoft\Output\SSML</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8993</v>
      </c>
    </row>
    <row r="4" spans="1:15">
      <c r="C4" t="s">
        <v>8924</v>
      </c>
      <c r="D4" s="61" t="str">
        <f>CONCATENATE($D$2,"\_out")</f>
        <v>C:\Users\miph272640\PycharmProjects\VocalSoft\Output\SSML\_out</v>
      </c>
      <c r="E4" s="61"/>
      <c r="F4" s="61"/>
      <c r="G4" s="61"/>
      <c r="H4" s="61"/>
      <c r="I4" s="61"/>
      <c r="J4" s="61"/>
      <c r="K4" s="61"/>
      <c r="N4" s="61"/>
      <c r="O4" t="s">
        <v>8936</v>
      </c>
    </row>
    <row r="5" spans="1:15">
      <c r="B5" t="s">
        <v>8925</v>
      </c>
      <c r="D5" s="60" t="str">
        <f>CONCATENATE(D23,"\Output\Audio")</f>
        <v>C:\Users\miph272640\PycharmProjects\VocalSoft\Output\Audio</v>
      </c>
      <c r="E5" s="60"/>
      <c r="F5" s="60"/>
      <c r="G5" s="60"/>
      <c r="H5" s="60"/>
      <c r="I5" s="60"/>
      <c r="J5" s="60"/>
      <c r="K5" s="60"/>
      <c r="N5" s="70"/>
      <c r="O5" t="s">
        <v>8994</v>
      </c>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tr">
        <f>CONCATENATE(D23,"\Output\Image")</f>
        <v>C:\Users\miph272640\PycharmProjects\VocalSoft\Output\Image</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tr">
        <f>CONCATENATE(D23,"\Output\Video")</f>
        <v>C:\Users\miph272640\PycharmProjects\VocalSoft\Output\Video</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8937</v>
      </c>
    </row>
    <row r="15" spans="1:15">
      <c r="A15" s="8"/>
      <c r="B15" t="s">
        <v>8939</v>
      </c>
      <c r="D15" t="str">
        <f>CONCATENATE(D23,"\venv\Scripts\python.exe")</f>
        <v>C:\Users\miph272640\PycharmProjects\VocalSoft\venv\Scripts\python.exe</v>
      </c>
    </row>
    <row r="16" spans="1:15">
      <c r="B16" t="s">
        <v>8938</v>
      </c>
      <c r="D16" s="60" t="str">
        <f>CONCATENATE(D23,"\Src")</f>
        <v>C:\Users\miph272640\PycharmProjects\VocalSoft\Src</v>
      </c>
      <c r="E16" s="60"/>
      <c r="F16" s="60"/>
      <c r="G16" s="60"/>
      <c r="H16" s="60"/>
      <c r="I16" s="60"/>
      <c r="J16" s="60"/>
      <c r="K16" s="60"/>
    </row>
    <row r="17" spans="1:11">
      <c r="C17" t="s">
        <v>8935</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8977</v>
      </c>
    </row>
    <row r="20" spans="1:11">
      <c r="B20" t="s">
        <v>8978</v>
      </c>
      <c r="D20" s="60" t="str">
        <f>CONCATENATE(D23,"\Macro")</f>
        <v>C:\Users\miph272640\PycharmProjects\VocalSoft\Macro</v>
      </c>
      <c r="E20" s="60"/>
      <c r="F20" s="60"/>
      <c r="G20" s="60"/>
      <c r="H20" s="60"/>
      <c r="I20" s="60"/>
      <c r="J20" s="60"/>
      <c r="K20" s="60"/>
    </row>
    <row r="21" spans="1:11">
      <c r="C21" t="s">
        <v>8979</v>
      </c>
      <c r="D21" s="61" t="str">
        <f>CONCATENATE(D20,"\GGTranslate_apiKey.txt")</f>
        <v>C:\Users\miph272640\PycharmProjects\VocalSoft\Macro\GGTranslate_apiKey.txt</v>
      </c>
      <c r="E21" s="61"/>
      <c r="F21" s="61"/>
      <c r="G21" s="61"/>
      <c r="H21" s="61"/>
      <c r="I21" s="61"/>
      <c r="J21" s="61"/>
      <c r="K21" s="61"/>
    </row>
    <row r="22" spans="1:11">
      <c r="A22" s="8" t="s">
        <v>8988</v>
      </c>
    </row>
    <row r="23" spans="1:11">
      <c r="B23" t="s">
        <v>8989</v>
      </c>
      <c r="D23" s="61" t="s">
        <v>8992</v>
      </c>
      <c r="E23" s="61"/>
      <c r="F23" s="61"/>
      <c r="G23" s="61"/>
      <c r="H23" s="61"/>
      <c r="I23" s="61"/>
      <c r="J23" s="61"/>
      <c r="K23" s="61"/>
    </row>
    <row r="24" spans="1:11">
      <c r="C24" t="s">
        <v>8990</v>
      </c>
      <c r="D24" s="70" t="s">
        <v>8992</v>
      </c>
      <c r="E24" s="70"/>
      <c r="F24" s="70"/>
      <c r="G24" s="70"/>
      <c r="H24" s="70"/>
      <c r="I24" s="70"/>
      <c r="J24" s="70"/>
      <c r="K24" s="70"/>
    </row>
    <row r="25" spans="1:11">
      <c r="C25" t="s">
        <v>8991</v>
      </c>
      <c r="D25" s="70" t="s">
        <v>8996</v>
      </c>
      <c r="E25" s="70"/>
      <c r="F25" s="70"/>
      <c r="G25" s="70"/>
      <c r="H25" s="70"/>
      <c r="I25" s="70"/>
      <c r="J25" s="70"/>
      <c r="K25" s="70"/>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いつも</v>
      </c>
      <c r="B3" s="17" t="str">
        <f t="shared" ref="B3:B66" si="0">TRIM(CONCATENATE($C3," ",$D3," ",$E3," ",$F3," ",$G3," ",$H3," ",$I3," ",$J3," ",$K3))</f>
        <v/>
      </c>
      <c r="C3" s="16" t="str">
        <f>IF(ISNA(VLOOKUP(MID($A3,1,1),Kanji_2_HanViet!$A:$C,2,FALSE)),"",VLOOKUP(MID($A3,1,1),Kanji_2_HanViet!$A:$C,2,FALSE))</f>
        <v/>
      </c>
      <c r="D3" s="16" t="str">
        <f>IF(ISNA(VLOOKUP(MID($A3,2,1),Kanji_2_HanViet!$A:$C,2,FALSE)),"",VLOOKUP(MID($A3,2,1),Kanji_2_HanViet!$A:$C,2,FALSE))</f>
        <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76" t="s">
        <v>8913</v>
      </c>
      <c r="E2" s="76"/>
      <c r="F2" s="76"/>
      <c r="G2" s="76"/>
      <c r="H2" s="76"/>
      <c r="I2" s="76"/>
      <c r="J2" s="76"/>
      <c r="K2" s="27"/>
      <c r="L2" s="27">
        <v>26</v>
      </c>
    </row>
    <row r="3" spans="1:12" s="30" customFormat="1" ht="42">
      <c r="A3" s="29"/>
      <c r="B3" s="29"/>
      <c r="C3" s="29"/>
      <c r="D3" s="74" t="str">
        <f>Master!B8</f>
        <v>代表する</v>
      </c>
      <c r="E3" s="74"/>
      <c r="F3" s="74"/>
      <c r="G3" s="74"/>
      <c r="H3" s="74"/>
      <c r="I3" s="74"/>
      <c r="J3" s="74"/>
      <c r="K3" s="29"/>
      <c r="L3" s="29" t="s">
        <v>8918</v>
      </c>
    </row>
    <row r="4" spans="1:12" ht="58.5">
      <c r="A4" s="27"/>
      <c r="B4" s="28"/>
      <c r="C4" s="27"/>
      <c r="D4" s="75" t="str">
        <f>"/"&amp;Master!C8&amp;"/"</f>
        <v>/だいひょうする/</v>
      </c>
      <c r="E4" s="75"/>
      <c r="F4" s="75"/>
      <c r="G4" s="75"/>
      <c r="H4" s="75"/>
      <c r="I4" s="75"/>
      <c r="J4" s="75"/>
      <c r="K4" s="27"/>
      <c r="L4" s="27" t="s">
        <v>8915</v>
      </c>
    </row>
    <row r="5" spans="1:12" ht="58.5">
      <c r="A5" s="27"/>
      <c r="B5" s="28"/>
      <c r="C5" s="27"/>
      <c r="D5" s="73" t="s">
        <v>8914</v>
      </c>
      <c r="E5" s="73"/>
      <c r="F5" s="73"/>
      <c r="G5" s="73"/>
      <c r="H5" s="73"/>
      <c r="I5" s="73"/>
      <c r="J5" s="73"/>
      <c r="K5" s="27"/>
      <c r="L5" s="27" t="s">
        <v>8916</v>
      </c>
    </row>
    <row r="6" spans="1:12" ht="58.5">
      <c r="A6" s="27"/>
      <c r="B6" s="28"/>
      <c r="C6" s="27"/>
      <c r="D6" s="73" t="s">
        <v>8912</v>
      </c>
      <c r="E6" s="73"/>
      <c r="F6" s="73"/>
      <c r="G6" s="73"/>
      <c r="H6" s="73"/>
      <c r="I6" s="73"/>
      <c r="J6" s="73"/>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I7" sqref="I7"/>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65" t="s">
        <v>8984</v>
      </c>
      <c r="J4" s="49"/>
      <c r="K4" s="49"/>
      <c r="L4" s="49"/>
      <c r="M4" s="35"/>
      <c r="N4" s="35"/>
      <c r="O4" s="56"/>
      <c r="P4" s="57"/>
    </row>
    <row r="5" spans="2:16" ht="58.5">
      <c r="B5" s="46"/>
      <c r="C5" s="32"/>
      <c r="D5" s="33"/>
      <c r="E5" s="51"/>
      <c r="F5" s="51"/>
      <c r="G5" s="51"/>
      <c r="H5" s="51"/>
      <c r="I5" s="66" t="s">
        <v>8985</v>
      </c>
      <c r="J5" s="51"/>
      <c r="K5" s="51"/>
      <c r="L5" s="51"/>
      <c r="M5" s="33"/>
      <c r="N5" s="33"/>
      <c r="O5" s="36"/>
      <c r="P5" s="44"/>
    </row>
    <row r="6" spans="2:16" ht="58.5">
      <c r="B6" s="46"/>
      <c r="C6" s="32"/>
      <c r="D6" s="33"/>
      <c r="E6" s="53"/>
      <c r="F6" s="53"/>
      <c r="G6" s="53"/>
      <c r="H6" s="53"/>
      <c r="I6" s="67" t="s">
        <v>8958</v>
      </c>
      <c r="J6" s="53"/>
      <c r="K6" s="53"/>
      <c r="L6" s="53"/>
      <c r="M6" s="33"/>
      <c r="N6" s="33"/>
      <c r="O6" s="36"/>
      <c r="P6" s="44"/>
    </row>
    <row r="7" spans="2:16" ht="58.5">
      <c r="B7" s="46"/>
      <c r="C7" s="32"/>
      <c r="D7" s="33"/>
      <c r="E7" s="53"/>
      <c r="F7" s="53"/>
      <c r="G7" s="53"/>
      <c r="H7" s="53"/>
      <c r="I7" s="68" t="s">
        <v>8973</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52" t="s">
        <v>8931</v>
      </c>
      <c r="J4" s="49"/>
      <c r="K4" s="49"/>
      <c r="L4" s="49"/>
      <c r="M4" s="35"/>
      <c r="N4" s="35"/>
      <c r="O4" s="56"/>
      <c r="P4" s="57"/>
    </row>
    <row r="5" spans="2:16" ht="58.5">
      <c r="B5" s="46"/>
      <c r="C5" s="32"/>
      <c r="D5" s="33"/>
      <c r="E5" s="51"/>
      <c r="F5" s="51"/>
      <c r="G5" s="51"/>
      <c r="H5" s="51"/>
      <c r="I5" s="50" t="s">
        <v>8932</v>
      </c>
      <c r="J5" s="51"/>
      <c r="K5" s="51"/>
      <c r="L5" s="51"/>
      <c r="M5" s="33"/>
      <c r="N5" s="33"/>
      <c r="O5" s="36"/>
      <c r="P5" s="44"/>
    </row>
    <row r="6" spans="2:16" ht="58.5">
      <c r="B6" s="46"/>
      <c r="C6" s="32"/>
      <c r="D6" s="33"/>
      <c r="E6" s="53"/>
      <c r="F6" s="53"/>
      <c r="G6" s="53"/>
      <c r="H6" s="53"/>
      <c r="I6" s="55" t="s">
        <v>8933</v>
      </c>
      <c r="J6" s="53"/>
      <c r="K6" s="53"/>
      <c r="L6" s="53"/>
      <c r="M6" s="33"/>
      <c r="N6" s="33"/>
      <c r="O6" s="36"/>
      <c r="P6" s="44"/>
    </row>
    <row r="7" spans="2:16" ht="58.5">
      <c r="B7" s="46"/>
      <c r="C7" s="32"/>
      <c r="D7" s="33"/>
      <c r="E7" s="53"/>
      <c r="F7" s="53"/>
      <c r="G7" s="53"/>
      <c r="H7" s="53"/>
      <c r="I7" s="54" t="s">
        <v>8934</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K8" sqref="K8"/>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7"/>
      <c r="F3" s="77"/>
      <c r="G3" s="77"/>
      <c r="H3" s="77"/>
      <c r="I3" s="77"/>
      <c r="J3" s="77"/>
      <c r="K3" s="77"/>
      <c r="L3" s="34"/>
      <c r="M3" s="33"/>
      <c r="N3" s="33"/>
      <c r="O3" s="36"/>
      <c r="P3" s="44"/>
    </row>
    <row r="4" spans="2:16" ht="54.75">
      <c r="B4" s="47"/>
      <c r="C4" s="35"/>
      <c r="D4" s="35"/>
      <c r="E4" s="49"/>
      <c r="F4" s="49"/>
      <c r="G4" s="49"/>
      <c r="H4" s="52"/>
      <c r="I4" s="52" t="s">
        <v>8967</v>
      </c>
      <c r="J4" s="49"/>
      <c r="K4" s="49"/>
      <c r="L4" s="49"/>
      <c r="M4" s="35"/>
      <c r="N4" s="35"/>
      <c r="O4" s="56"/>
      <c r="P4" s="57"/>
    </row>
    <row r="5" spans="2:16" ht="58.5">
      <c r="B5" s="46"/>
      <c r="C5" s="32"/>
      <c r="D5" s="33"/>
      <c r="E5" s="51"/>
      <c r="F5" s="51"/>
      <c r="G5" s="51"/>
      <c r="H5" s="51"/>
      <c r="I5" s="50" t="s">
        <v>8968</v>
      </c>
      <c r="J5" s="51"/>
      <c r="K5" s="51"/>
      <c r="L5" s="51"/>
      <c r="M5" s="33"/>
      <c r="N5" s="33"/>
      <c r="O5" s="36"/>
      <c r="P5" s="44"/>
    </row>
    <row r="6" spans="2:16" ht="58.5">
      <c r="B6" s="46"/>
      <c r="C6" s="32"/>
      <c r="D6" s="33"/>
      <c r="E6" s="53"/>
      <c r="F6" s="53"/>
      <c r="G6" s="53"/>
      <c r="H6" s="53"/>
      <c r="I6" s="58" t="s">
        <v>8965</v>
      </c>
      <c r="J6" s="53"/>
      <c r="K6" s="53"/>
      <c r="L6" s="53"/>
      <c r="M6" s="33"/>
      <c r="N6" s="33"/>
      <c r="O6" s="36"/>
      <c r="P6" s="44"/>
    </row>
    <row r="7" spans="2:16" ht="58.5">
      <c r="B7" s="46"/>
      <c r="C7" s="32"/>
      <c r="D7" s="33"/>
      <c r="E7" s="53"/>
      <c r="F7" s="53"/>
      <c r="G7" s="53"/>
      <c r="H7" s="53"/>
      <c r="I7" s="59" t="s">
        <v>8940</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2022-04-19T04:04:29Z</dcterms:modified>
</cp:coreProperties>
</file>