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3.xml" ContentType="application/vnd.openxmlformats-officedocument.drawingml.chartshap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miph272640\PycharmProjects\VocalSoft\Macro\"/>
    </mc:Choice>
  </mc:AlternateContent>
  <xr:revisionPtr revIDLastSave="0" documentId="13_ncr:1_{6AA98EDE-6968-42A3-A40F-A308AF581EBB}" xr6:coauthVersionLast="47" xr6:coauthVersionMax="47" xr10:uidLastSave="{00000000-0000-0000-0000-000000000000}"/>
  <bookViews>
    <workbookView xWindow="-120" yWindow="-120" windowWidth="29040" windowHeight="15990" xr2:uid="{0B756C8A-215E-405D-863C-7904CF4E2F2A}"/>
  </bookViews>
  <sheets>
    <sheet name="Master" sheetId="1" r:id="rId1"/>
    <sheet name="Revision" sheetId="7" r:id="rId2"/>
    <sheet name="Configs" sheetId="13" r:id="rId3"/>
    <sheet name="Test" sheetId="5" state="hidden" r:id="rId4"/>
    <sheet name="2_Hans" sheetId="2" state="hidden" r:id="rId5"/>
    <sheet name="Kanji_2_HanViet" sheetId="3" r:id="rId6"/>
    <sheet name="fileinmau" sheetId="8" state="hidden" r:id="rId7"/>
    <sheet name="IMGTempWord" sheetId="15" r:id="rId8"/>
    <sheet name="IMGTempWord_bk" sheetId="16" r:id="rId9"/>
    <sheet name="IMGTempCover" sheetId="17" r:id="rId10"/>
    <sheet name="IMGTempWord_Tram_1" sheetId="18" r:id="rId11"/>
    <sheet name="IMGTempWord_Tram_2" sheetId="19" r:id="rId1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1" i="13" l="1"/>
  <c r="D7" i="13"/>
  <c r="D6" i="13"/>
  <c r="D18" i="13"/>
  <c r="D17" i="13"/>
  <c r="D13" i="13"/>
  <c r="D12" i="13"/>
  <c r="D10" i="13" l="1"/>
  <c r="D9" i="13"/>
  <c r="D3" i="13"/>
  <c r="D4" i="13"/>
  <c r="D4" i="8"/>
  <c r="D3" i="8"/>
  <c r="B7" i="5" l="1"/>
  <c r="A245" i="2" l="1"/>
  <c r="A246" i="2"/>
  <c r="A247" i="2"/>
  <c r="A248" i="2"/>
  <c r="A249" i="2"/>
  <c r="A250" i="2"/>
  <c r="A251"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C160" i="2" s="1"/>
  <c r="A161" i="2"/>
  <c r="E161" i="2" s="1"/>
  <c r="A162" i="2"/>
  <c r="A163" i="2"/>
  <c r="A164" i="2"/>
  <c r="A165" i="2"/>
  <c r="A166" i="2"/>
  <c r="A167" i="2"/>
  <c r="A168" i="2"/>
  <c r="A169" i="2"/>
  <c r="A170" i="2"/>
  <c r="A171" i="2"/>
  <c r="A172" i="2"/>
  <c r="A173" i="2"/>
  <c r="A174" i="2"/>
  <c r="A175" i="2"/>
  <c r="A176" i="2"/>
  <c r="A177" i="2"/>
  <c r="A178" i="2"/>
  <c r="A179" i="2"/>
  <c r="C179" i="2" s="1"/>
  <c r="E179" i="2"/>
  <c r="A180" i="2"/>
  <c r="A181" i="2"/>
  <c r="A182" i="2"/>
  <c r="A183" i="2"/>
  <c r="A184" i="2"/>
  <c r="A185" i="2"/>
  <c r="A186" i="2"/>
  <c r="A187" i="2"/>
  <c r="A188" i="2"/>
  <c r="A189" i="2"/>
  <c r="A190" i="2"/>
  <c r="A191" i="2"/>
  <c r="A192" i="2"/>
  <c r="A193" i="2"/>
  <c r="C193" i="2" s="1"/>
  <c r="A194" i="2"/>
  <c r="A195" i="2"/>
  <c r="A196" i="2"/>
  <c r="A197" i="2"/>
  <c r="A198" i="2"/>
  <c r="A199" i="2"/>
  <c r="A200" i="2"/>
  <c r="A201" i="2"/>
  <c r="A202" i="2"/>
  <c r="A203" i="2"/>
  <c r="E203" i="2" s="1"/>
  <c r="A204" i="2"/>
  <c r="A205" i="2"/>
  <c r="D205" i="2" s="1"/>
  <c r="A206" i="2"/>
  <c r="A207" i="2"/>
  <c r="A208" i="2"/>
  <c r="A209" i="2"/>
  <c r="A210" i="2"/>
  <c r="A211" i="2"/>
  <c r="A212" i="2"/>
  <c r="A213" i="2"/>
  <c r="A214" i="2"/>
  <c r="D214" i="2" s="1"/>
  <c r="A215" i="2"/>
  <c r="A216" i="2"/>
  <c r="A217" i="2"/>
  <c r="A218" i="2"/>
  <c r="A219" i="2"/>
  <c r="A220" i="2"/>
  <c r="A221" i="2"/>
  <c r="C221" i="2" s="1"/>
  <c r="A222" i="2"/>
  <c r="A223" i="2"/>
  <c r="A224" i="2"/>
  <c r="A225" i="2"/>
  <c r="A226" i="2"/>
  <c r="A227" i="2"/>
  <c r="A228" i="2"/>
  <c r="A229" i="2"/>
  <c r="A230" i="2"/>
  <c r="A231" i="2"/>
  <c r="A232" i="2"/>
  <c r="A233" i="2"/>
  <c r="A234" i="2"/>
  <c r="A235" i="2"/>
  <c r="A236" i="2"/>
  <c r="A237" i="2"/>
  <c r="A238" i="2"/>
  <c r="A239" i="2"/>
  <c r="A240" i="2"/>
  <c r="A241" i="2"/>
  <c r="C241" i="2" s="1"/>
  <c r="A242" i="2"/>
  <c r="A243" i="2"/>
  <c r="A244" i="2"/>
  <c r="A3" i="2"/>
  <c r="A4" i="2"/>
  <c r="A2" i="2"/>
  <c r="C205" i="2" l="1"/>
  <c r="C164" i="2"/>
  <c r="G164" i="2"/>
  <c r="H164" i="2"/>
  <c r="I164" i="2"/>
  <c r="J164" i="2"/>
  <c r="K164" i="2"/>
  <c r="E150" i="2"/>
  <c r="G150" i="2"/>
  <c r="H150" i="2"/>
  <c r="I150" i="2"/>
  <c r="K150" i="2"/>
  <c r="J150" i="2"/>
  <c r="F134" i="2"/>
  <c r="G134" i="2"/>
  <c r="H134" i="2"/>
  <c r="I134" i="2"/>
  <c r="K134" i="2"/>
  <c r="J134" i="2"/>
  <c r="C118" i="2"/>
  <c r="G118" i="2"/>
  <c r="H118" i="2"/>
  <c r="I118" i="2"/>
  <c r="K118" i="2"/>
  <c r="J118" i="2"/>
  <c r="F102" i="2"/>
  <c r="G102" i="2"/>
  <c r="H102" i="2"/>
  <c r="I102" i="2"/>
  <c r="K102" i="2"/>
  <c r="J102" i="2"/>
  <c r="C86" i="2"/>
  <c r="G86" i="2"/>
  <c r="H86" i="2"/>
  <c r="I86" i="2"/>
  <c r="K86" i="2"/>
  <c r="J86" i="2"/>
  <c r="G70" i="2"/>
  <c r="H70" i="2"/>
  <c r="I70" i="2"/>
  <c r="J70" i="2"/>
  <c r="K70" i="2"/>
  <c r="C62" i="2"/>
  <c r="G62" i="2"/>
  <c r="H62" i="2"/>
  <c r="I62" i="2"/>
  <c r="J62" i="2"/>
  <c r="K62" i="2"/>
  <c r="D46" i="2"/>
  <c r="G46" i="2"/>
  <c r="H46" i="2"/>
  <c r="I46" i="2"/>
  <c r="J46" i="2"/>
  <c r="K46" i="2"/>
  <c r="D30" i="2"/>
  <c r="J30" i="2"/>
  <c r="K30" i="2"/>
  <c r="G30" i="2"/>
  <c r="H30" i="2"/>
  <c r="I30" i="2"/>
  <c r="C22" i="2"/>
  <c r="J22" i="2"/>
  <c r="K22" i="2"/>
  <c r="G22" i="2"/>
  <c r="H22" i="2"/>
  <c r="I22" i="2"/>
  <c r="C6" i="2"/>
  <c r="G6" i="2"/>
  <c r="H6" i="2"/>
  <c r="I6" i="2"/>
  <c r="J6" i="2"/>
  <c r="K6" i="2"/>
  <c r="D242" i="2"/>
  <c r="I242" i="2"/>
  <c r="J242" i="2"/>
  <c r="G242" i="2"/>
  <c r="K242" i="2"/>
  <c r="H242" i="2"/>
  <c r="C235" i="2"/>
  <c r="G235" i="2"/>
  <c r="H235" i="2"/>
  <c r="J235" i="2"/>
  <c r="I235" i="2"/>
  <c r="K235" i="2"/>
  <c r="C227" i="2"/>
  <c r="G227" i="2"/>
  <c r="H227" i="2"/>
  <c r="J227" i="2"/>
  <c r="I227" i="2"/>
  <c r="K227" i="2"/>
  <c r="C220" i="2"/>
  <c r="G220" i="2"/>
  <c r="H220" i="2"/>
  <c r="J220" i="2"/>
  <c r="K220" i="2"/>
  <c r="I220" i="2"/>
  <c r="C213" i="2"/>
  <c r="J213" i="2"/>
  <c r="K213" i="2"/>
  <c r="H213" i="2"/>
  <c r="I213" i="2"/>
  <c r="G213" i="2"/>
  <c r="E200" i="2"/>
  <c r="K200" i="2"/>
  <c r="G200" i="2"/>
  <c r="I200" i="2"/>
  <c r="J200" i="2"/>
  <c r="H200" i="2"/>
  <c r="D193" i="2"/>
  <c r="H193" i="2"/>
  <c r="G193" i="2"/>
  <c r="I193" i="2"/>
  <c r="J193" i="2"/>
  <c r="K193" i="2"/>
  <c r="C185" i="2"/>
  <c r="H185" i="2"/>
  <c r="G185" i="2"/>
  <c r="I185" i="2"/>
  <c r="J185" i="2"/>
  <c r="K185" i="2"/>
  <c r="D179" i="2"/>
  <c r="K179" i="2"/>
  <c r="G179" i="2"/>
  <c r="H179" i="2"/>
  <c r="J179" i="2"/>
  <c r="I179" i="2"/>
  <c r="E171" i="2"/>
  <c r="K171" i="2"/>
  <c r="G171" i="2"/>
  <c r="H171" i="2"/>
  <c r="J171" i="2"/>
  <c r="I171" i="2"/>
  <c r="E163" i="2"/>
  <c r="K163" i="2"/>
  <c r="G163" i="2"/>
  <c r="H163" i="2"/>
  <c r="J163" i="2"/>
  <c r="I163" i="2"/>
  <c r="C157" i="2"/>
  <c r="I157" i="2"/>
  <c r="J157" i="2"/>
  <c r="K157" i="2"/>
  <c r="H157" i="2"/>
  <c r="G157" i="2"/>
  <c r="D149" i="2"/>
  <c r="I149" i="2"/>
  <c r="J149" i="2"/>
  <c r="K149" i="2"/>
  <c r="H149" i="2"/>
  <c r="G149" i="2"/>
  <c r="E141" i="2"/>
  <c r="H141" i="2"/>
  <c r="K141" i="2"/>
  <c r="G141" i="2"/>
  <c r="I141" i="2"/>
  <c r="J141" i="2"/>
  <c r="F133" i="2"/>
  <c r="H133" i="2"/>
  <c r="J133" i="2"/>
  <c r="K133" i="2"/>
  <c r="G133" i="2"/>
  <c r="I133" i="2"/>
  <c r="F125" i="2"/>
  <c r="H125" i="2"/>
  <c r="J125" i="2"/>
  <c r="K125" i="2"/>
  <c r="G125" i="2"/>
  <c r="I125" i="2"/>
  <c r="F117" i="2"/>
  <c r="H117" i="2"/>
  <c r="J117" i="2"/>
  <c r="K117" i="2"/>
  <c r="I117" i="2"/>
  <c r="G117" i="2"/>
  <c r="H109" i="2"/>
  <c r="J109" i="2"/>
  <c r="K109" i="2"/>
  <c r="G109" i="2"/>
  <c r="I109" i="2"/>
  <c r="F101" i="2"/>
  <c r="H101" i="2"/>
  <c r="J101" i="2"/>
  <c r="K101" i="2"/>
  <c r="G101" i="2"/>
  <c r="I101" i="2"/>
  <c r="F93" i="2"/>
  <c r="H93" i="2"/>
  <c r="J93" i="2"/>
  <c r="K93" i="2"/>
  <c r="G93" i="2"/>
  <c r="I93" i="2"/>
  <c r="G85" i="2"/>
  <c r="H85" i="2"/>
  <c r="I85" i="2"/>
  <c r="J85" i="2"/>
  <c r="K85" i="2"/>
  <c r="F77" i="2"/>
  <c r="G77" i="2"/>
  <c r="H77" i="2"/>
  <c r="I77" i="2"/>
  <c r="J77" i="2"/>
  <c r="K77" i="2"/>
  <c r="F69" i="2"/>
  <c r="G69" i="2"/>
  <c r="H69" i="2"/>
  <c r="I69" i="2"/>
  <c r="J69" i="2"/>
  <c r="K69" i="2"/>
  <c r="C61" i="2"/>
  <c r="G61" i="2"/>
  <c r="H61" i="2"/>
  <c r="I61" i="2"/>
  <c r="J61" i="2"/>
  <c r="K61" i="2"/>
  <c r="C53" i="2"/>
  <c r="G53" i="2"/>
  <c r="H53" i="2"/>
  <c r="I53" i="2"/>
  <c r="J53" i="2"/>
  <c r="K53" i="2"/>
  <c r="C45" i="2"/>
  <c r="G45" i="2"/>
  <c r="H45" i="2"/>
  <c r="I45" i="2"/>
  <c r="J45" i="2"/>
  <c r="K45" i="2"/>
  <c r="C37" i="2"/>
  <c r="G37" i="2"/>
  <c r="H37" i="2"/>
  <c r="I37" i="2"/>
  <c r="J37" i="2"/>
  <c r="K37" i="2"/>
  <c r="C29" i="2"/>
  <c r="G29" i="2"/>
  <c r="H29" i="2"/>
  <c r="I29" i="2"/>
  <c r="J29" i="2"/>
  <c r="K29" i="2"/>
  <c r="C21" i="2"/>
  <c r="G21" i="2"/>
  <c r="H21" i="2"/>
  <c r="I21" i="2"/>
  <c r="J21" i="2"/>
  <c r="K21" i="2"/>
  <c r="C13" i="2"/>
  <c r="J13" i="2"/>
  <c r="K13" i="2"/>
  <c r="G13" i="2"/>
  <c r="H13" i="2"/>
  <c r="I13" i="2"/>
  <c r="C5" i="2"/>
  <c r="J5" i="2"/>
  <c r="K5" i="2"/>
  <c r="G5" i="2"/>
  <c r="H5" i="2"/>
  <c r="I5" i="2"/>
  <c r="E4" i="2"/>
  <c r="G4" i="2"/>
  <c r="H4" i="2"/>
  <c r="I4" i="2"/>
  <c r="J4" i="2"/>
  <c r="K4" i="2"/>
  <c r="C239" i="2"/>
  <c r="H239" i="2"/>
  <c r="I239" i="2"/>
  <c r="K239" i="2"/>
  <c r="J239" i="2"/>
  <c r="G239" i="2"/>
  <c r="C231" i="2"/>
  <c r="H231" i="2"/>
  <c r="I231" i="2"/>
  <c r="K231" i="2"/>
  <c r="G231" i="2"/>
  <c r="J231" i="2"/>
  <c r="C223" i="2"/>
  <c r="H223" i="2"/>
  <c r="I223" i="2"/>
  <c r="K223" i="2"/>
  <c r="J223" i="2"/>
  <c r="G223" i="2"/>
  <c r="C216" i="2"/>
  <c r="K216" i="2"/>
  <c r="G216" i="2"/>
  <c r="I216" i="2"/>
  <c r="H216" i="2"/>
  <c r="J216" i="2"/>
  <c r="E209" i="2"/>
  <c r="G209" i="2"/>
  <c r="I209" i="2"/>
  <c r="J209" i="2"/>
  <c r="K209" i="2"/>
  <c r="H209" i="2"/>
  <c r="D244" i="2"/>
  <c r="G244" i="2"/>
  <c r="H244" i="2"/>
  <c r="J244" i="2"/>
  <c r="K244" i="2"/>
  <c r="I244" i="2"/>
  <c r="E237" i="2"/>
  <c r="J237" i="2"/>
  <c r="K237" i="2"/>
  <c r="H237" i="2"/>
  <c r="G237" i="2"/>
  <c r="I237" i="2"/>
  <c r="E229" i="2"/>
  <c r="J229" i="2"/>
  <c r="K229" i="2"/>
  <c r="H229" i="2"/>
  <c r="G229" i="2"/>
  <c r="I229" i="2"/>
  <c r="D165" i="2"/>
  <c r="I165" i="2"/>
  <c r="J165" i="2"/>
  <c r="K165" i="2"/>
  <c r="H165" i="2"/>
  <c r="G165" i="2"/>
  <c r="D151" i="2"/>
  <c r="G151" i="2"/>
  <c r="H151" i="2"/>
  <c r="I151" i="2"/>
  <c r="J151" i="2"/>
  <c r="K151" i="2"/>
  <c r="F119" i="2"/>
  <c r="J119" i="2"/>
  <c r="K119" i="2"/>
  <c r="H119" i="2"/>
  <c r="I119" i="2"/>
  <c r="G119" i="2"/>
  <c r="C47" i="2"/>
  <c r="J47" i="2"/>
  <c r="K47" i="2"/>
  <c r="G47" i="2"/>
  <c r="H47" i="2"/>
  <c r="I47" i="2"/>
  <c r="C243" i="2"/>
  <c r="G243" i="2"/>
  <c r="H243" i="2"/>
  <c r="J243" i="2"/>
  <c r="K243" i="2"/>
  <c r="I243" i="2"/>
  <c r="D236" i="2"/>
  <c r="G236" i="2"/>
  <c r="H236" i="2"/>
  <c r="J236" i="2"/>
  <c r="K236" i="2"/>
  <c r="I236" i="2"/>
  <c r="D228" i="2"/>
  <c r="G228" i="2"/>
  <c r="H228" i="2"/>
  <c r="J228" i="2"/>
  <c r="K228" i="2"/>
  <c r="I228" i="2"/>
  <c r="D221" i="2"/>
  <c r="J221" i="2"/>
  <c r="K221" i="2"/>
  <c r="H221" i="2"/>
  <c r="I221" i="2"/>
  <c r="G221" i="2"/>
  <c r="C214" i="2"/>
  <c r="H214" i="2"/>
  <c r="I214" i="2"/>
  <c r="K214" i="2"/>
  <c r="G214" i="2"/>
  <c r="J214" i="2"/>
  <c r="F206" i="2"/>
  <c r="H206" i="2"/>
  <c r="I206" i="2"/>
  <c r="K206" i="2"/>
  <c r="G206" i="2"/>
  <c r="J206" i="2"/>
  <c r="D201" i="2"/>
  <c r="G201" i="2"/>
  <c r="I201" i="2"/>
  <c r="J201" i="2"/>
  <c r="H201" i="2"/>
  <c r="K201" i="2"/>
  <c r="C199" i="2"/>
  <c r="H199" i="2"/>
  <c r="I199" i="2"/>
  <c r="K199" i="2"/>
  <c r="G199" i="2"/>
  <c r="J199" i="2"/>
  <c r="D192" i="2"/>
  <c r="J192" i="2"/>
  <c r="K192" i="2"/>
  <c r="G192" i="2"/>
  <c r="I192" i="2"/>
  <c r="H192" i="2"/>
  <c r="F184" i="2"/>
  <c r="J184" i="2"/>
  <c r="K184" i="2"/>
  <c r="G184" i="2"/>
  <c r="I184" i="2"/>
  <c r="H184" i="2"/>
  <c r="C178" i="2"/>
  <c r="H178" i="2"/>
  <c r="I178" i="2"/>
  <c r="J178" i="2"/>
  <c r="K178" i="2"/>
  <c r="G178" i="2"/>
  <c r="D170" i="2"/>
  <c r="H170" i="2"/>
  <c r="I170" i="2"/>
  <c r="J170" i="2"/>
  <c r="K170" i="2"/>
  <c r="G170" i="2"/>
  <c r="C162" i="2"/>
  <c r="H162" i="2"/>
  <c r="I162" i="2"/>
  <c r="J162" i="2"/>
  <c r="K162" i="2"/>
  <c r="G162" i="2"/>
  <c r="C156" i="2"/>
  <c r="G156" i="2"/>
  <c r="H156" i="2"/>
  <c r="I156" i="2"/>
  <c r="J156" i="2"/>
  <c r="K156" i="2"/>
  <c r="F148" i="2"/>
  <c r="G148" i="2"/>
  <c r="H148" i="2"/>
  <c r="I148" i="2"/>
  <c r="J148" i="2"/>
  <c r="K148" i="2"/>
  <c r="C140" i="2"/>
  <c r="I140" i="2"/>
  <c r="K140" i="2"/>
  <c r="H140" i="2"/>
  <c r="J140" i="2"/>
  <c r="G140" i="2"/>
  <c r="D132" i="2"/>
  <c r="I132" i="2"/>
  <c r="J132" i="2"/>
  <c r="K132" i="2"/>
  <c r="G132" i="2"/>
  <c r="H132" i="2"/>
  <c r="D124" i="2"/>
  <c r="I124" i="2"/>
  <c r="J124" i="2"/>
  <c r="K124" i="2"/>
  <c r="G124" i="2"/>
  <c r="H124" i="2"/>
  <c r="I116" i="2"/>
  <c r="J116" i="2"/>
  <c r="K116" i="2"/>
  <c r="G116" i="2"/>
  <c r="H116" i="2"/>
  <c r="C108" i="2"/>
  <c r="I108" i="2"/>
  <c r="J108" i="2"/>
  <c r="K108" i="2"/>
  <c r="G108" i="2"/>
  <c r="H108" i="2"/>
  <c r="D100" i="2"/>
  <c r="I100" i="2"/>
  <c r="J100" i="2"/>
  <c r="K100" i="2"/>
  <c r="G100" i="2"/>
  <c r="H100" i="2"/>
  <c r="C92" i="2"/>
  <c r="I92" i="2"/>
  <c r="J92" i="2"/>
  <c r="K92" i="2"/>
  <c r="G92" i="2"/>
  <c r="H92" i="2"/>
  <c r="E84" i="2"/>
  <c r="I84" i="2"/>
  <c r="J84" i="2"/>
  <c r="K84" i="2"/>
  <c r="G84" i="2"/>
  <c r="H84" i="2"/>
  <c r="D76" i="2"/>
  <c r="I76" i="2"/>
  <c r="J76" i="2"/>
  <c r="K76" i="2"/>
  <c r="G76" i="2"/>
  <c r="H76" i="2"/>
  <c r="C68" i="2"/>
  <c r="I68" i="2"/>
  <c r="J68" i="2"/>
  <c r="K68" i="2"/>
  <c r="G68" i="2"/>
  <c r="H68" i="2"/>
  <c r="C60" i="2"/>
  <c r="I60" i="2"/>
  <c r="J60" i="2"/>
  <c r="K60" i="2"/>
  <c r="G60" i="2"/>
  <c r="H60" i="2"/>
  <c r="C52" i="2"/>
  <c r="I52" i="2"/>
  <c r="J52" i="2"/>
  <c r="K52" i="2"/>
  <c r="G52" i="2"/>
  <c r="H52" i="2"/>
  <c r="E44" i="2"/>
  <c r="I44" i="2"/>
  <c r="J44" i="2"/>
  <c r="K44" i="2"/>
  <c r="G44" i="2"/>
  <c r="H44" i="2"/>
  <c r="D36" i="2"/>
  <c r="I36" i="2"/>
  <c r="J36" i="2"/>
  <c r="K36" i="2"/>
  <c r="G36" i="2"/>
  <c r="H36" i="2"/>
  <c r="C28" i="2"/>
  <c r="G28" i="2"/>
  <c r="H28" i="2"/>
  <c r="I28" i="2"/>
  <c r="J28" i="2"/>
  <c r="K28" i="2"/>
  <c r="C12" i="2"/>
  <c r="G12" i="2"/>
  <c r="H12" i="2"/>
  <c r="I12" i="2"/>
  <c r="J12" i="2"/>
  <c r="K12" i="2"/>
  <c r="E251" i="2"/>
  <c r="G251" i="2"/>
  <c r="H251" i="2"/>
  <c r="J251" i="2"/>
  <c r="I251" i="2"/>
  <c r="K251" i="2"/>
  <c r="E241" i="2"/>
  <c r="G241" i="2"/>
  <c r="I241" i="2"/>
  <c r="J241" i="2"/>
  <c r="H241" i="2"/>
  <c r="K241" i="2"/>
  <c r="E233" i="2"/>
  <c r="G233" i="2"/>
  <c r="I233" i="2"/>
  <c r="J233" i="2"/>
  <c r="H233" i="2"/>
  <c r="K233" i="2"/>
  <c r="E225" i="2"/>
  <c r="G225" i="2"/>
  <c r="I225" i="2"/>
  <c r="J225" i="2"/>
  <c r="K225" i="2"/>
  <c r="H225" i="2"/>
  <c r="C218" i="2"/>
  <c r="I218" i="2"/>
  <c r="J218" i="2"/>
  <c r="G218" i="2"/>
  <c r="H218" i="2"/>
  <c r="K218" i="2"/>
  <c r="E211" i="2"/>
  <c r="G211" i="2"/>
  <c r="H211" i="2"/>
  <c r="J211" i="2"/>
  <c r="I211" i="2"/>
  <c r="K211" i="2"/>
  <c r="E205" i="2"/>
  <c r="J205" i="2"/>
  <c r="K205" i="2"/>
  <c r="H205" i="2"/>
  <c r="I205" i="2"/>
  <c r="G205" i="2"/>
  <c r="D198" i="2"/>
  <c r="H198" i="2"/>
  <c r="I198" i="2"/>
  <c r="K198" i="2"/>
  <c r="G198" i="2"/>
  <c r="J198" i="2"/>
  <c r="E191" i="2"/>
  <c r="G191" i="2"/>
  <c r="H191" i="2"/>
  <c r="I191" i="2"/>
  <c r="J191" i="2"/>
  <c r="K191" i="2"/>
  <c r="E183" i="2"/>
  <c r="G183" i="2"/>
  <c r="H183" i="2"/>
  <c r="I183" i="2"/>
  <c r="J183" i="2"/>
  <c r="K183" i="2"/>
  <c r="D177" i="2"/>
  <c r="G177" i="2"/>
  <c r="H177" i="2"/>
  <c r="I177" i="2"/>
  <c r="J177" i="2"/>
  <c r="K177" i="2"/>
  <c r="F169" i="2"/>
  <c r="G169" i="2"/>
  <c r="H169" i="2"/>
  <c r="I169" i="2"/>
  <c r="J169" i="2"/>
  <c r="K169" i="2"/>
  <c r="C155" i="2"/>
  <c r="K155" i="2"/>
  <c r="G155" i="2"/>
  <c r="H155" i="2"/>
  <c r="J155" i="2"/>
  <c r="I155" i="2"/>
  <c r="C147" i="2"/>
  <c r="K147" i="2"/>
  <c r="G147" i="2"/>
  <c r="H147" i="2"/>
  <c r="J147" i="2"/>
  <c r="I147" i="2"/>
  <c r="D139" i="2"/>
  <c r="H139" i="2"/>
  <c r="J139" i="2"/>
  <c r="G139" i="2"/>
  <c r="I139" i="2"/>
  <c r="K139" i="2"/>
  <c r="F131" i="2"/>
  <c r="G131" i="2"/>
  <c r="H131" i="2"/>
  <c r="J131" i="2"/>
  <c r="I131" i="2"/>
  <c r="K131" i="2"/>
  <c r="F123" i="2"/>
  <c r="G123" i="2"/>
  <c r="H123" i="2"/>
  <c r="J123" i="2"/>
  <c r="K123" i="2"/>
  <c r="I123" i="2"/>
  <c r="F115" i="2"/>
  <c r="G115" i="2"/>
  <c r="H115" i="2"/>
  <c r="J115" i="2"/>
  <c r="I115" i="2"/>
  <c r="K115" i="2"/>
  <c r="G107" i="2"/>
  <c r="H107" i="2"/>
  <c r="J107" i="2"/>
  <c r="I107" i="2"/>
  <c r="K107" i="2"/>
  <c r="F99" i="2"/>
  <c r="G99" i="2"/>
  <c r="H99" i="2"/>
  <c r="J99" i="2"/>
  <c r="I99" i="2"/>
  <c r="K99" i="2"/>
  <c r="F91" i="2"/>
  <c r="G91" i="2"/>
  <c r="H91" i="2"/>
  <c r="J91" i="2"/>
  <c r="I91" i="2"/>
  <c r="K91" i="2"/>
  <c r="G83" i="2"/>
  <c r="H83" i="2"/>
  <c r="I83" i="2"/>
  <c r="J83" i="2"/>
  <c r="K83" i="2"/>
  <c r="F75" i="2"/>
  <c r="G75" i="2"/>
  <c r="H75" i="2"/>
  <c r="I75" i="2"/>
  <c r="J75" i="2"/>
  <c r="K75" i="2"/>
  <c r="F67" i="2"/>
  <c r="G67" i="2"/>
  <c r="H67" i="2"/>
  <c r="I67" i="2"/>
  <c r="J67" i="2"/>
  <c r="K67" i="2"/>
  <c r="C59" i="2"/>
  <c r="G59" i="2"/>
  <c r="H59" i="2"/>
  <c r="I59" i="2"/>
  <c r="J59" i="2"/>
  <c r="K59" i="2"/>
  <c r="C51" i="2"/>
  <c r="G51" i="2"/>
  <c r="H51" i="2"/>
  <c r="I51" i="2"/>
  <c r="J51" i="2"/>
  <c r="K51" i="2"/>
  <c r="C43" i="2"/>
  <c r="G43" i="2"/>
  <c r="H43" i="2"/>
  <c r="I43" i="2"/>
  <c r="J43" i="2"/>
  <c r="K43" i="2"/>
  <c r="C35" i="2"/>
  <c r="G35" i="2"/>
  <c r="H35" i="2"/>
  <c r="I35" i="2"/>
  <c r="J35" i="2"/>
  <c r="K35" i="2"/>
  <c r="C27" i="2"/>
  <c r="I27" i="2"/>
  <c r="J27" i="2"/>
  <c r="K27" i="2"/>
  <c r="G27" i="2"/>
  <c r="H27" i="2"/>
  <c r="C19" i="2"/>
  <c r="G19" i="2"/>
  <c r="H19" i="2"/>
  <c r="I19" i="2"/>
  <c r="J19" i="2"/>
  <c r="K19" i="2"/>
  <c r="C11" i="2"/>
  <c r="G11" i="2"/>
  <c r="H11" i="2"/>
  <c r="I11" i="2"/>
  <c r="J11" i="2"/>
  <c r="K11" i="2"/>
  <c r="E250" i="2"/>
  <c r="I250" i="2"/>
  <c r="J250" i="2"/>
  <c r="G250" i="2"/>
  <c r="K250" i="2"/>
  <c r="H250" i="2"/>
  <c r="D234" i="2"/>
  <c r="I234" i="2"/>
  <c r="J234" i="2"/>
  <c r="G234" i="2"/>
  <c r="H234" i="2"/>
  <c r="K234" i="2"/>
  <c r="D226" i="2"/>
  <c r="I226" i="2"/>
  <c r="J226" i="2"/>
  <c r="G226" i="2"/>
  <c r="K226" i="2"/>
  <c r="H226" i="2"/>
  <c r="D219" i="2"/>
  <c r="G219" i="2"/>
  <c r="H219" i="2"/>
  <c r="J219" i="2"/>
  <c r="I219" i="2"/>
  <c r="K219" i="2"/>
  <c r="D212" i="2"/>
  <c r="G212" i="2"/>
  <c r="H212" i="2"/>
  <c r="J212" i="2"/>
  <c r="K212" i="2"/>
  <c r="I212" i="2"/>
  <c r="E2" i="2"/>
  <c r="K2" i="2"/>
  <c r="J2" i="2"/>
  <c r="H2" i="2"/>
  <c r="G2" i="2"/>
  <c r="I2" i="2"/>
  <c r="F2" i="2"/>
  <c r="D240" i="2"/>
  <c r="K240" i="2"/>
  <c r="G240" i="2"/>
  <c r="I240" i="2"/>
  <c r="H240" i="2"/>
  <c r="J240" i="2"/>
  <c r="D232" i="2"/>
  <c r="K232" i="2"/>
  <c r="G232" i="2"/>
  <c r="I232" i="2"/>
  <c r="H232" i="2"/>
  <c r="J232" i="2"/>
  <c r="C224" i="2"/>
  <c r="K224" i="2"/>
  <c r="G224" i="2"/>
  <c r="I224" i="2"/>
  <c r="H224" i="2"/>
  <c r="J224" i="2"/>
  <c r="E217" i="2"/>
  <c r="G217" i="2"/>
  <c r="I217" i="2"/>
  <c r="J217" i="2"/>
  <c r="K217" i="2"/>
  <c r="H217" i="2"/>
  <c r="D210" i="2"/>
  <c r="I210" i="2"/>
  <c r="J210" i="2"/>
  <c r="G210" i="2"/>
  <c r="K210" i="2"/>
  <c r="H210" i="2"/>
  <c r="G204" i="2"/>
  <c r="H204" i="2"/>
  <c r="J204" i="2"/>
  <c r="K204" i="2"/>
  <c r="I204" i="2"/>
  <c r="C197" i="2"/>
  <c r="J197" i="2"/>
  <c r="K197" i="2"/>
  <c r="H197" i="2"/>
  <c r="G197" i="2"/>
  <c r="I197" i="2"/>
  <c r="D190" i="2"/>
  <c r="G190" i="2"/>
  <c r="H190" i="2"/>
  <c r="I190" i="2"/>
  <c r="K190" i="2"/>
  <c r="J190" i="2"/>
  <c r="C182" i="2"/>
  <c r="G182" i="2"/>
  <c r="H182" i="2"/>
  <c r="I182" i="2"/>
  <c r="K182" i="2"/>
  <c r="J182" i="2"/>
  <c r="F176" i="2"/>
  <c r="J176" i="2"/>
  <c r="K176" i="2"/>
  <c r="G176" i="2"/>
  <c r="I176" i="2"/>
  <c r="H176" i="2"/>
  <c r="C168" i="2"/>
  <c r="J168" i="2"/>
  <c r="K168" i="2"/>
  <c r="G168" i="2"/>
  <c r="I168" i="2"/>
  <c r="H168" i="2"/>
  <c r="D161" i="2"/>
  <c r="G161" i="2"/>
  <c r="H161" i="2"/>
  <c r="I161" i="2"/>
  <c r="J161" i="2"/>
  <c r="K161" i="2"/>
  <c r="C154" i="2"/>
  <c r="H154" i="2"/>
  <c r="I154" i="2"/>
  <c r="J154" i="2"/>
  <c r="K154" i="2"/>
  <c r="G154" i="2"/>
  <c r="H146" i="2"/>
  <c r="I146" i="2"/>
  <c r="J146" i="2"/>
  <c r="K146" i="2"/>
  <c r="G146" i="2"/>
  <c r="C138" i="2"/>
  <c r="K138" i="2"/>
  <c r="G138" i="2"/>
  <c r="J138" i="2"/>
  <c r="H138" i="2"/>
  <c r="I138" i="2"/>
  <c r="C130" i="2"/>
  <c r="K130" i="2"/>
  <c r="G130" i="2"/>
  <c r="I130" i="2"/>
  <c r="J130" i="2"/>
  <c r="H130" i="2"/>
  <c r="C122" i="2"/>
  <c r="K122" i="2"/>
  <c r="G122" i="2"/>
  <c r="I122" i="2"/>
  <c r="J122" i="2"/>
  <c r="H122" i="2"/>
  <c r="F114" i="2"/>
  <c r="K114" i="2"/>
  <c r="G114" i="2"/>
  <c r="I114" i="2"/>
  <c r="J114" i="2"/>
  <c r="H114" i="2"/>
  <c r="C106" i="2"/>
  <c r="K106" i="2"/>
  <c r="G106" i="2"/>
  <c r="I106" i="2"/>
  <c r="J106" i="2"/>
  <c r="H106" i="2"/>
  <c r="K98" i="2"/>
  <c r="G98" i="2"/>
  <c r="I98" i="2"/>
  <c r="J98" i="2"/>
  <c r="H98" i="2"/>
  <c r="F90" i="2"/>
  <c r="K90" i="2"/>
  <c r="G90" i="2"/>
  <c r="I90" i="2"/>
  <c r="J90" i="2"/>
  <c r="H90" i="2"/>
  <c r="E82" i="2"/>
  <c r="K82" i="2"/>
  <c r="G82" i="2"/>
  <c r="H82" i="2"/>
  <c r="I82" i="2"/>
  <c r="J82" i="2"/>
  <c r="D74" i="2"/>
  <c r="K74" i="2"/>
  <c r="G74" i="2"/>
  <c r="H74" i="2"/>
  <c r="I74" i="2"/>
  <c r="J74" i="2"/>
  <c r="C66" i="2"/>
  <c r="K66" i="2"/>
  <c r="G66" i="2"/>
  <c r="H66" i="2"/>
  <c r="I66" i="2"/>
  <c r="J66" i="2"/>
  <c r="C58" i="2"/>
  <c r="K58" i="2"/>
  <c r="G58" i="2"/>
  <c r="H58" i="2"/>
  <c r="I58" i="2"/>
  <c r="J58" i="2"/>
  <c r="D50" i="2"/>
  <c r="K50" i="2"/>
  <c r="G50" i="2"/>
  <c r="H50" i="2"/>
  <c r="I50" i="2"/>
  <c r="J50" i="2"/>
  <c r="C42" i="2"/>
  <c r="K42" i="2"/>
  <c r="G42" i="2"/>
  <c r="H42" i="2"/>
  <c r="I42" i="2"/>
  <c r="J42" i="2"/>
  <c r="D34" i="2"/>
  <c r="K34" i="2"/>
  <c r="G34" i="2"/>
  <c r="H34" i="2"/>
  <c r="I34" i="2"/>
  <c r="J34" i="2"/>
  <c r="C26" i="2"/>
  <c r="G26" i="2"/>
  <c r="H26" i="2"/>
  <c r="I26" i="2"/>
  <c r="J26" i="2"/>
  <c r="K26" i="2"/>
  <c r="C18" i="2"/>
  <c r="I18" i="2"/>
  <c r="J18" i="2"/>
  <c r="K18" i="2"/>
  <c r="G18" i="2"/>
  <c r="H18" i="2"/>
  <c r="C10" i="2"/>
  <c r="I10" i="2"/>
  <c r="J10" i="2"/>
  <c r="K10" i="2"/>
  <c r="G10" i="2"/>
  <c r="H10" i="2"/>
  <c r="E249" i="2"/>
  <c r="G249" i="2"/>
  <c r="I249" i="2"/>
  <c r="J249" i="2"/>
  <c r="H249" i="2"/>
  <c r="K249" i="2"/>
  <c r="C196" i="2"/>
  <c r="G196" i="2"/>
  <c r="H196" i="2"/>
  <c r="I196" i="2"/>
  <c r="J196" i="2"/>
  <c r="K196" i="2"/>
  <c r="E189" i="2"/>
  <c r="J189" i="2"/>
  <c r="K189" i="2"/>
  <c r="H189" i="2"/>
  <c r="I189" i="2"/>
  <c r="G189" i="2"/>
  <c r="E181" i="2"/>
  <c r="I181" i="2"/>
  <c r="J181" i="2"/>
  <c r="K181" i="2"/>
  <c r="H181" i="2"/>
  <c r="G181" i="2"/>
  <c r="E175" i="2"/>
  <c r="G175" i="2"/>
  <c r="H175" i="2"/>
  <c r="I175" i="2"/>
  <c r="J175" i="2"/>
  <c r="K175" i="2"/>
  <c r="G167" i="2"/>
  <c r="H167" i="2"/>
  <c r="J167" i="2"/>
  <c r="I167" i="2"/>
  <c r="K167" i="2"/>
  <c r="C145" i="2"/>
  <c r="G145" i="2"/>
  <c r="H145" i="2"/>
  <c r="I145" i="2"/>
  <c r="J145" i="2"/>
  <c r="K145" i="2"/>
  <c r="F129" i="2"/>
  <c r="H129" i="2"/>
  <c r="I129" i="2"/>
  <c r="J129" i="2"/>
  <c r="G129" i="2"/>
  <c r="K129" i="2"/>
  <c r="F113" i="2"/>
  <c r="H113" i="2"/>
  <c r="I113" i="2"/>
  <c r="J113" i="2"/>
  <c r="G113" i="2"/>
  <c r="K113" i="2"/>
  <c r="H105" i="2"/>
  <c r="I105" i="2"/>
  <c r="J105" i="2"/>
  <c r="G105" i="2"/>
  <c r="K105" i="2"/>
  <c r="F97" i="2"/>
  <c r="H97" i="2"/>
  <c r="I97" i="2"/>
  <c r="J97" i="2"/>
  <c r="G97" i="2"/>
  <c r="K97" i="2"/>
  <c r="F89" i="2"/>
  <c r="H89" i="2"/>
  <c r="I89" i="2"/>
  <c r="J89" i="2"/>
  <c r="G89" i="2"/>
  <c r="K89" i="2"/>
  <c r="F73" i="2"/>
  <c r="H73" i="2"/>
  <c r="I73" i="2"/>
  <c r="J73" i="2"/>
  <c r="K73" i="2"/>
  <c r="G73" i="2"/>
  <c r="F65" i="2"/>
  <c r="H65" i="2"/>
  <c r="I65" i="2"/>
  <c r="J65" i="2"/>
  <c r="K65" i="2"/>
  <c r="G65" i="2"/>
  <c r="C57" i="2"/>
  <c r="H57" i="2"/>
  <c r="I57" i="2"/>
  <c r="J57" i="2"/>
  <c r="K57" i="2"/>
  <c r="G57" i="2"/>
  <c r="C49" i="2"/>
  <c r="H49" i="2"/>
  <c r="I49" i="2"/>
  <c r="J49" i="2"/>
  <c r="K49" i="2"/>
  <c r="G49" i="2"/>
  <c r="C41" i="2"/>
  <c r="H41" i="2"/>
  <c r="I41" i="2"/>
  <c r="J41" i="2"/>
  <c r="K41" i="2"/>
  <c r="G41" i="2"/>
  <c r="C33" i="2"/>
  <c r="H33" i="2"/>
  <c r="I33" i="2"/>
  <c r="J33" i="2"/>
  <c r="K33" i="2"/>
  <c r="G33" i="2"/>
  <c r="C25" i="2"/>
  <c r="K25" i="2"/>
  <c r="G25" i="2"/>
  <c r="H25" i="2"/>
  <c r="I25" i="2"/>
  <c r="J25" i="2"/>
  <c r="C17" i="2"/>
  <c r="G17" i="2"/>
  <c r="H17" i="2"/>
  <c r="I17" i="2"/>
  <c r="J17" i="2"/>
  <c r="K17" i="2"/>
  <c r="C9" i="2"/>
  <c r="G9" i="2"/>
  <c r="H9" i="2"/>
  <c r="I9" i="2"/>
  <c r="J9" i="2"/>
  <c r="K9" i="2"/>
  <c r="E248" i="2"/>
  <c r="K248" i="2"/>
  <c r="G248" i="2"/>
  <c r="I248" i="2"/>
  <c r="H248" i="2"/>
  <c r="J248" i="2"/>
  <c r="E153" i="2"/>
  <c r="G153" i="2"/>
  <c r="H153" i="2"/>
  <c r="I153" i="2"/>
  <c r="J153" i="2"/>
  <c r="K153" i="2"/>
  <c r="F137" i="2"/>
  <c r="H137" i="2"/>
  <c r="I137" i="2"/>
  <c r="J137" i="2"/>
  <c r="G137" i="2"/>
  <c r="K137" i="2"/>
  <c r="F121" i="2"/>
  <c r="H121" i="2"/>
  <c r="I121" i="2"/>
  <c r="J121" i="2"/>
  <c r="G121" i="2"/>
  <c r="K121" i="2"/>
  <c r="H81" i="2"/>
  <c r="I81" i="2"/>
  <c r="J81" i="2"/>
  <c r="K81" i="2"/>
  <c r="G81" i="2"/>
  <c r="D238" i="2"/>
  <c r="H238" i="2"/>
  <c r="I238" i="2"/>
  <c r="K238" i="2"/>
  <c r="G238" i="2"/>
  <c r="J238" i="2"/>
  <c r="D230" i="2"/>
  <c r="H230" i="2"/>
  <c r="I230" i="2"/>
  <c r="K230" i="2"/>
  <c r="J230" i="2"/>
  <c r="G230" i="2"/>
  <c r="D222" i="2"/>
  <c r="H222" i="2"/>
  <c r="I222" i="2"/>
  <c r="K222" i="2"/>
  <c r="J222" i="2"/>
  <c r="G222" i="2"/>
  <c r="C215" i="2"/>
  <c r="H215" i="2"/>
  <c r="I215" i="2"/>
  <c r="K215" i="2"/>
  <c r="G215" i="2"/>
  <c r="J215" i="2"/>
  <c r="K208" i="2"/>
  <c r="G208" i="2"/>
  <c r="I208" i="2"/>
  <c r="J208" i="2"/>
  <c r="H208" i="2"/>
  <c r="D203" i="2"/>
  <c r="G203" i="2"/>
  <c r="H203" i="2"/>
  <c r="J203" i="2"/>
  <c r="I203" i="2"/>
  <c r="K203" i="2"/>
  <c r="E195" i="2"/>
  <c r="K195" i="2"/>
  <c r="G195" i="2"/>
  <c r="H195" i="2"/>
  <c r="J195" i="2"/>
  <c r="I195" i="2"/>
  <c r="D188" i="2"/>
  <c r="G188" i="2"/>
  <c r="H188" i="2"/>
  <c r="I188" i="2"/>
  <c r="J188" i="2"/>
  <c r="K188" i="2"/>
  <c r="D180" i="2"/>
  <c r="G180" i="2"/>
  <c r="H180" i="2"/>
  <c r="I180" i="2"/>
  <c r="J180" i="2"/>
  <c r="K180" i="2"/>
  <c r="C174" i="2"/>
  <c r="G174" i="2"/>
  <c r="H174" i="2"/>
  <c r="I174" i="2"/>
  <c r="K174" i="2"/>
  <c r="J174" i="2"/>
  <c r="E166" i="2"/>
  <c r="G166" i="2"/>
  <c r="H166" i="2"/>
  <c r="I166" i="2"/>
  <c r="K166" i="2"/>
  <c r="J166" i="2"/>
  <c r="D160" i="2"/>
  <c r="J160" i="2"/>
  <c r="K160" i="2"/>
  <c r="G160" i="2"/>
  <c r="I160" i="2"/>
  <c r="H160" i="2"/>
  <c r="J152" i="2"/>
  <c r="K152" i="2"/>
  <c r="G152" i="2"/>
  <c r="I152" i="2"/>
  <c r="H152" i="2"/>
  <c r="C144" i="2"/>
  <c r="J144" i="2"/>
  <c r="K144" i="2"/>
  <c r="G144" i="2"/>
  <c r="I144" i="2"/>
  <c r="H144" i="2"/>
  <c r="F136" i="2"/>
  <c r="G136" i="2"/>
  <c r="I136" i="2"/>
  <c r="K136" i="2"/>
  <c r="J136" i="2"/>
  <c r="H136" i="2"/>
  <c r="F128" i="2"/>
  <c r="G128" i="2"/>
  <c r="I128" i="2"/>
  <c r="K128" i="2"/>
  <c r="H128" i="2"/>
  <c r="J128" i="2"/>
  <c r="C120" i="2"/>
  <c r="G120" i="2"/>
  <c r="I120" i="2"/>
  <c r="K120" i="2"/>
  <c r="H120" i="2"/>
  <c r="J120" i="2"/>
  <c r="G112" i="2"/>
  <c r="I112" i="2"/>
  <c r="K112" i="2"/>
  <c r="H112" i="2"/>
  <c r="J112" i="2"/>
  <c r="E104" i="2"/>
  <c r="G104" i="2"/>
  <c r="I104" i="2"/>
  <c r="K104" i="2"/>
  <c r="J104" i="2"/>
  <c r="H104" i="2"/>
  <c r="E96" i="2"/>
  <c r="G96" i="2"/>
  <c r="I96" i="2"/>
  <c r="K96" i="2"/>
  <c r="H96" i="2"/>
  <c r="J96" i="2"/>
  <c r="E88" i="2"/>
  <c r="G88" i="2"/>
  <c r="I88" i="2"/>
  <c r="K88" i="2"/>
  <c r="H88" i="2"/>
  <c r="J88" i="2"/>
  <c r="F80" i="2"/>
  <c r="G80" i="2"/>
  <c r="H80" i="2"/>
  <c r="I80" i="2"/>
  <c r="J80" i="2"/>
  <c r="K80" i="2"/>
  <c r="C72" i="2"/>
  <c r="G72" i="2"/>
  <c r="H72" i="2"/>
  <c r="I72" i="2"/>
  <c r="J72" i="2"/>
  <c r="K72" i="2"/>
  <c r="C64" i="2"/>
  <c r="G64" i="2"/>
  <c r="H64" i="2"/>
  <c r="I64" i="2"/>
  <c r="J64" i="2"/>
  <c r="K64" i="2"/>
  <c r="C56" i="2"/>
  <c r="G56" i="2"/>
  <c r="H56" i="2"/>
  <c r="I56" i="2"/>
  <c r="J56" i="2"/>
  <c r="K56" i="2"/>
  <c r="C48" i="2"/>
  <c r="G48" i="2"/>
  <c r="H48" i="2"/>
  <c r="I48" i="2"/>
  <c r="J48" i="2"/>
  <c r="K48" i="2"/>
  <c r="G40" i="2"/>
  <c r="H40" i="2"/>
  <c r="I40" i="2"/>
  <c r="J40" i="2"/>
  <c r="K40" i="2"/>
  <c r="C24" i="2"/>
  <c r="H24" i="2"/>
  <c r="I24" i="2"/>
  <c r="J24" i="2"/>
  <c r="K24" i="2"/>
  <c r="G24" i="2"/>
  <c r="C16" i="2"/>
  <c r="K16" i="2"/>
  <c r="G16" i="2"/>
  <c r="H16" i="2"/>
  <c r="I16" i="2"/>
  <c r="J16" i="2"/>
  <c r="C8" i="2"/>
  <c r="K8" i="2"/>
  <c r="G8" i="2"/>
  <c r="H8" i="2"/>
  <c r="I8" i="2"/>
  <c r="J8" i="2"/>
  <c r="E247" i="2"/>
  <c r="H247" i="2"/>
  <c r="I247" i="2"/>
  <c r="K247" i="2"/>
  <c r="G247" i="2"/>
  <c r="J247" i="2"/>
  <c r="D207" i="2"/>
  <c r="H207" i="2"/>
  <c r="I207" i="2"/>
  <c r="K207" i="2"/>
  <c r="G207" i="2"/>
  <c r="J207" i="2"/>
  <c r="C202" i="2"/>
  <c r="I202" i="2"/>
  <c r="J202" i="2"/>
  <c r="G202" i="2"/>
  <c r="H202" i="2"/>
  <c r="K202" i="2"/>
  <c r="I194" i="2"/>
  <c r="J194" i="2"/>
  <c r="K194" i="2"/>
  <c r="G194" i="2"/>
  <c r="H194" i="2"/>
  <c r="C187" i="2"/>
  <c r="K187" i="2"/>
  <c r="G187" i="2"/>
  <c r="H187" i="2"/>
  <c r="J187" i="2"/>
  <c r="I187" i="2"/>
  <c r="E173" i="2"/>
  <c r="J173" i="2"/>
  <c r="K173" i="2"/>
  <c r="H173" i="2"/>
  <c r="I173" i="2"/>
  <c r="G173" i="2"/>
  <c r="F159" i="2"/>
  <c r="G159" i="2"/>
  <c r="H159" i="2"/>
  <c r="I159" i="2"/>
  <c r="J159" i="2"/>
  <c r="K159" i="2"/>
  <c r="E143" i="2"/>
  <c r="G143" i="2"/>
  <c r="H143" i="2"/>
  <c r="I143" i="2"/>
  <c r="J143" i="2"/>
  <c r="K143" i="2"/>
  <c r="F135" i="2"/>
  <c r="J135" i="2"/>
  <c r="K135" i="2"/>
  <c r="H135" i="2"/>
  <c r="I135" i="2"/>
  <c r="G135" i="2"/>
  <c r="F127" i="2"/>
  <c r="J127" i="2"/>
  <c r="K127" i="2"/>
  <c r="H127" i="2"/>
  <c r="I127" i="2"/>
  <c r="G127" i="2"/>
  <c r="F111" i="2"/>
  <c r="J111" i="2"/>
  <c r="K111" i="2"/>
  <c r="H111" i="2"/>
  <c r="I111" i="2"/>
  <c r="G111" i="2"/>
  <c r="F103" i="2"/>
  <c r="J103" i="2"/>
  <c r="K103" i="2"/>
  <c r="H103" i="2"/>
  <c r="I103" i="2"/>
  <c r="G103" i="2"/>
  <c r="F95" i="2"/>
  <c r="J95" i="2"/>
  <c r="K95" i="2"/>
  <c r="H95" i="2"/>
  <c r="I95" i="2"/>
  <c r="G95" i="2"/>
  <c r="F87" i="2"/>
  <c r="J87" i="2"/>
  <c r="K87" i="2"/>
  <c r="H87" i="2"/>
  <c r="I87" i="2"/>
  <c r="G87" i="2"/>
  <c r="F79" i="2"/>
  <c r="J79" i="2"/>
  <c r="K79" i="2"/>
  <c r="G79" i="2"/>
  <c r="H79" i="2"/>
  <c r="I79" i="2"/>
  <c r="F71" i="2"/>
  <c r="J71" i="2"/>
  <c r="K71" i="2"/>
  <c r="G71" i="2"/>
  <c r="H71" i="2"/>
  <c r="I71" i="2"/>
  <c r="C63" i="2"/>
  <c r="J63" i="2"/>
  <c r="K63" i="2"/>
  <c r="G63" i="2"/>
  <c r="H63" i="2"/>
  <c r="I63" i="2"/>
  <c r="C55" i="2"/>
  <c r="J55" i="2"/>
  <c r="K55" i="2"/>
  <c r="G55" i="2"/>
  <c r="H55" i="2"/>
  <c r="I55" i="2"/>
  <c r="C39" i="2"/>
  <c r="J39" i="2"/>
  <c r="K39" i="2"/>
  <c r="G39" i="2"/>
  <c r="H39" i="2"/>
  <c r="I39" i="2"/>
  <c r="C31" i="2"/>
  <c r="G31" i="2"/>
  <c r="H31" i="2"/>
  <c r="I31" i="2"/>
  <c r="J31" i="2"/>
  <c r="K31" i="2"/>
  <c r="C23" i="2"/>
  <c r="G23" i="2"/>
  <c r="H23" i="2"/>
  <c r="I23" i="2"/>
  <c r="J23" i="2"/>
  <c r="K23" i="2"/>
  <c r="C15" i="2"/>
  <c r="H15" i="2"/>
  <c r="I15" i="2"/>
  <c r="J15" i="2"/>
  <c r="K15" i="2"/>
  <c r="G15" i="2"/>
  <c r="C7" i="2"/>
  <c r="H7" i="2"/>
  <c r="I7" i="2"/>
  <c r="J7" i="2"/>
  <c r="K7" i="2"/>
  <c r="G7" i="2"/>
  <c r="E246" i="2"/>
  <c r="H246" i="2"/>
  <c r="I246" i="2"/>
  <c r="K246" i="2"/>
  <c r="G246" i="2"/>
  <c r="J246" i="2"/>
  <c r="C186" i="2"/>
  <c r="H186" i="2"/>
  <c r="I186" i="2"/>
  <c r="J186" i="2"/>
  <c r="K186" i="2"/>
  <c r="G186" i="2"/>
  <c r="F172" i="2"/>
  <c r="G172" i="2"/>
  <c r="H172" i="2"/>
  <c r="I172" i="2"/>
  <c r="J172" i="2"/>
  <c r="K172" i="2"/>
  <c r="F158" i="2"/>
  <c r="G158" i="2"/>
  <c r="H158" i="2"/>
  <c r="I158" i="2"/>
  <c r="K158" i="2"/>
  <c r="J158" i="2"/>
  <c r="G142" i="2"/>
  <c r="H142" i="2"/>
  <c r="I142" i="2"/>
  <c r="K142" i="2"/>
  <c r="J142" i="2"/>
  <c r="C126" i="2"/>
  <c r="G126" i="2"/>
  <c r="H126" i="2"/>
  <c r="I126" i="2"/>
  <c r="K126" i="2"/>
  <c r="J126" i="2"/>
  <c r="E110" i="2"/>
  <c r="G110" i="2"/>
  <c r="H110" i="2"/>
  <c r="I110" i="2"/>
  <c r="K110" i="2"/>
  <c r="J110" i="2"/>
  <c r="E94" i="2"/>
  <c r="G94" i="2"/>
  <c r="H94" i="2"/>
  <c r="I94" i="2"/>
  <c r="K94" i="2"/>
  <c r="J94" i="2"/>
  <c r="D78" i="2"/>
  <c r="G78" i="2"/>
  <c r="H78" i="2"/>
  <c r="I78" i="2"/>
  <c r="J78" i="2"/>
  <c r="K78" i="2"/>
  <c r="C54" i="2"/>
  <c r="G54" i="2"/>
  <c r="H54" i="2"/>
  <c r="I54" i="2"/>
  <c r="J54" i="2"/>
  <c r="K54" i="2"/>
  <c r="C38" i="2"/>
  <c r="G38" i="2"/>
  <c r="H38" i="2"/>
  <c r="I38" i="2"/>
  <c r="J38" i="2"/>
  <c r="K38" i="2"/>
  <c r="C14" i="2"/>
  <c r="G14" i="2"/>
  <c r="H14" i="2"/>
  <c r="I14" i="2"/>
  <c r="J14" i="2"/>
  <c r="K14" i="2"/>
  <c r="E245" i="2"/>
  <c r="J245" i="2"/>
  <c r="K245" i="2"/>
  <c r="H245" i="2"/>
  <c r="G245" i="2"/>
  <c r="I245" i="2"/>
  <c r="C3" i="2"/>
  <c r="G3" i="2"/>
  <c r="K3" i="2"/>
  <c r="H3" i="2"/>
  <c r="I3" i="2"/>
  <c r="J3" i="2"/>
  <c r="C20" i="2"/>
  <c r="J20" i="2"/>
  <c r="G20" i="2"/>
  <c r="K20" i="2"/>
  <c r="H20" i="2"/>
  <c r="I20" i="2"/>
  <c r="C32" i="2"/>
  <c r="H32" i="2"/>
  <c r="J32" i="2"/>
  <c r="G32" i="2"/>
  <c r="K32" i="2"/>
  <c r="I32" i="2"/>
  <c r="F163" i="2"/>
  <c r="C201" i="2"/>
  <c r="C191" i="2"/>
  <c r="C163" i="2"/>
  <c r="D106" i="2"/>
  <c r="D233" i="2"/>
  <c r="D141" i="2"/>
  <c r="D251" i="2"/>
  <c r="E118" i="2"/>
  <c r="F26" i="2"/>
  <c r="E239" i="2"/>
  <c r="F46" i="2"/>
  <c r="F221" i="2"/>
  <c r="E216" i="2"/>
  <c r="F223" i="2"/>
  <c r="E221" i="2"/>
  <c r="D216" i="2"/>
  <c r="C206" i="2"/>
  <c r="C171" i="2"/>
  <c r="F168" i="2"/>
  <c r="D130" i="2"/>
  <c r="F74" i="2"/>
  <c r="C203" i="2"/>
  <c r="E193" i="2"/>
  <c r="D118" i="2"/>
  <c r="F217" i="2"/>
  <c r="E182" i="2"/>
  <c r="D227" i="2"/>
  <c r="F203" i="2"/>
  <c r="C233" i="2"/>
  <c r="D181" i="2"/>
  <c r="C177" i="2"/>
  <c r="C169" i="2"/>
  <c r="F149" i="2"/>
  <c r="C200" i="2"/>
  <c r="D186" i="2"/>
  <c r="C181" i="2"/>
  <c r="C149" i="2"/>
  <c r="E134" i="2"/>
  <c r="D108" i="2"/>
  <c r="D26" i="2"/>
  <c r="D239" i="2"/>
  <c r="D217" i="2"/>
  <c r="D199" i="2"/>
  <c r="D185" i="2"/>
  <c r="F180" i="2"/>
  <c r="D250" i="2"/>
  <c r="C222" i="2"/>
  <c r="C217" i="2"/>
  <c r="E180" i="2"/>
  <c r="F162" i="2"/>
  <c r="D156" i="2"/>
  <c r="D209" i="2"/>
  <c r="E198" i="2"/>
  <c r="F166" i="2"/>
  <c r="E162" i="2"/>
  <c r="E132" i="2"/>
  <c r="C249" i="2"/>
  <c r="C209" i="2"/>
  <c r="C198" i="2"/>
  <c r="F179" i="2"/>
  <c r="C173" i="2"/>
  <c r="D162" i="2"/>
  <c r="D145" i="2"/>
  <c r="C132" i="2"/>
  <c r="F41" i="2"/>
  <c r="F31" i="2"/>
  <c r="D248" i="2"/>
  <c r="D243" i="2"/>
  <c r="D235" i="2"/>
  <c r="F165" i="2"/>
  <c r="D92" i="2"/>
  <c r="F188" i="2"/>
  <c r="E165" i="2"/>
  <c r="D143" i="2"/>
  <c r="C225" i="2"/>
  <c r="F214" i="2"/>
  <c r="F201" i="2"/>
  <c r="C195" i="2"/>
  <c r="C188" i="2"/>
  <c r="F181" i="2"/>
  <c r="C165" i="2"/>
  <c r="C143" i="2"/>
  <c r="D110" i="2"/>
  <c r="F6" i="2"/>
  <c r="D94" i="2"/>
  <c r="E92" i="2"/>
  <c r="D86" i="2"/>
  <c r="F231" i="2"/>
  <c r="E223" i="2"/>
  <c r="F219" i="2"/>
  <c r="F207" i="2"/>
  <c r="F189" i="2"/>
  <c r="E231" i="2"/>
  <c r="D223" i="2"/>
  <c r="E219" i="2"/>
  <c r="E207" i="2"/>
  <c r="E201" i="2"/>
  <c r="F200" i="2"/>
  <c r="D189" i="2"/>
  <c r="E188" i="2"/>
  <c r="F185" i="2"/>
  <c r="E149" i="2"/>
  <c r="F86" i="2"/>
  <c r="D241" i="2"/>
  <c r="F239" i="2"/>
  <c r="D231" i="2"/>
  <c r="D225" i="2"/>
  <c r="C219" i="2"/>
  <c r="F216" i="2"/>
  <c r="D215" i="2"/>
  <c r="C207" i="2"/>
  <c r="D200" i="2"/>
  <c r="C189" i="2"/>
  <c r="E186" i="2"/>
  <c r="E185" i="2"/>
  <c r="D173" i="2"/>
  <c r="F171" i="2"/>
  <c r="E160" i="2"/>
  <c r="E128" i="2"/>
  <c r="F118" i="2"/>
  <c r="E108" i="2"/>
  <c r="F106" i="2"/>
  <c r="F92" i="2"/>
  <c r="E86" i="2"/>
  <c r="F250" i="2"/>
  <c r="D249" i="2"/>
  <c r="C248" i="2"/>
  <c r="C246" i="2"/>
  <c r="E6" i="2"/>
  <c r="C251" i="2"/>
  <c r="C250" i="2"/>
  <c r="C247" i="2"/>
  <c r="C152" i="2"/>
  <c r="D152" i="2"/>
  <c r="C70" i="2"/>
  <c r="E70" i="2"/>
  <c r="C40" i="2"/>
  <c r="E40" i="2"/>
  <c r="D167" i="2"/>
  <c r="C167" i="2"/>
  <c r="F237" i="2"/>
  <c r="E224" i="2"/>
  <c r="F224" i="2"/>
  <c r="F197" i="2"/>
  <c r="C192" i="2"/>
  <c r="E192" i="2"/>
  <c r="F187" i="2"/>
  <c r="F183" i="2"/>
  <c r="F175" i="2"/>
  <c r="F151" i="2"/>
  <c r="F150" i="2"/>
  <c r="D136" i="2"/>
  <c r="C136" i="2"/>
  <c r="C116" i="2"/>
  <c r="D116" i="2"/>
  <c r="C96" i="2"/>
  <c r="D96" i="2"/>
  <c r="C84" i="2"/>
  <c r="D84" i="2"/>
  <c r="F50" i="2"/>
  <c r="C44" i="2"/>
  <c r="F44" i="2"/>
  <c r="C34" i="2"/>
  <c r="E34" i="2"/>
  <c r="D237" i="2"/>
  <c r="F235" i="2"/>
  <c r="E213" i="2"/>
  <c r="E212" i="2"/>
  <c r="D211" i="2"/>
  <c r="C210" i="2"/>
  <c r="E210" i="2"/>
  <c r="D206" i="2"/>
  <c r="E206" i="2"/>
  <c r="E197" i="2"/>
  <c r="F195" i="2"/>
  <c r="C194" i="2"/>
  <c r="F194" i="2"/>
  <c r="D183" i="2"/>
  <c r="F177" i="2"/>
  <c r="D175" i="2"/>
  <c r="D174" i="2"/>
  <c r="E174" i="2"/>
  <c r="F167" i="2"/>
  <c r="F161" i="2"/>
  <c r="C161" i="2"/>
  <c r="E151" i="2"/>
  <c r="D150" i="2"/>
  <c r="F145" i="2"/>
  <c r="F141" i="2"/>
  <c r="C141" i="2"/>
  <c r="E122" i="2"/>
  <c r="F120" i="2"/>
  <c r="F116" i="2"/>
  <c r="C94" i="2"/>
  <c r="F94" i="2"/>
  <c r="F70" i="2"/>
  <c r="F47" i="2"/>
  <c r="C46" i="2"/>
  <c r="E46" i="2"/>
  <c r="F40" i="2"/>
  <c r="C36" i="2"/>
  <c r="E36" i="2"/>
  <c r="F36" i="2"/>
  <c r="F27" i="2"/>
  <c r="E176" i="2"/>
  <c r="D176" i="2"/>
  <c r="F229" i="2"/>
  <c r="F213" i="2"/>
  <c r="F212" i="2"/>
  <c r="F211" i="2"/>
  <c r="F243" i="2"/>
  <c r="D229" i="2"/>
  <c r="F227" i="2"/>
  <c r="F215" i="2"/>
  <c r="F199" i="2"/>
  <c r="F191" i="2"/>
  <c r="E187" i="2"/>
  <c r="E243" i="2"/>
  <c r="F241" i="2"/>
  <c r="C237" i="2"/>
  <c r="E235" i="2"/>
  <c r="F233" i="2"/>
  <c r="C229" i="2"/>
  <c r="E227" i="2"/>
  <c r="F225" i="2"/>
  <c r="D224" i="2"/>
  <c r="E222" i="2"/>
  <c r="E215" i="2"/>
  <c r="D213" i="2"/>
  <c r="C212" i="2"/>
  <c r="C211" i="2"/>
  <c r="F209" i="2"/>
  <c r="C208" i="2"/>
  <c r="D208" i="2"/>
  <c r="F205" i="2"/>
  <c r="D204" i="2"/>
  <c r="F204" i="2"/>
  <c r="E199" i="2"/>
  <c r="D197" i="2"/>
  <c r="D195" i="2"/>
  <c r="F193" i="2"/>
  <c r="F192" i="2"/>
  <c r="D191" i="2"/>
  <c r="C190" i="2"/>
  <c r="F190" i="2"/>
  <c r="D187" i="2"/>
  <c r="C183" i="2"/>
  <c r="D182" i="2"/>
  <c r="F182" i="2"/>
  <c r="E177" i="2"/>
  <c r="C176" i="2"/>
  <c r="C175" i="2"/>
  <c r="F173" i="2"/>
  <c r="C170" i="2"/>
  <c r="E169" i="2"/>
  <c r="D169" i="2"/>
  <c r="E167" i="2"/>
  <c r="F160" i="2"/>
  <c r="F152" i="2"/>
  <c r="C151" i="2"/>
  <c r="C150" i="2"/>
  <c r="D147" i="2"/>
  <c r="E145" i="2"/>
  <c r="F143" i="2"/>
  <c r="E142" i="2"/>
  <c r="F142" i="2"/>
  <c r="E126" i="2"/>
  <c r="D122" i="2"/>
  <c r="E116" i="2"/>
  <c r="D102" i="2"/>
  <c r="F96" i="2"/>
  <c r="F82" i="2"/>
  <c r="D70" i="2"/>
  <c r="E64" i="2"/>
  <c r="F57" i="2"/>
  <c r="D54" i="2"/>
  <c r="F51" i="2"/>
  <c r="C50" i="2"/>
  <c r="E50" i="2"/>
  <c r="D40" i="2"/>
  <c r="F37" i="2"/>
  <c r="C30" i="2"/>
  <c r="E30" i="2"/>
  <c r="F30" i="2"/>
  <c r="F246" i="2"/>
  <c r="D245" i="2"/>
  <c r="E26" i="2"/>
  <c r="F248" i="2"/>
  <c r="D247" i="2"/>
  <c r="D246" i="2"/>
  <c r="C245" i="2"/>
  <c r="E80" i="2"/>
  <c r="E72" i="2"/>
  <c r="D72" i="2"/>
  <c r="F72" i="2"/>
  <c r="F68" i="2"/>
  <c r="E68" i="2"/>
  <c r="E66" i="2"/>
  <c r="F66" i="2"/>
  <c r="F63" i="2"/>
  <c r="E62" i="2"/>
  <c r="D62" i="2"/>
  <c r="F62" i="2"/>
  <c r="F61" i="2"/>
  <c r="F59" i="2"/>
  <c r="E58" i="2"/>
  <c r="D56" i="2"/>
  <c r="F56" i="2"/>
  <c r="E56" i="2"/>
  <c r="F55" i="2"/>
  <c r="F53" i="2"/>
  <c r="E52" i="2"/>
  <c r="D52" i="2"/>
  <c r="F52" i="2"/>
  <c r="F49" i="2"/>
  <c r="E48" i="2"/>
  <c r="D48" i="2"/>
  <c r="F48" i="2"/>
  <c r="F45" i="2"/>
  <c r="F43" i="2"/>
  <c r="E42" i="2"/>
  <c r="D42" i="2"/>
  <c r="F42" i="2"/>
  <c r="F39" i="2"/>
  <c r="E38" i="2"/>
  <c r="D38" i="2"/>
  <c r="F38" i="2"/>
  <c r="F35" i="2"/>
  <c r="F34" i="2"/>
  <c r="F33" i="2"/>
  <c r="F32" i="2"/>
  <c r="E32" i="2"/>
  <c r="D32" i="2"/>
  <c r="F29" i="2"/>
  <c r="E28" i="2"/>
  <c r="D28" i="2"/>
  <c r="F28" i="2"/>
  <c r="F25" i="2"/>
  <c r="E24" i="2"/>
  <c r="D24" i="2"/>
  <c r="F24" i="2"/>
  <c r="F23" i="2"/>
  <c r="F22" i="2"/>
  <c r="E22" i="2"/>
  <c r="D22" i="2"/>
  <c r="F21" i="2"/>
  <c r="F20" i="2"/>
  <c r="E20" i="2"/>
  <c r="D20" i="2"/>
  <c r="F19" i="2"/>
  <c r="F18" i="2"/>
  <c r="E18" i="2"/>
  <c r="D18" i="2"/>
  <c r="F17" i="2"/>
  <c r="F16" i="2"/>
  <c r="E16" i="2"/>
  <c r="D16" i="2"/>
  <c r="F15" i="2"/>
  <c r="F14" i="2"/>
  <c r="E14" i="2"/>
  <c r="D14" i="2"/>
  <c r="F13" i="2"/>
  <c r="F12" i="2"/>
  <c r="E12" i="2"/>
  <c r="D12" i="2"/>
  <c r="F11" i="2"/>
  <c r="F10" i="2"/>
  <c r="E10" i="2"/>
  <c r="D10" i="2"/>
  <c r="F9" i="2"/>
  <c r="F8" i="2"/>
  <c r="E8" i="2"/>
  <c r="D8" i="2"/>
  <c r="F7" i="2"/>
  <c r="D6" i="2"/>
  <c r="F5" i="2"/>
  <c r="F251" i="2"/>
  <c r="F249" i="2"/>
  <c r="F247" i="2"/>
  <c r="F245" i="2"/>
  <c r="D202" i="2"/>
  <c r="D178" i="2"/>
  <c r="C244" i="2"/>
  <c r="C242" i="2"/>
  <c r="C240" i="2"/>
  <c r="C238" i="2"/>
  <c r="C236" i="2"/>
  <c r="C234" i="2"/>
  <c r="C232" i="2"/>
  <c r="C230" i="2"/>
  <c r="C228" i="2"/>
  <c r="C226" i="2"/>
  <c r="F208" i="2"/>
  <c r="F210" i="2"/>
  <c r="E208" i="2"/>
  <c r="C204" i="2"/>
  <c r="F186" i="2"/>
  <c r="E184" i="2"/>
  <c r="C180" i="2"/>
  <c r="D171" i="2"/>
  <c r="C166" i="2"/>
  <c r="D166" i="2"/>
  <c r="D163" i="2"/>
  <c r="E158" i="2"/>
  <c r="E148" i="2"/>
  <c r="C128" i="2"/>
  <c r="D128" i="2"/>
  <c r="C124" i="2"/>
  <c r="E124" i="2"/>
  <c r="F124" i="2"/>
  <c r="D120" i="2"/>
  <c r="C81" i="2"/>
  <c r="D81" i="2"/>
  <c r="E81" i="2"/>
  <c r="F81" i="2"/>
  <c r="C76" i="2"/>
  <c r="E76" i="2"/>
  <c r="F76" i="2"/>
  <c r="D184" i="2"/>
  <c r="D158" i="2"/>
  <c r="C153" i="2"/>
  <c r="D153" i="2"/>
  <c r="D148" i="2"/>
  <c r="E146" i="2"/>
  <c r="F146" i="2"/>
  <c r="F140" i="2"/>
  <c r="C112" i="2"/>
  <c r="D112" i="2"/>
  <c r="F112" i="2"/>
  <c r="C107" i="2"/>
  <c r="D107" i="2"/>
  <c r="E107" i="2"/>
  <c r="F107" i="2"/>
  <c r="C98" i="2"/>
  <c r="E98" i="2"/>
  <c r="C184" i="2"/>
  <c r="C158" i="2"/>
  <c r="F155" i="2"/>
  <c r="C148" i="2"/>
  <c r="E140" i="2"/>
  <c r="F130" i="2"/>
  <c r="C127" i="2"/>
  <c r="D127" i="2"/>
  <c r="E127" i="2"/>
  <c r="C123" i="2"/>
  <c r="D123" i="2"/>
  <c r="E123" i="2"/>
  <c r="C102" i="2"/>
  <c r="E102" i="2"/>
  <c r="C90" i="2"/>
  <c r="D90" i="2"/>
  <c r="E90" i="2"/>
  <c r="E214" i="2"/>
  <c r="E190" i="2"/>
  <c r="D168" i="2"/>
  <c r="E168" i="2"/>
  <c r="E152" i="2"/>
  <c r="D140" i="2"/>
  <c r="C134" i="2"/>
  <c r="D134" i="2"/>
  <c r="E130" i="2"/>
  <c r="F126" i="2"/>
  <c r="F122" i="2"/>
  <c r="E106" i="2"/>
  <c r="C85" i="2"/>
  <c r="D85" i="2"/>
  <c r="E85" i="2"/>
  <c r="F85" i="2"/>
  <c r="C80" i="2"/>
  <c r="D80" i="2"/>
  <c r="D155" i="2"/>
  <c r="E155" i="2"/>
  <c r="C119" i="2"/>
  <c r="D119" i="2"/>
  <c r="E119" i="2"/>
  <c r="C101" i="2"/>
  <c r="D101" i="2"/>
  <c r="E101" i="2"/>
  <c r="C93" i="2"/>
  <c r="D93" i="2"/>
  <c r="E93" i="2"/>
  <c r="F218" i="2"/>
  <c r="E172" i="2"/>
  <c r="D157" i="2"/>
  <c r="F154" i="2"/>
  <c r="F147" i="2"/>
  <c r="F139" i="2"/>
  <c r="E136" i="2"/>
  <c r="C133" i="2"/>
  <c r="D133" i="2"/>
  <c r="E133" i="2"/>
  <c r="D126" i="2"/>
  <c r="C115" i="2"/>
  <c r="D115" i="2"/>
  <c r="E115" i="2"/>
  <c r="C79" i="2"/>
  <c r="D79" i="2"/>
  <c r="E79" i="2"/>
  <c r="C74" i="2"/>
  <c r="E74" i="2"/>
  <c r="F220" i="2"/>
  <c r="E218" i="2"/>
  <c r="F196" i="2"/>
  <c r="E194" i="2"/>
  <c r="F222" i="2"/>
  <c r="E220" i="2"/>
  <c r="D218" i="2"/>
  <c r="F198" i="2"/>
  <c r="E196" i="2"/>
  <c r="D194" i="2"/>
  <c r="F174" i="2"/>
  <c r="D172" i="2"/>
  <c r="E170" i="2"/>
  <c r="F170" i="2"/>
  <c r="F164" i="2"/>
  <c r="E154" i="2"/>
  <c r="E147" i="2"/>
  <c r="F132" i="2"/>
  <c r="C105" i="2"/>
  <c r="D105" i="2"/>
  <c r="E105" i="2"/>
  <c r="F105" i="2"/>
  <c r="D220" i="2"/>
  <c r="C172" i="2"/>
  <c r="E164" i="2"/>
  <c r="F144" i="2"/>
  <c r="C142" i="2"/>
  <c r="D142" i="2"/>
  <c r="C139" i="2"/>
  <c r="E139" i="2"/>
  <c r="C110" i="2"/>
  <c r="F110" i="2"/>
  <c r="F104" i="2"/>
  <c r="C100" i="2"/>
  <c r="E100" i="2"/>
  <c r="F100" i="2"/>
  <c r="C88" i="2"/>
  <c r="D88" i="2"/>
  <c r="F88" i="2"/>
  <c r="C78" i="2"/>
  <c r="E78" i="2"/>
  <c r="F78" i="2"/>
  <c r="D196" i="2"/>
  <c r="E159" i="2"/>
  <c r="E157" i="2"/>
  <c r="F157" i="2"/>
  <c r="D154" i="2"/>
  <c r="F244" i="2"/>
  <c r="F242" i="2"/>
  <c r="F240" i="2"/>
  <c r="F238" i="2"/>
  <c r="F236" i="2"/>
  <c r="F234" i="2"/>
  <c r="F232" i="2"/>
  <c r="F230" i="2"/>
  <c r="F228" i="2"/>
  <c r="F226" i="2"/>
  <c r="F202" i="2"/>
  <c r="F178" i="2"/>
  <c r="D164" i="2"/>
  <c r="D159" i="2"/>
  <c r="F156" i="2"/>
  <c r="F138" i="2"/>
  <c r="C114" i="2"/>
  <c r="D114" i="2"/>
  <c r="E114" i="2"/>
  <c r="C109" i="2"/>
  <c r="D109" i="2"/>
  <c r="E109" i="2"/>
  <c r="F109" i="2"/>
  <c r="C83" i="2"/>
  <c r="D83" i="2"/>
  <c r="E83" i="2"/>
  <c r="F83" i="2"/>
  <c r="E178" i="2"/>
  <c r="C159" i="2"/>
  <c r="E156" i="2"/>
  <c r="E138" i="2"/>
  <c r="C129" i="2"/>
  <c r="D129" i="2"/>
  <c r="E129" i="2"/>
  <c r="C125" i="2"/>
  <c r="D125" i="2"/>
  <c r="E125" i="2"/>
  <c r="C104" i="2"/>
  <c r="D104" i="2"/>
  <c r="C77" i="2"/>
  <c r="D77" i="2"/>
  <c r="E77" i="2"/>
  <c r="E244" i="2"/>
  <c r="E242" i="2"/>
  <c r="E240" i="2"/>
  <c r="E238" i="2"/>
  <c r="E236" i="2"/>
  <c r="E234" i="2"/>
  <c r="E232" i="2"/>
  <c r="E230" i="2"/>
  <c r="E228" i="2"/>
  <c r="E226" i="2"/>
  <c r="E202" i="2"/>
  <c r="D146" i="2"/>
  <c r="D144" i="2"/>
  <c r="E144" i="2"/>
  <c r="D138" i="2"/>
  <c r="C117" i="2"/>
  <c r="D117" i="2"/>
  <c r="E117" i="2"/>
  <c r="C113" i="2"/>
  <c r="D113" i="2"/>
  <c r="E113" i="2"/>
  <c r="F98" i="2"/>
  <c r="E204" i="2"/>
  <c r="F153" i="2"/>
  <c r="C146" i="2"/>
  <c r="C135" i="2"/>
  <c r="D135" i="2"/>
  <c r="E135" i="2"/>
  <c r="E120" i="2"/>
  <c r="E112" i="2"/>
  <c r="C103" i="2"/>
  <c r="D103" i="2"/>
  <c r="E103" i="2"/>
  <c r="D98" i="2"/>
  <c r="C91" i="2"/>
  <c r="D91" i="2"/>
  <c r="E91" i="2"/>
  <c r="C82" i="2"/>
  <c r="D82" i="2"/>
  <c r="C111" i="2"/>
  <c r="D111" i="2"/>
  <c r="E111" i="2"/>
  <c r="C87" i="2"/>
  <c r="D87" i="2"/>
  <c r="E87" i="2"/>
  <c r="C137" i="2"/>
  <c r="D137" i="2"/>
  <c r="E137" i="2"/>
  <c r="C131" i="2"/>
  <c r="D131" i="2"/>
  <c r="E131" i="2"/>
  <c r="C121" i="2"/>
  <c r="D121" i="2"/>
  <c r="E121" i="2"/>
  <c r="C97" i="2"/>
  <c r="D97" i="2"/>
  <c r="E97" i="2"/>
  <c r="C73" i="2"/>
  <c r="D73" i="2"/>
  <c r="E73" i="2"/>
  <c r="D66" i="2"/>
  <c r="C69" i="2"/>
  <c r="D69" i="2"/>
  <c r="E69" i="2"/>
  <c r="F58" i="2"/>
  <c r="C89" i="2"/>
  <c r="D89" i="2"/>
  <c r="E89" i="2"/>
  <c r="C65" i="2"/>
  <c r="D65" i="2"/>
  <c r="E65" i="2"/>
  <c r="D58" i="2"/>
  <c r="F54" i="2"/>
  <c r="C99" i="2"/>
  <c r="D99" i="2"/>
  <c r="E99" i="2"/>
  <c r="C75" i="2"/>
  <c r="D75" i="2"/>
  <c r="E75" i="2"/>
  <c r="D68" i="2"/>
  <c r="F64" i="2"/>
  <c r="E54" i="2"/>
  <c r="D44" i="2"/>
  <c r="F108" i="2"/>
  <c r="C95" i="2"/>
  <c r="D95" i="2"/>
  <c r="E95" i="2"/>
  <c r="F84" i="2"/>
  <c r="C71" i="2"/>
  <c r="D71" i="2"/>
  <c r="E71" i="2"/>
  <c r="D64" i="2"/>
  <c r="F60" i="2"/>
  <c r="E60" i="2"/>
  <c r="C67" i="2"/>
  <c r="D67" i="2"/>
  <c r="E67" i="2"/>
  <c r="D60" i="2"/>
  <c r="E63" i="2"/>
  <c r="E61" i="2"/>
  <c r="E59" i="2"/>
  <c r="E57" i="2"/>
  <c r="E55" i="2"/>
  <c r="E53" i="2"/>
  <c r="E51" i="2"/>
  <c r="E49" i="2"/>
  <c r="E47" i="2"/>
  <c r="E45" i="2"/>
  <c r="E43" i="2"/>
  <c r="E41" i="2"/>
  <c r="E39" i="2"/>
  <c r="E37" i="2"/>
  <c r="E35" i="2"/>
  <c r="E33" i="2"/>
  <c r="E31" i="2"/>
  <c r="E29" i="2"/>
  <c r="E27" i="2"/>
  <c r="E25" i="2"/>
  <c r="E23" i="2"/>
  <c r="E21" i="2"/>
  <c r="E19" i="2"/>
  <c r="E17" i="2"/>
  <c r="E15" i="2"/>
  <c r="E13" i="2"/>
  <c r="E11" i="2"/>
  <c r="E9" i="2"/>
  <c r="E7" i="2"/>
  <c r="E5" i="2"/>
  <c r="D63" i="2"/>
  <c r="D61" i="2"/>
  <c r="D59" i="2"/>
  <c r="D57" i="2"/>
  <c r="D55" i="2"/>
  <c r="D53" i="2"/>
  <c r="D51" i="2"/>
  <c r="D49" i="2"/>
  <c r="D47" i="2"/>
  <c r="D45" i="2"/>
  <c r="D43" i="2"/>
  <c r="D41" i="2"/>
  <c r="D39" i="2"/>
  <c r="D37" i="2"/>
  <c r="D35" i="2"/>
  <c r="D33" i="2"/>
  <c r="D31" i="2"/>
  <c r="D29" i="2"/>
  <c r="D27" i="2"/>
  <c r="D25" i="2"/>
  <c r="D23" i="2"/>
  <c r="D21" i="2"/>
  <c r="D19" i="2"/>
  <c r="D17" i="2"/>
  <c r="D15" i="2"/>
  <c r="D13" i="2"/>
  <c r="D11" i="2"/>
  <c r="D9" i="2"/>
  <c r="D7" i="2"/>
  <c r="D5" i="2"/>
  <c r="C4" i="2"/>
  <c r="F3" i="2"/>
  <c r="D3" i="2"/>
  <c r="F4" i="2"/>
  <c r="E3" i="2"/>
  <c r="C2" i="2"/>
  <c r="D2" i="2"/>
  <c r="D4" i="2"/>
  <c r="B156" i="2" l="1"/>
  <c r="B166" i="2"/>
  <c r="B64" i="2"/>
  <c r="B104" i="2"/>
  <c r="B2" i="2"/>
  <c r="B179" i="2"/>
  <c r="B205" i="2"/>
  <c r="B31" i="2"/>
  <c r="B7" i="2"/>
  <c r="B23" i="2"/>
  <c r="B39" i="2"/>
  <c r="B66" i="2"/>
  <c r="B140" i="2"/>
  <c r="B224" i="2"/>
  <c r="B15" i="2"/>
  <c r="B68" i="2"/>
  <c r="B58" i="2"/>
  <c r="B80" i="2"/>
  <c r="B214" i="2"/>
  <c r="B158" i="2"/>
  <c r="B150" i="2"/>
  <c r="B213" i="2"/>
  <c r="B9" i="2"/>
  <c r="B25" i="2"/>
  <c r="B41" i="2"/>
  <c r="B49" i="2"/>
  <c r="B57" i="2"/>
  <c r="B121" i="2"/>
  <c r="B111" i="2"/>
  <c r="B117" i="2"/>
  <c r="B88" i="2"/>
  <c r="B139" i="2"/>
  <c r="B115" i="2"/>
  <c r="B133" i="2"/>
  <c r="B119" i="2"/>
  <c r="B85" i="2"/>
  <c r="B123" i="2"/>
  <c r="B8" i="2"/>
  <c r="B10" i="2"/>
  <c r="B12" i="2"/>
  <c r="B17" i="2"/>
  <c r="B33" i="2"/>
  <c r="B4" i="2"/>
  <c r="B172" i="2"/>
  <c r="B19" i="2"/>
  <c r="B35" i="2"/>
  <c r="B51" i="2"/>
  <c r="B138" i="2"/>
  <c r="B126" i="2"/>
  <c r="B184" i="2"/>
  <c r="B151" i="2"/>
  <c r="B11" i="2"/>
  <c r="B27" i="2"/>
  <c r="B43" i="2"/>
  <c r="B59" i="2"/>
  <c r="B60" i="2"/>
  <c r="B180" i="2"/>
  <c r="B6" i="2"/>
  <c r="B183" i="2"/>
  <c r="B197" i="2"/>
  <c r="B229" i="2"/>
  <c r="B207" i="2"/>
  <c r="B187" i="2"/>
  <c r="B165" i="2"/>
  <c r="B14" i="2"/>
  <c r="B16" i="2"/>
  <c r="B18" i="2"/>
  <c r="B22" i="2"/>
  <c r="B36" i="2"/>
  <c r="B161" i="2"/>
  <c r="B189" i="2"/>
  <c r="B86" i="2"/>
  <c r="B219" i="2"/>
  <c r="B162" i="2"/>
  <c r="B48" i="2"/>
  <c r="B52" i="2"/>
  <c r="B223" i="2"/>
  <c r="B47" i="2"/>
  <c r="B202" i="2"/>
  <c r="B174" i="2"/>
  <c r="B192" i="2"/>
  <c r="B108" i="2"/>
  <c r="B235" i="2"/>
  <c r="B239" i="2"/>
  <c r="B149" i="2"/>
  <c r="B164" i="2"/>
  <c r="B157" i="2"/>
  <c r="B24" i="2"/>
  <c r="B28" i="2"/>
  <c r="B54" i="2"/>
  <c r="B122" i="2"/>
  <c r="B182" i="2"/>
  <c r="B241" i="2"/>
  <c r="B243" i="2"/>
  <c r="B185" i="2"/>
  <c r="B26" i="2"/>
  <c r="B118" i="2"/>
  <c r="B130" i="2"/>
  <c r="B216" i="2"/>
  <c r="B106" i="2"/>
  <c r="B5" i="2"/>
  <c r="B13" i="2"/>
  <c r="B21" i="2"/>
  <c r="B29" i="2"/>
  <c r="B37" i="2"/>
  <c r="B45" i="2"/>
  <c r="B53" i="2"/>
  <c r="B61" i="2"/>
  <c r="B154" i="2"/>
  <c r="B196" i="2"/>
  <c r="B220" i="2"/>
  <c r="B218" i="2"/>
  <c r="B155" i="2"/>
  <c r="B168" i="2"/>
  <c r="B120" i="2"/>
  <c r="B56" i="2"/>
  <c r="B92" i="2"/>
  <c r="B145" i="2"/>
  <c r="B199" i="2"/>
  <c r="B227" i="2"/>
  <c r="B193" i="2"/>
  <c r="B221" i="2"/>
  <c r="B55" i="2"/>
  <c r="B63" i="2"/>
  <c r="B144" i="2"/>
  <c r="B178" i="2"/>
  <c r="B38" i="2"/>
  <c r="B42" i="2"/>
  <c r="B62" i="2"/>
  <c r="B72" i="2"/>
  <c r="B147" i="2"/>
  <c r="B160" i="2"/>
  <c r="B186" i="2"/>
  <c r="B215" i="2"/>
  <c r="B231" i="2"/>
  <c r="B153" i="2"/>
  <c r="B232" i="2"/>
  <c r="B240" i="2"/>
  <c r="B208" i="2"/>
  <c r="B44" i="2"/>
  <c r="B136" i="2"/>
  <c r="B40" i="2"/>
  <c r="B152" i="2"/>
  <c r="B173" i="2"/>
  <c r="B249" i="2"/>
  <c r="B233" i="2"/>
  <c r="B206" i="2"/>
  <c r="B201" i="2"/>
  <c r="B67" i="2"/>
  <c r="B97" i="2"/>
  <c r="B87" i="2"/>
  <c r="B91" i="2"/>
  <c r="B103" i="2"/>
  <c r="B113" i="2"/>
  <c r="B159" i="2"/>
  <c r="B114" i="2"/>
  <c r="B78" i="2"/>
  <c r="B79" i="2"/>
  <c r="B101" i="2"/>
  <c r="B102" i="2"/>
  <c r="B76" i="2"/>
  <c r="B81" i="2"/>
  <c r="B124" i="2"/>
  <c r="B204" i="2"/>
  <c r="B226" i="2"/>
  <c r="B234" i="2"/>
  <c r="B242" i="2"/>
  <c r="B175" i="2"/>
  <c r="B190" i="2"/>
  <c r="B237" i="2"/>
  <c r="B194" i="2"/>
  <c r="B96" i="2"/>
  <c r="B167" i="2"/>
  <c r="B247" i="2"/>
  <c r="B246" i="2"/>
  <c r="B132" i="2"/>
  <c r="B217" i="2"/>
  <c r="B181" i="2"/>
  <c r="B169" i="2"/>
  <c r="B99" i="2"/>
  <c r="B89" i="2"/>
  <c r="B69" i="2"/>
  <c r="B73" i="2"/>
  <c r="B137" i="2"/>
  <c r="B82" i="2"/>
  <c r="B135" i="2"/>
  <c r="B77" i="2"/>
  <c r="B129" i="2"/>
  <c r="B83" i="2"/>
  <c r="B109" i="2"/>
  <c r="B110" i="2"/>
  <c r="B142" i="2"/>
  <c r="B105" i="2"/>
  <c r="B74" i="2"/>
  <c r="B93" i="2"/>
  <c r="B134" i="2"/>
  <c r="B148" i="2"/>
  <c r="B112" i="2"/>
  <c r="B228" i="2"/>
  <c r="B236" i="2"/>
  <c r="B244" i="2"/>
  <c r="B245" i="2"/>
  <c r="B176" i="2"/>
  <c r="B211" i="2"/>
  <c r="B34" i="2"/>
  <c r="B70" i="2"/>
  <c r="B250" i="2"/>
  <c r="B248" i="2"/>
  <c r="B188" i="2"/>
  <c r="B225" i="2"/>
  <c r="B198" i="2"/>
  <c r="B222" i="2"/>
  <c r="B177" i="2"/>
  <c r="B163" i="2"/>
  <c r="B71" i="2"/>
  <c r="B95" i="2"/>
  <c r="B75" i="2"/>
  <c r="B65" i="2"/>
  <c r="B131" i="2"/>
  <c r="B146" i="2"/>
  <c r="B125" i="2"/>
  <c r="B100" i="2"/>
  <c r="B90" i="2"/>
  <c r="B127" i="2"/>
  <c r="B98" i="2"/>
  <c r="B107" i="2"/>
  <c r="B128" i="2"/>
  <c r="B230" i="2"/>
  <c r="B238" i="2"/>
  <c r="B30" i="2"/>
  <c r="B50" i="2"/>
  <c r="B170" i="2"/>
  <c r="B212" i="2"/>
  <c r="B46" i="2"/>
  <c r="B94" i="2"/>
  <c r="B141" i="2"/>
  <c r="B210" i="2"/>
  <c r="B84" i="2"/>
  <c r="B116" i="2"/>
  <c r="B251" i="2"/>
  <c r="B143" i="2"/>
  <c r="B195" i="2"/>
  <c r="B209" i="2"/>
  <c r="B200" i="2"/>
  <c r="B203" i="2"/>
  <c r="B171" i="2"/>
  <c r="B191" i="2"/>
  <c r="B3" i="2"/>
  <c r="B20" i="2"/>
  <c r="B3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tc={DCF31BA8-418B-4680-95C4-482D6C21F36C}</author>
  </authors>
  <commentList>
    <comment ref="D4" authorId="0" shapeId="0" xr:uid="{DCF31BA8-418B-4680-95C4-482D6C21F36C}">
      <text>
        <t>[Threaded comment]
Your version of Excel allows you to read this threaded comment; however, any edits to it will get removed if the file is opened in a newer version of Excel. Learn more: https://go.microsoft.com/fwlink/?linkid=870924
Comment:
    dem so chu cua dong nay, neu lon hon 26 thi canh bao</t>
      </text>
    </comment>
  </commentList>
</comments>
</file>

<file path=xl/sharedStrings.xml><?xml version="1.0" encoding="utf-8"?>
<sst xmlns="http://schemas.openxmlformats.org/spreadsheetml/2006/main" count="19491" uniqueCount="8999">
  <si>
    <t>&lt;break time="1s"/&gt;</t>
    <phoneticPr fontId="6"/>
  </si>
  <si>
    <t>Kanji 1</t>
  </si>
  <si>
    <t>Kanji 2</t>
  </si>
  <si>
    <t>Kanji 3</t>
  </si>
  <si>
    <t>Kanji 4</t>
  </si>
  <si>
    <t>漢字</t>
  </si>
  <si>
    <t>Han Viet</t>
    <phoneticPr fontId="9"/>
  </si>
  <si>
    <t>部首</t>
  </si>
  <si>
    <t>画数</t>
  </si>
  <si>
    <t>音読み</t>
  </si>
  <si>
    <t>訓読み</t>
  </si>
  <si>
    <t>Do NOT edit data on this sheet !!!</t>
  </si>
  <si>
    <t>婀</t>
  </si>
  <si>
    <t>A</t>
  </si>
  <si>
    <t>女</t>
  </si>
  <si>
    <t>ア</t>
  </si>
  <si>
    <t>But if you know what you are doing …</t>
  </si>
  <si>
    <t>阿</t>
  </si>
  <si>
    <t>A/Á</t>
  </si>
  <si>
    <t>阜</t>
  </si>
  <si>
    <t>おもね・る</t>
  </si>
  <si>
    <t>哀</t>
  </si>
  <si>
    <t>AI</t>
  </si>
  <si>
    <t>口</t>
  </si>
  <si>
    <t>アイ</t>
  </si>
  <si>
    <t>あわ・れ</t>
  </si>
  <si>
    <t>埃</t>
  </si>
  <si>
    <t>土</t>
  </si>
  <si>
    <t>ほこり</t>
  </si>
  <si>
    <t>欸</t>
  </si>
  <si>
    <t>AI/ÁI</t>
  </si>
  <si>
    <t>欠</t>
  </si>
  <si>
    <t>挨</t>
  </si>
  <si>
    <t>AI/ẢI</t>
  </si>
  <si>
    <t>手</t>
  </si>
  <si>
    <t>諳</t>
  </si>
  <si>
    <t>AM</t>
  </si>
  <si>
    <t>言</t>
  </si>
  <si>
    <t>アン</t>
  </si>
  <si>
    <t>そら・んずる</t>
  </si>
  <si>
    <t>庵</t>
  </si>
  <si>
    <t>广</t>
  </si>
  <si>
    <t>いおり</t>
  </si>
  <si>
    <t>安</t>
  </si>
  <si>
    <t>AN</t>
  </si>
  <si>
    <t>宀</t>
  </si>
  <si>
    <t>やす・い</t>
  </si>
  <si>
    <t>英</t>
  </si>
  <si>
    <t>ANH</t>
  </si>
  <si>
    <t>艸</t>
  </si>
  <si>
    <t>エイ</t>
  </si>
  <si>
    <t>はなぶさ</t>
  </si>
  <si>
    <t>桜</t>
  </si>
  <si>
    <t>木</t>
  </si>
  <si>
    <t>オウ</t>
  </si>
  <si>
    <t>さくら</t>
  </si>
  <si>
    <t>瑛</t>
  </si>
  <si>
    <t>王</t>
  </si>
  <si>
    <t>櫻</t>
  </si>
  <si>
    <t>罌</t>
  </si>
  <si>
    <t>缶</t>
  </si>
  <si>
    <t>瓔</t>
  </si>
  <si>
    <t>霙</t>
  </si>
  <si>
    <t>雨</t>
  </si>
  <si>
    <t>みぞれ</t>
  </si>
  <si>
    <t>嚶</t>
  </si>
  <si>
    <t>嬰</t>
  </si>
  <si>
    <t>凹</t>
  </si>
  <si>
    <t>AO</t>
  </si>
  <si>
    <t>凵</t>
  </si>
  <si>
    <t>くぼ・む、へこ・む</t>
  </si>
  <si>
    <t xml:space="preserve"> </t>
    <phoneticPr fontId="9"/>
  </si>
  <si>
    <t>亜</t>
  </si>
  <si>
    <t>Á</t>
  </si>
  <si>
    <t>二</t>
  </si>
  <si>
    <t>痾</t>
  </si>
  <si>
    <t>病-丙</t>
  </si>
  <si>
    <t>亞</t>
  </si>
  <si>
    <t>唖</t>
  </si>
  <si>
    <t>悪</t>
  </si>
  <si>
    <t>ÁC</t>
  </si>
  <si>
    <t>心</t>
  </si>
  <si>
    <t>アク</t>
  </si>
  <si>
    <t>わる・い</t>
  </si>
  <si>
    <t>握</t>
  </si>
  <si>
    <t>にぎ・る</t>
  </si>
  <si>
    <t>渥</t>
  </si>
  <si>
    <t>水</t>
  </si>
  <si>
    <t>堊</t>
  </si>
  <si>
    <t>ア/ アク</t>
  </si>
  <si>
    <t>惡</t>
  </si>
  <si>
    <t>齷</t>
  </si>
  <si>
    <t>齒</t>
  </si>
  <si>
    <t>厄</t>
  </si>
  <si>
    <t>ÁCH</t>
  </si>
  <si>
    <t>厂</t>
  </si>
  <si>
    <t>ヤク</t>
  </si>
  <si>
    <t>わざわい</t>
  </si>
  <si>
    <t>扼</t>
  </si>
  <si>
    <t>ヤク/ アク</t>
  </si>
  <si>
    <t>愛</t>
  </si>
  <si>
    <t>ÁI</t>
  </si>
  <si>
    <t>め・でる、お・しむ、まな</t>
  </si>
  <si>
    <t>曖</t>
  </si>
  <si>
    <t>日</t>
  </si>
  <si>
    <t>藹</t>
  </si>
  <si>
    <t>暗</t>
  </si>
  <si>
    <t>ÁM</t>
  </si>
  <si>
    <t>くら・い</t>
  </si>
  <si>
    <t>闇</t>
  </si>
  <si>
    <t>門</t>
  </si>
  <si>
    <t>やみ</t>
  </si>
  <si>
    <t>案</t>
  </si>
  <si>
    <t>ÁN</t>
  </si>
  <si>
    <t>あん、あん・ずる</t>
  </si>
  <si>
    <t>按</t>
  </si>
  <si>
    <t>暎</t>
  </si>
  <si>
    <t>ÁNH</t>
  </si>
  <si>
    <t>うつ・る、は・える</t>
  </si>
  <si>
    <t>奥</t>
  </si>
  <si>
    <t>ÁO</t>
  </si>
  <si>
    <t>大</t>
  </si>
  <si>
    <t>オク/ オウ</t>
  </si>
  <si>
    <t>懊</t>
  </si>
  <si>
    <t>墺</t>
  </si>
  <si>
    <t>奧</t>
  </si>
  <si>
    <t>圧</t>
  </si>
  <si>
    <t>ÁP</t>
  </si>
  <si>
    <t>アツ</t>
  </si>
  <si>
    <t>押</t>
  </si>
  <si>
    <t>お・す</t>
  </si>
  <si>
    <t>鴨</t>
  </si>
  <si>
    <t>鳥</t>
  </si>
  <si>
    <t>かも</t>
  </si>
  <si>
    <t>壓</t>
  </si>
  <si>
    <t>靄</t>
  </si>
  <si>
    <t>ẢI</t>
  </si>
  <si>
    <t>もや</t>
  </si>
  <si>
    <t>黯</t>
  </si>
  <si>
    <t>ẢM</t>
  </si>
  <si>
    <t>黒</t>
  </si>
  <si>
    <t>影</t>
  </si>
  <si>
    <t>ẢNH</t>
  </si>
  <si>
    <t>彡</t>
  </si>
  <si>
    <t>かげ</t>
  </si>
  <si>
    <t>映</t>
  </si>
  <si>
    <t>ẢNH/ÁNH</t>
  </si>
  <si>
    <t>幻</t>
  </si>
  <si>
    <t>ẢO</t>
  </si>
  <si>
    <t>幺</t>
  </si>
  <si>
    <t>ゲン</t>
  </si>
  <si>
    <t>まぼろし</t>
  </si>
  <si>
    <t>陰</t>
  </si>
  <si>
    <t>ÂM</t>
  </si>
  <si>
    <t>イン/ オン</t>
  </si>
  <si>
    <t>かげ、かげ・る</t>
  </si>
  <si>
    <t>音</t>
  </si>
  <si>
    <t>おと、ね</t>
  </si>
  <si>
    <t>恩</t>
  </si>
  <si>
    <t>ÂN</t>
  </si>
  <si>
    <t>オン</t>
  </si>
  <si>
    <t>慇</t>
  </si>
  <si>
    <t>殷</t>
  </si>
  <si>
    <t>殳</t>
  </si>
  <si>
    <t>イン</t>
  </si>
  <si>
    <t>欧</t>
  </si>
  <si>
    <t>ÂU</t>
  </si>
  <si>
    <t>謳</t>
  </si>
  <si>
    <t>うた・う</t>
  </si>
  <si>
    <t>歐</t>
  </si>
  <si>
    <t>ÂU/ẨU</t>
  </si>
  <si>
    <t>印</t>
  </si>
  <si>
    <t>ẤN</t>
  </si>
  <si>
    <t>卩</t>
  </si>
  <si>
    <t>しるし、しる・す</t>
  </si>
  <si>
    <t>悒</t>
  </si>
  <si>
    <t>ẤP</t>
  </si>
  <si>
    <t>ユウ</t>
  </si>
  <si>
    <t>揖</t>
  </si>
  <si>
    <t>邑</t>
  </si>
  <si>
    <t>ユウ/ オウ</t>
  </si>
  <si>
    <t>むら</t>
  </si>
  <si>
    <t>乙</t>
  </si>
  <si>
    <t>ẤT</t>
  </si>
  <si>
    <t>オツ/ イツ</t>
  </si>
  <si>
    <t>おと、きのと</t>
  </si>
  <si>
    <t>幼</t>
  </si>
  <si>
    <t>ẤU</t>
  </si>
  <si>
    <t>ヨウ</t>
  </si>
  <si>
    <t>おさな・い</t>
  </si>
  <si>
    <t>拗</t>
  </si>
  <si>
    <t>ヨウ/ オウ</t>
  </si>
  <si>
    <t>ねじ・ける、す・ねる</t>
  </si>
  <si>
    <t>飲</t>
  </si>
  <si>
    <t>ẨM</t>
  </si>
  <si>
    <t>食</t>
  </si>
  <si>
    <t>の・む</t>
  </si>
  <si>
    <t>蔭</t>
  </si>
  <si>
    <t>隠</t>
  </si>
  <si>
    <t>ẨN</t>
  </si>
  <si>
    <t>かく・す、かく・れる</t>
  </si>
  <si>
    <t>殴</t>
  </si>
  <si>
    <t>ẨU</t>
  </si>
  <si>
    <t>なぐ・る</t>
  </si>
  <si>
    <t>毆</t>
  </si>
  <si>
    <t>嘔</t>
  </si>
  <si>
    <t>媼</t>
  </si>
  <si>
    <t>嫗</t>
  </si>
  <si>
    <t>ウ</t>
  </si>
  <si>
    <t>波</t>
  </si>
  <si>
    <t>BA</t>
  </si>
  <si>
    <t>ハ</t>
  </si>
  <si>
    <t>なみ</t>
  </si>
  <si>
    <t>巴</t>
  </si>
  <si>
    <t>己</t>
  </si>
  <si>
    <t>ともえ</t>
  </si>
  <si>
    <t>班</t>
  </si>
  <si>
    <t>BAN</t>
  </si>
  <si>
    <t>玉</t>
  </si>
  <si>
    <t>ハン</t>
  </si>
  <si>
    <t>頒</t>
  </si>
  <si>
    <t>頁</t>
  </si>
  <si>
    <t>袢</t>
  </si>
  <si>
    <t>衣</t>
  </si>
  <si>
    <t>ハン/ バン</t>
  </si>
  <si>
    <t>斑</t>
  </si>
  <si>
    <t>文</t>
  </si>
  <si>
    <t>まだら、ぶち</t>
  </si>
  <si>
    <t>瘢</t>
  </si>
  <si>
    <t>般</t>
  </si>
  <si>
    <t>BAN/BÀN</t>
  </si>
  <si>
    <t>舟</t>
  </si>
  <si>
    <t>搬</t>
  </si>
  <si>
    <t>邦</t>
  </si>
  <si>
    <t>BANG</t>
  </si>
  <si>
    <t>ホウ</t>
  </si>
  <si>
    <t>くに</t>
  </si>
  <si>
    <t>幇</t>
  </si>
  <si>
    <t>巾</t>
  </si>
  <si>
    <t>褒</t>
  </si>
  <si>
    <t>BAO</t>
  </si>
  <si>
    <t>ほ・める</t>
  </si>
  <si>
    <t>包</t>
  </si>
  <si>
    <t>勹</t>
  </si>
  <si>
    <t>つつ・む</t>
  </si>
  <si>
    <t>鞄</t>
  </si>
  <si>
    <t>革</t>
  </si>
  <si>
    <t>ハク/ ホウ</t>
  </si>
  <si>
    <t>かばん</t>
  </si>
  <si>
    <t>襃</t>
  </si>
  <si>
    <t>覇</t>
  </si>
  <si>
    <t>BÁ</t>
  </si>
  <si>
    <t>襾</t>
  </si>
  <si>
    <t>伯</t>
  </si>
  <si>
    <t>人</t>
  </si>
  <si>
    <t>ハク/ ハ</t>
  </si>
  <si>
    <t>播</t>
  </si>
  <si>
    <t>ま・く</t>
  </si>
  <si>
    <t>叭</t>
  </si>
  <si>
    <t>BÁ/BÁT</t>
  </si>
  <si>
    <t>ハ/ ハツ</t>
  </si>
  <si>
    <t>博</t>
  </si>
  <si>
    <t>BÁC</t>
  </si>
  <si>
    <t>十</t>
  </si>
  <si>
    <t>ハク/ バク</t>
  </si>
  <si>
    <t>搏</t>
  </si>
  <si>
    <t>ハク</t>
  </si>
  <si>
    <t>駁</t>
  </si>
  <si>
    <t>馬</t>
  </si>
  <si>
    <t>バク/ ハク</t>
  </si>
  <si>
    <t>剥</t>
  </si>
  <si>
    <t>刀</t>
  </si>
  <si>
    <t>は・ぐ、は・げる、む・く</t>
  </si>
  <si>
    <t>迫</t>
  </si>
  <si>
    <t>BÁCH</t>
  </si>
  <si>
    <t>道-首</t>
  </si>
  <si>
    <t>ハク/ ヒャク</t>
  </si>
  <si>
    <t>せま・る</t>
  </si>
  <si>
    <t>百</t>
  </si>
  <si>
    <t>白</t>
  </si>
  <si>
    <t>ヒャク</t>
  </si>
  <si>
    <t>もも</t>
  </si>
  <si>
    <t>栢</t>
  </si>
  <si>
    <t>佰</t>
  </si>
  <si>
    <t>岶</t>
  </si>
  <si>
    <t>山</t>
  </si>
  <si>
    <t>柏</t>
  </si>
  <si>
    <t>BÁCH/BÁ</t>
  </si>
  <si>
    <t>かしわ</t>
  </si>
  <si>
    <t>拝</t>
  </si>
  <si>
    <t>BÁI</t>
  </si>
  <si>
    <t>ハイ</t>
  </si>
  <si>
    <t>おが・む</t>
  </si>
  <si>
    <t>排</t>
  </si>
  <si>
    <t>拜</t>
  </si>
  <si>
    <t>旆</t>
  </si>
  <si>
    <t>方</t>
  </si>
  <si>
    <t>半</t>
  </si>
  <si>
    <t>BÁN</t>
  </si>
  <si>
    <t>なか・ば</t>
  </si>
  <si>
    <t>絆</t>
  </si>
  <si>
    <t>糸</t>
  </si>
  <si>
    <t>きずな</t>
  </si>
  <si>
    <t>謗</t>
  </si>
  <si>
    <t>BÁNG</t>
  </si>
  <si>
    <t>ホウ/ ボウ</t>
  </si>
  <si>
    <t>そし・る</t>
  </si>
  <si>
    <t>報</t>
  </si>
  <si>
    <t>BÁO</t>
  </si>
  <si>
    <t>むく・いる、しら・せる</t>
  </si>
  <si>
    <t>豹</t>
  </si>
  <si>
    <t>豸</t>
  </si>
  <si>
    <t>ヒョウ</t>
  </si>
  <si>
    <t>鉢</t>
  </si>
  <si>
    <t>BÁT</t>
  </si>
  <si>
    <t>金</t>
  </si>
  <si>
    <t>ハチ/ ハツ</t>
  </si>
  <si>
    <t>八</t>
  </si>
  <si>
    <t>や、や・つ</t>
  </si>
  <si>
    <t>捌</t>
  </si>
  <si>
    <t>ハツ</t>
  </si>
  <si>
    <t>さば・く</t>
  </si>
  <si>
    <t>撥</t>
  </si>
  <si>
    <t>は・ねる</t>
  </si>
  <si>
    <t>癶</t>
  </si>
  <si>
    <t>はつがしら</t>
  </si>
  <si>
    <t>婆</t>
  </si>
  <si>
    <t>BÀ</t>
  </si>
  <si>
    <t>バ</t>
  </si>
  <si>
    <t>ばば</t>
  </si>
  <si>
    <t>杷</t>
  </si>
  <si>
    <t>琶</t>
  </si>
  <si>
    <t>ビ/ ヒ</t>
  </si>
  <si>
    <t>俳</t>
  </si>
  <si>
    <t>BÀI</t>
  </si>
  <si>
    <t>擺</t>
  </si>
  <si>
    <t>牌</t>
  </si>
  <si>
    <t>片</t>
  </si>
  <si>
    <t>ハイ/ ベ</t>
  </si>
  <si>
    <t>ふだ</t>
  </si>
  <si>
    <t>盤</t>
  </si>
  <si>
    <t>BÀN</t>
  </si>
  <si>
    <t>皿</t>
  </si>
  <si>
    <t>槃</t>
  </si>
  <si>
    <t>傍</t>
  </si>
  <si>
    <t>BÀNG</t>
  </si>
  <si>
    <t>ボウ/ ホウ</t>
  </si>
  <si>
    <t>かたわ・ら</t>
  </si>
  <si>
    <t>旁</t>
  </si>
  <si>
    <t>彷</t>
  </si>
  <si>
    <t>BÀNG/PHẢNG</t>
  </si>
  <si>
    <t>彳</t>
  </si>
  <si>
    <t>膨</t>
  </si>
  <si>
    <t>BÀNH</t>
  </si>
  <si>
    <t>月</t>
  </si>
  <si>
    <t>ふく・らむ</t>
  </si>
  <si>
    <t>彭</t>
  </si>
  <si>
    <t>ホウ/ ビョウ</t>
  </si>
  <si>
    <t>胞</t>
  </si>
  <si>
    <t>BÀO</t>
  </si>
  <si>
    <t>疱</t>
  </si>
  <si>
    <t>咆</t>
  </si>
  <si>
    <t>ほ・える</t>
  </si>
  <si>
    <t>垉</t>
  </si>
  <si>
    <t>くず・れる</t>
  </si>
  <si>
    <t>庖</t>
  </si>
  <si>
    <t>把</t>
  </si>
  <si>
    <t>BẢ</t>
  </si>
  <si>
    <t>たば、わ</t>
  </si>
  <si>
    <t>板</t>
  </si>
  <si>
    <t>BẢN/BẢNG</t>
  </si>
  <si>
    <t>いた</t>
  </si>
  <si>
    <t>本</t>
  </si>
  <si>
    <t>BẢN/BỔN</t>
  </si>
  <si>
    <t>ホン</t>
  </si>
  <si>
    <t>もと</t>
  </si>
  <si>
    <t>榜</t>
  </si>
  <si>
    <t>BẢNG</t>
  </si>
  <si>
    <t>保</t>
  </si>
  <si>
    <t>BẢO</t>
  </si>
  <si>
    <t>ホ</t>
  </si>
  <si>
    <t>たも・つ</t>
  </si>
  <si>
    <t>宝</t>
  </si>
  <si>
    <t>たから</t>
  </si>
  <si>
    <t>褓</t>
  </si>
  <si>
    <t>堡</t>
  </si>
  <si>
    <t>寳</t>
  </si>
  <si>
    <t>寶</t>
  </si>
  <si>
    <t>罷</t>
  </si>
  <si>
    <t>BÃI</t>
  </si>
  <si>
    <t>网</t>
  </si>
  <si>
    <t>ヒ</t>
  </si>
  <si>
    <t>飽</t>
  </si>
  <si>
    <t>BÃO</t>
  </si>
  <si>
    <t>あ・きる</t>
  </si>
  <si>
    <t>抱</t>
  </si>
  <si>
    <t>かか・える、だ・く</t>
  </si>
  <si>
    <t>舶</t>
  </si>
  <si>
    <t>BẠC</t>
  </si>
  <si>
    <t>ハク/ ビャク</t>
  </si>
  <si>
    <t>薄</t>
  </si>
  <si>
    <t>うす・い</t>
  </si>
  <si>
    <t>箔</t>
  </si>
  <si>
    <t>竹</t>
  </si>
  <si>
    <t>亳</t>
  </si>
  <si>
    <t>亠</t>
  </si>
  <si>
    <t>泊</t>
  </si>
  <si>
    <t>BẠC/PHÁCH</t>
  </si>
  <si>
    <t>ハク/ バク/ ヒャク</t>
  </si>
  <si>
    <t>と・まる</t>
  </si>
  <si>
    <t>BẠCH</t>
  </si>
  <si>
    <t>しろ、しら、しろ・い</t>
  </si>
  <si>
    <t>敗</t>
  </si>
  <si>
    <t>BẠI</t>
  </si>
  <si>
    <t>攵</t>
  </si>
  <si>
    <t>やぶ・れる</t>
  </si>
  <si>
    <t>憊</t>
  </si>
  <si>
    <t>ハイ/ バイ</t>
  </si>
  <si>
    <t>畔</t>
  </si>
  <si>
    <t>BẠN</t>
  </si>
  <si>
    <t>田</t>
  </si>
  <si>
    <t>あぜ</t>
  </si>
  <si>
    <t>伴</t>
  </si>
  <si>
    <t>ともなう・</t>
  </si>
  <si>
    <t>拌</t>
  </si>
  <si>
    <t>蚌</t>
  </si>
  <si>
    <t>BẠNG</t>
  </si>
  <si>
    <t>虫</t>
  </si>
  <si>
    <t>ボウ</t>
  </si>
  <si>
    <t>暴</t>
  </si>
  <si>
    <t>BẠO/BỘC</t>
  </si>
  <si>
    <t>ボウ/ バク</t>
  </si>
  <si>
    <t>あば・れる</t>
  </si>
  <si>
    <t>抜</t>
  </si>
  <si>
    <t>BẠT</t>
  </si>
  <si>
    <t>バツ</t>
  </si>
  <si>
    <t>ぬ・く</t>
  </si>
  <si>
    <t>拔</t>
  </si>
  <si>
    <t>跋</t>
  </si>
  <si>
    <t>足</t>
  </si>
  <si>
    <t>バツ/ ハツ</t>
  </si>
  <si>
    <t>彬</t>
  </si>
  <si>
    <t>BÂN</t>
  </si>
  <si>
    <t>ヒン</t>
  </si>
  <si>
    <t>あきら</t>
  </si>
  <si>
    <t>斌</t>
  </si>
  <si>
    <t>不</t>
  </si>
  <si>
    <t>BẤT</t>
  </si>
  <si>
    <t>一</t>
  </si>
  <si>
    <t>フ/ ブ</t>
  </si>
  <si>
    <t>ず</t>
  </si>
  <si>
    <t>貧</t>
  </si>
  <si>
    <t>BẦN</t>
  </si>
  <si>
    <t>貝</t>
  </si>
  <si>
    <t>ヒン/ ビン</t>
  </si>
  <si>
    <t>まず・いし</t>
  </si>
  <si>
    <t>稟</t>
  </si>
  <si>
    <t>BẨM</t>
  </si>
  <si>
    <t>禾</t>
  </si>
  <si>
    <t>リン/ ヒン</t>
  </si>
  <si>
    <t>禀</t>
  </si>
  <si>
    <t>示</t>
  </si>
  <si>
    <t>弼</t>
  </si>
  <si>
    <t>BẬT</t>
  </si>
  <si>
    <t>弓</t>
  </si>
  <si>
    <t>ヒツ</t>
  </si>
  <si>
    <t>氷</t>
  </si>
  <si>
    <t>BĂNG</t>
  </si>
  <si>
    <t>こおり</t>
  </si>
  <si>
    <t>崩</t>
  </si>
  <si>
    <t>冫</t>
  </si>
  <si>
    <t>冰</t>
  </si>
  <si>
    <t>北</t>
  </si>
  <si>
    <t>BẮC</t>
  </si>
  <si>
    <t>匕</t>
  </si>
  <si>
    <t>ホク</t>
  </si>
  <si>
    <t>きた</t>
  </si>
  <si>
    <t>棚</t>
  </si>
  <si>
    <t>BẰNG</t>
  </si>
  <si>
    <t>たな</t>
  </si>
  <si>
    <t>朋</t>
  </si>
  <si>
    <t>とも</t>
  </si>
  <si>
    <t>憑</t>
  </si>
  <si>
    <t>つ・く</t>
  </si>
  <si>
    <t>硼</t>
  </si>
  <si>
    <t>石</t>
  </si>
  <si>
    <t>凭</t>
  </si>
  <si>
    <t>几</t>
  </si>
  <si>
    <t>ヒョウ/ ヘイ</t>
  </si>
  <si>
    <t>もた・れる</t>
  </si>
  <si>
    <t>堋</t>
  </si>
  <si>
    <t>ほうむ・る</t>
  </si>
  <si>
    <t>弸</t>
  </si>
  <si>
    <t>匐</t>
  </si>
  <si>
    <t>BẶC</t>
  </si>
  <si>
    <t>フク</t>
  </si>
  <si>
    <t>閉</t>
  </si>
  <si>
    <t>BẾ</t>
  </si>
  <si>
    <t>ヘイ</t>
  </si>
  <si>
    <t>し・める、と・ざす</t>
  </si>
  <si>
    <t>嬖</t>
  </si>
  <si>
    <t>陛</t>
  </si>
  <si>
    <t>BỆ</t>
  </si>
  <si>
    <t>病</t>
  </si>
  <si>
    <t>BỆNH</t>
  </si>
  <si>
    <t>ビョウ</t>
  </si>
  <si>
    <t>やまい</t>
  </si>
  <si>
    <t>碑</t>
  </si>
  <si>
    <t>BI</t>
  </si>
  <si>
    <t>いしぶみ</t>
  </si>
  <si>
    <t>悲</t>
  </si>
  <si>
    <t>かな・しい</t>
  </si>
  <si>
    <t>編</t>
  </si>
  <si>
    <t>BIÊN</t>
  </si>
  <si>
    <t>ヘン</t>
  </si>
  <si>
    <t>あ・む</t>
  </si>
  <si>
    <t>辺</t>
  </si>
  <si>
    <t>あた・り、べ</t>
  </si>
  <si>
    <t>塀</t>
  </si>
  <si>
    <t>邊</t>
  </si>
  <si>
    <t>迴-回</t>
  </si>
  <si>
    <t>邉</t>
  </si>
  <si>
    <t>蝙</t>
  </si>
  <si>
    <t>BIÊN/BIỂN</t>
  </si>
  <si>
    <t>貶</t>
  </si>
  <si>
    <t>BIẾM</t>
  </si>
  <si>
    <t>おと・しめる</t>
  </si>
  <si>
    <t>変</t>
  </si>
  <si>
    <t>BIẾN</t>
  </si>
  <si>
    <t>夂</t>
  </si>
  <si>
    <t>か・わる</t>
  </si>
  <si>
    <t>遍</t>
  </si>
  <si>
    <t>變</t>
  </si>
  <si>
    <t>俵</t>
  </si>
  <si>
    <t>BIẾU</t>
  </si>
  <si>
    <t>たわら</t>
  </si>
  <si>
    <t>扁</t>
  </si>
  <si>
    <t>BIỂN</t>
  </si>
  <si>
    <t>戸</t>
  </si>
  <si>
    <t>表</t>
  </si>
  <si>
    <t>BIỂU</t>
  </si>
  <si>
    <t>おもて、あらわ・す</t>
  </si>
  <si>
    <t>殍</t>
  </si>
  <si>
    <t>BIỄU</t>
  </si>
  <si>
    <t>歹</t>
  </si>
  <si>
    <t>抃</t>
  </si>
  <si>
    <t>BIỆN</t>
  </si>
  <si>
    <t>瓣</t>
  </si>
  <si>
    <t>瓜</t>
  </si>
  <si>
    <t>ベン/ ヘン</t>
  </si>
  <si>
    <t>卞</t>
  </si>
  <si>
    <t>卜</t>
  </si>
  <si>
    <t>辮</t>
  </si>
  <si>
    <t>辯</t>
  </si>
  <si>
    <t>辛</t>
  </si>
  <si>
    <t>ベン</t>
  </si>
  <si>
    <t>弁</t>
  </si>
  <si>
    <t>BIỆN/BIỀN</t>
  </si>
  <si>
    <t>廾</t>
  </si>
  <si>
    <t>わきま・える</t>
  </si>
  <si>
    <t>別</t>
  </si>
  <si>
    <t>BIỆT</t>
  </si>
  <si>
    <t>ベツ</t>
  </si>
  <si>
    <t>わか・れる</t>
  </si>
  <si>
    <t>兵</t>
  </si>
  <si>
    <t>BINH</t>
  </si>
  <si>
    <t>ヘイ/ ヒョウ</t>
  </si>
  <si>
    <t>疲</t>
  </si>
  <si>
    <t>BÍ</t>
  </si>
  <si>
    <t>ヒ/ ビ</t>
  </si>
  <si>
    <t>つか・れる</t>
  </si>
  <si>
    <t>秘</t>
  </si>
  <si>
    <t>ひ・める</t>
  </si>
  <si>
    <t>轡</t>
  </si>
  <si>
    <t>車</t>
  </si>
  <si>
    <t>くつわ</t>
  </si>
  <si>
    <t>壁</t>
  </si>
  <si>
    <t>BÍCH</t>
  </si>
  <si>
    <t>ヘキ</t>
  </si>
  <si>
    <t>かべ</t>
  </si>
  <si>
    <t>碧</t>
  </si>
  <si>
    <t>辟</t>
  </si>
  <si>
    <t>BÍCH/TỊCH</t>
  </si>
  <si>
    <t>丙</t>
  </si>
  <si>
    <t>BÍNH</t>
  </si>
  <si>
    <t>ひのえ</t>
  </si>
  <si>
    <t>柄</t>
  </si>
  <si>
    <t>え、がら</t>
  </si>
  <si>
    <t>餅</t>
  </si>
  <si>
    <t>もち</t>
  </si>
  <si>
    <t>皮</t>
  </si>
  <si>
    <t>BÌ</t>
  </si>
  <si>
    <t>かわ</t>
  </si>
  <si>
    <t>瓶</t>
  </si>
  <si>
    <t>BÌNH</t>
  </si>
  <si>
    <t>瓦</t>
  </si>
  <si>
    <t>ビン/ ヘイ</t>
  </si>
  <si>
    <t>平</t>
  </si>
  <si>
    <t>干</t>
  </si>
  <si>
    <t>たい・ら、ひら</t>
  </si>
  <si>
    <t>評</t>
  </si>
  <si>
    <t>坪</t>
  </si>
  <si>
    <t>つぼ</t>
  </si>
  <si>
    <t>屏</t>
  </si>
  <si>
    <t>BÌNH/BÍNH</t>
  </si>
  <si>
    <t>尸</t>
  </si>
  <si>
    <t>彼</t>
  </si>
  <si>
    <t>BỈ</t>
  </si>
  <si>
    <t>かの、かれ</t>
  </si>
  <si>
    <t>鄙</t>
  </si>
  <si>
    <t>ひな</t>
  </si>
  <si>
    <t>痞</t>
  </si>
  <si>
    <t>BĨ/PHỦ</t>
  </si>
  <si>
    <t>被</t>
  </si>
  <si>
    <t>BỊ</t>
  </si>
  <si>
    <t>こうむ・る</t>
  </si>
  <si>
    <t>備</t>
  </si>
  <si>
    <t>ビ</t>
  </si>
  <si>
    <t>そな・える</t>
  </si>
  <si>
    <t>哺</t>
  </si>
  <si>
    <t>BÔ</t>
  </si>
  <si>
    <t>杯</t>
  </si>
  <si>
    <t>BÔI</t>
  </si>
  <si>
    <t>さかずき</t>
  </si>
  <si>
    <t>盃</t>
  </si>
  <si>
    <t>奔</t>
  </si>
  <si>
    <t>BÔN</t>
  </si>
  <si>
    <t>布</t>
  </si>
  <si>
    <t>BỐ</t>
  </si>
  <si>
    <t>フ</t>
  </si>
  <si>
    <t>ぬの</t>
  </si>
  <si>
    <t>怖</t>
  </si>
  <si>
    <t>こわ・い</t>
  </si>
  <si>
    <t>BỐC</t>
  </si>
  <si>
    <t>ホク/ ボク</t>
  </si>
  <si>
    <t>背</t>
  </si>
  <si>
    <t>BỐI</t>
  </si>
  <si>
    <t>せ、せい、そむ・く</t>
  </si>
  <si>
    <t>バイ</t>
  </si>
  <si>
    <t>かい</t>
  </si>
  <si>
    <t>輩</t>
  </si>
  <si>
    <t>ともがら、やから</t>
  </si>
  <si>
    <t>蒲</t>
  </si>
  <si>
    <t>BỒ</t>
  </si>
  <si>
    <t>がま</t>
  </si>
  <si>
    <t>匍</t>
  </si>
  <si>
    <t>賠</t>
  </si>
  <si>
    <t>BỒI</t>
  </si>
  <si>
    <t>陪</t>
  </si>
  <si>
    <t>培</t>
  </si>
  <si>
    <t>バイ/ ハイ</t>
  </si>
  <si>
    <t>つちか・う</t>
  </si>
  <si>
    <t>徘</t>
  </si>
  <si>
    <t>盆</t>
  </si>
  <si>
    <t>BỒN</t>
  </si>
  <si>
    <t>ボン</t>
  </si>
  <si>
    <t>補</t>
  </si>
  <si>
    <t>BỔ</t>
  </si>
  <si>
    <t>ホ/ フ</t>
  </si>
  <si>
    <t>おぎな・う</t>
  </si>
  <si>
    <t>畚</t>
  </si>
  <si>
    <t>BỔN</t>
  </si>
  <si>
    <t>ふご</t>
  </si>
  <si>
    <t>夲</t>
  </si>
  <si>
    <t>俸</t>
  </si>
  <si>
    <t>BỔNG</t>
  </si>
  <si>
    <t>棒</t>
  </si>
  <si>
    <t>捧</t>
  </si>
  <si>
    <t>ささ・げる</t>
  </si>
  <si>
    <t>簿</t>
  </si>
  <si>
    <t>BỘ</t>
  </si>
  <si>
    <t>ボ/ ホ</t>
  </si>
  <si>
    <t>部</t>
  </si>
  <si>
    <t>ブ/ ベ</t>
  </si>
  <si>
    <t>歩</t>
  </si>
  <si>
    <t>止</t>
  </si>
  <si>
    <t>ホ/ ブ</t>
  </si>
  <si>
    <t>ある・く、あゆ・み</t>
  </si>
  <si>
    <t>捗</t>
  </si>
  <si>
    <t>チョク</t>
  </si>
  <si>
    <t>はかど・る</t>
  </si>
  <si>
    <t>捕</t>
  </si>
  <si>
    <t>BỘ/BỔ</t>
  </si>
  <si>
    <t>つか・まる、と・らえる</t>
  </si>
  <si>
    <t>爆</t>
  </si>
  <si>
    <t>BỘC</t>
  </si>
  <si>
    <t>火</t>
  </si>
  <si>
    <t>バク</t>
  </si>
  <si>
    <t>僕</t>
  </si>
  <si>
    <t>ボク</t>
  </si>
  <si>
    <t>しもべ</t>
  </si>
  <si>
    <t>曝</t>
  </si>
  <si>
    <t>バク/ ボク</t>
  </si>
  <si>
    <t>さら・す</t>
  </si>
  <si>
    <t>倍</t>
  </si>
  <si>
    <t>BỘI</t>
  </si>
  <si>
    <t>悖</t>
  </si>
  <si>
    <t>ハイ/ ボツ</t>
  </si>
  <si>
    <t>もと・る</t>
  </si>
  <si>
    <t>佩</t>
  </si>
  <si>
    <t>琲</t>
  </si>
  <si>
    <t>唄</t>
  </si>
  <si>
    <t>うた</t>
  </si>
  <si>
    <t>勃</t>
  </si>
  <si>
    <t>BỘT</t>
  </si>
  <si>
    <t>力</t>
  </si>
  <si>
    <t>ボツ</t>
  </si>
  <si>
    <t>孛</t>
  </si>
  <si>
    <t>子</t>
  </si>
  <si>
    <t>筆</t>
  </si>
  <si>
    <t>BÚT</t>
  </si>
  <si>
    <t>ふで</t>
  </si>
  <si>
    <t>裴</t>
  </si>
  <si>
    <t>BÙI/BỒI</t>
  </si>
  <si>
    <t>郵</t>
  </si>
  <si>
    <t>BƯU</t>
  </si>
  <si>
    <t>彪</t>
  </si>
  <si>
    <t>蝠</t>
  </si>
  <si>
    <t>BỨC</t>
  </si>
  <si>
    <t>歌</t>
  </si>
  <si>
    <t>CA</t>
  </si>
  <si>
    <t>カ</t>
  </si>
  <si>
    <t>うた、うた・う</t>
  </si>
  <si>
    <t>哥</t>
  </si>
  <si>
    <t>彁</t>
  </si>
  <si>
    <t>該</t>
  </si>
  <si>
    <t>CAI</t>
  </si>
  <si>
    <t>ガイ</t>
  </si>
  <si>
    <t>垓</t>
  </si>
  <si>
    <t>甘</t>
  </si>
  <si>
    <t>CAM</t>
  </si>
  <si>
    <t>カン</t>
  </si>
  <si>
    <t>あま・い</t>
  </si>
  <si>
    <t>柑</t>
  </si>
  <si>
    <t>疳</t>
  </si>
  <si>
    <t>淦</t>
  </si>
  <si>
    <t>カン/ コン</t>
  </si>
  <si>
    <t>坩</t>
  </si>
  <si>
    <t>肝</t>
  </si>
  <si>
    <t>CAN</t>
  </si>
  <si>
    <t>きも</t>
  </si>
  <si>
    <t>ほ・す、ひ・る</t>
  </si>
  <si>
    <t>栞</t>
  </si>
  <si>
    <t>しおり</t>
  </si>
  <si>
    <t>杆</t>
  </si>
  <si>
    <t>CAN/CÁN</t>
  </si>
  <si>
    <t>乾</t>
  </si>
  <si>
    <t>CAN/CÀN/KIỀN</t>
  </si>
  <si>
    <t>カン/ ケン</t>
  </si>
  <si>
    <t>かわ・く、かわ・かす、ほ・す、いぬい</t>
  </si>
  <si>
    <t>亢</t>
  </si>
  <si>
    <t>CANG</t>
  </si>
  <si>
    <t>コウ</t>
  </si>
  <si>
    <t>たか・ぶる</t>
  </si>
  <si>
    <t>耕</t>
  </si>
  <si>
    <t>CANH</t>
  </si>
  <si>
    <t>耒</t>
  </si>
  <si>
    <t>たがや・す</t>
  </si>
  <si>
    <t>庚</t>
  </si>
  <si>
    <t>かのえ</t>
  </si>
  <si>
    <t>甦</t>
  </si>
  <si>
    <t>生</t>
  </si>
  <si>
    <t>ソ/ コウ</t>
  </si>
  <si>
    <t>よみがえ・る</t>
  </si>
  <si>
    <t>更</t>
  </si>
  <si>
    <t>CANH/CÁNH</t>
  </si>
  <si>
    <t>曰</t>
  </si>
  <si>
    <t>コウ/ キョウ</t>
  </si>
  <si>
    <t>さら・に、ふ・ける</t>
  </si>
  <si>
    <t>高</t>
  </si>
  <si>
    <t>CAO</t>
  </si>
  <si>
    <t>たか、たか・い</t>
  </si>
  <si>
    <t>槹</t>
  </si>
  <si>
    <t>嚆</t>
  </si>
  <si>
    <t>塙</t>
  </si>
  <si>
    <t>コウ/ カク</t>
  </si>
  <si>
    <t>はなわ</t>
  </si>
  <si>
    <t>膏</t>
  </si>
  <si>
    <t>CAO/CÁO</t>
  </si>
  <si>
    <t>箇</t>
  </si>
  <si>
    <t>CÁ</t>
  </si>
  <si>
    <t>カ/ コ</t>
  </si>
  <si>
    <t>個</t>
  </si>
  <si>
    <t>コ/ カ</t>
  </si>
  <si>
    <t>个</t>
  </si>
  <si>
    <t>中-口</t>
  </si>
  <si>
    <t>カ/ コ/ カイ</t>
  </si>
  <si>
    <t>閣</t>
  </si>
  <si>
    <t>CÁC</t>
  </si>
  <si>
    <t>カク</t>
  </si>
  <si>
    <t>各</t>
  </si>
  <si>
    <t>おのおの</t>
  </si>
  <si>
    <t>擱</t>
  </si>
  <si>
    <t>お・く</t>
  </si>
  <si>
    <t>咯</t>
  </si>
  <si>
    <t>隔</t>
  </si>
  <si>
    <t>CÁCH</t>
  </si>
  <si>
    <t>へだ・てる</t>
  </si>
  <si>
    <t>格</t>
  </si>
  <si>
    <t>カク/ キャク</t>
  </si>
  <si>
    <t>挌</t>
  </si>
  <si>
    <t>蓋</t>
  </si>
  <si>
    <t>CÁI</t>
  </si>
  <si>
    <t>ふた、おお・う、けだ・し</t>
  </si>
  <si>
    <t>丐</t>
  </si>
  <si>
    <t>カイ</t>
  </si>
  <si>
    <t>紺</t>
  </si>
  <si>
    <t>CÁM</t>
  </si>
  <si>
    <t>コン/ カン</t>
  </si>
  <si>
    <t>幹</t>
  </si>
  <si>
    <t>CÁN</t>
  </si>
  <si>
    <t>みき</t>
  </si>
  <si>
    <t>桿</t>
  </si>
  <si>
    <t>哽</t>
  </si>
  <si>
    <t>CÁNH/NGẠNH</t>
  </si>
  <si>
    <t>告</t>
  </si>
  <si>
    <t>CÁO</t>
  </si>
  <si>
    <t>コク/ コウ</t>
  </si>
  <si>
    <t>つ・げる</t>
  </si>
  <si>
    <t>蛤</t>
  </si>
  <si>
    <t>CÁP</t>
  </si>
  <si>
    <t>はまぐり</t>
  </si>
  <si>
    <t>哈</t>
  </si>
  <si>
    <t>割</t>
  </si>
  <si>
    <t>CÁT</t>
  </si>
  <si>
    <t>カツ</t>
  </si>
  <si>
    <t>さ・く、わり、わ・る</t>
  </si>
  <si>
    <t>吉</t>
  </si>
  <si>
    <t>キチ/ キツ</t>
  </si>
  <si>
    <t>葛</t>
  </si>
  <si>
    <t>くず、かずら</t>
  </si>
  <si>
    <t>佶</t>
  </si>
  <si>
    <t>キツ</t>
  </si>
  <si>
    <t>改</t>
  </si>
  <si>
    <t>CẢI</t>
  </si>
  <si>
    <t>あらた・める</t>
  </si>
  <si>
    <t>感</t>
  </si>
  <si>
    <t>CẢM</t>
  </si>
  <si>
    <t>敢</t>
  </si>
  <si>
    <t>あ・えて</t>
  </si>
  <si>
    <t>撼</t>
  </si>
  <si>
    <t>橄</t>
  </si>
  <si>
    <t>扞</t>
  </si>
  <si>
    <t>CẢN</t>
  </si>
  <si>
    <t>カン/ ガン</t>
  </si>
  <si>
    <t>捍</t>
  </si>
  <si>
    <t>CẢN/HÃN</t>
  </si>
  <si>
    <t>港</t>
  </si>
  <si>
    <t>CẢNG</t>
  </si>
  <si>
    <t>みなと</t>
  </si>
  <si>
    <t>警</t>
  </si>
  <si>
    <t>CẢNH</t>
  </si>
  <si>
    <t>ケイ</t>
  </si>
  <si>
    <t>境</t>
  </si>
  <si>
    <t>キョウ/ ケイ</t>
  </si>
  <si>
    <t>さかい</t>
  </si>
  <si>
    <t>景</t>
  </si>
  <si>
    <t>憬</t>
  </si>
  <si>
    <t>あこが・れる</t>
  </si>
  <si>
    <t>脛</t>
  </si>
  <si>
    <t>肉</t>
  </si>
  <si>
    <t>すね、はぎ</t>
  </si>
  <si>
    <t>稿</t>
  </si>
  <si>
    <t>CẢO</t>
  </si>
  <si>
    <t>杲</t>
  </si>
  <si>
    <t>槁</t>
  </si>
  <si>
    <t>藁</t>
  </si>
  <si>
    <t>わら</t>
  </si>
  <si>
    <t>競</t>
  </si>
  <si>
    <t>CẠNH</t>
  </si>
  <si>
    <t>立</t>
  </si>
  <si>
    <t>きそ・う、せ・る</t>
  </si>
  <si>
    <t>筋</t>
  </si>
  <si>
    <t>CÂN</t>
  </si>
  <si>
    <t>キン/ コン</t>
  </si>
  <si>
    <t>すじ</t>
  </si>
  <si>
    <t>斤</t>
  </si>
  <si>
    <t>キン</t>
  </si>
  <si>
    <t>はば</t>
  </si>
  <si>
    <t>溝</t>
  </si>
  <si>
    <t>CÂU</t>
  </si>
  <si>
    <t>みぞ</t>
  </si>
  <si>
    <t>駒</t>
  </si>
  <si>
    <t>ク</t>
  </si>
  <si>
    <t>こま</t>
  </si>
  <si>
    <t>佝</t>
  </si>
  <si>
    <t>ク/ コウ</t>
  </si>
  <si>
    <t>倶</t>
  </si>
  <si>
    <t>ク/ グ</t>
  </si>
  <si>
    <t>勾</t>
  </si>
  <si>
    <t>拘</t>
  </si>
  <si>
    <t>CÂU/CÙ</t>
  </si>
  <si>
    <t>コウ/ ク</t>
  </si>
  <si>
    <t>かかわ・る</t>
  </si>
  <si>
    <t>禁</t>
  </si>
  <si>
    <t>CẤM</t>
  </si>
  <si>
    <t>噤</t>
  </si>
  <si>
    <t>つぐ・む</t>
  </si>
  <si>
    <t>級</t>
  </si>
  <si>
    <t>CẤP</t>
  </si>
  <si>
    <t>キュウ</t>
  </si>
  <si>
    <t>給</t>
  </si>
  <si>
    <t>たま・う</t>
  </si>
  <si>
    <t>急</t>
  </si>
  <si>
    <t>いそ・ぐ、せ・く</t>
  </si>
  <si>
    <t>汲</t>
  </si>
  <si>
    <t>く・む</t>
  </si>
  <si>
    <t>叶</t>
  </si>
  <si>
    <t>キョウ</t>
  </si>
  <si>
    <t>かな・う</t>
  </si>
  <si>
    <t>購</t>
  </si>
  <si>
    <t>CẤU</t>
  </si>
  <si>
    <t>あがな・う</t>
  </si>
  <si>
    <t>構</t>
  </si>
  <si>
    <t>かま・える</t>
  </si>
  <si>
    <t>搆</t>
  </si>
  <si>
    <t>冓</t>
  </si>
  <si>
    <t>冂</t>
  </si>
  <si>
    <t>グ/ コウ</t>
  </si>
  <si>
    <t>垢</t>
  </si>
  <si>
    <t>あか</t>
  </si>
  <si>
    <t>媾</t>
  </si>
  <si>
    <t>琴</t>
  </si>
  <si>
    <t>CẦM</t>
  </si>
  <si>
    <t>キン/ ゴン</t>
  </si>
  <si>
    <t>こと</t>
  </si>
  <si>
    <t>擒</t>
  </si>
  <si>
    <t>ゴ/ キン</t>
  </si>
  <si>
    <t>檎</t>
  </si>
  <si>
    <t>禽</t>
  </si>
  <si>
    <t>禺-田</t>
  </si>
  <si>
    <t>とり</t>
  </si>
  <si>
    <t>勤</t>
  </si>
  <si>
    <t>CẦN</t>
  </si>
  <si>
    <t>つと・める</t>
  </si>
  <si>
    <t>懃</t>
  </si>
  <si>
    <t>ギン/ キン/ ゴン</t>
  </si>
  <si>
    <t>球</t>
  </si>
  <si>
    <t>CẦU</t>
  </si>
  <si>
    <t>キュウ/ ク</t>
  </si>
  <si>
    <t>たま</t>
  </si>
  <si>
    <t>求</t>
  </si>
  <si>
    <t>キュウ/ ブ</t>
  </si>
  <si>
    <t>もと・める</t>
  </si>
  <si>
    <t>毬</t>
  </si>
  <si>
    <t>毛</t>
  </si>
  <si>
    <t>まり</t>
  </si>
  <si>
    <t>錦</t>
  </si>
  <si>
    <t>CẨM</t>
  </si>
  <si>
    <t>にしき</t>
  </si>
  <si>
    <t>謹</t>
  </si>
  <si>
    <t>CẨN</t>
  </si>
  <si>
    <t>つつし・む</t>
  </si>
  <si>
    <t>僅</t>
  </si>
  <si>
    <t>わず・か</t>
  </si>
  <si>
    <t>近</t>
  </si>
  <si>
    <t>CẬN</t>
  </si>
  <si>
    <t>ちか・い</t>
  </si>
  <si>
    <t>饉</t>
  </si>
  <si>
    <t>槿</t>
  </si>
  <si>
    <t>むくげ</t>
  </si>
  <si>
    <t>及</t>
  </si>
  <si>
    <t>CẬP</t>
  </si>
  <si>
    <t>丿</t>
  </si>
  <si>
    <t>およ・び、およ・ぶ</t>
  </si>
  <si>
    <t>詰</t>
  </si>
  <si>
    <t>CẬT</t>
  </si>
  <si>
    <t>つ・める</t>
  </si>
  <si>
    <t>劼</t>
  </si>
  <si>
    <t>カツ/ ケチ</t>
  </si>
  <si>
    <t>根</t>
  </si>
  <si>
    <t>CĂN</t>
  </si>
  <si>
    <t>コン</t>
  </si>
  <si>
    <t>ね</t>
  </si>
  <si>
    <t>兢</t>
  </si>
  <si>
    <t>CĂNG</t>
  </si>
  <si>
    <t>儿</t>
  </si>
  <si>
    <t>橙</t>
  </si>
  <si>
    <t>CHANH</t>
  </si>
  <si>
    <t>トウ</t>
  </si>
  <si>
    <t>だいだい</t>
  </si>
  <si>
    <t>炙</t>
  </si>
  <si>
    <t>CHÁ/CHÍCH</t>
  </si>
  <si>
    <t>シャ</t>
  </si>
  <si>
    <t>あぶ・る</t>
  </si>
  <si>
    <t>喙</t>
  </si>
  <si>
    <t>CHÁC/DẾ</t>
  </si>
  <si>
    <t>針</t>
  </si>
  <si>
    <t>CHÂM</t>
  </si>
  <si>
    <t>シン</t>
  </si>
  <si>
    <t>はり</t>
  </si>
  <si>
    <t>斟</t>
  </si>
  <si>
    <t>斗</t>
  </si>
  <si>
    <t>真</t>
  </si>
  <si>
    <t>CHÂN</t>
  </si>
  <si>
    <t>目</t>
  </si>
  <si>
    <t>ま、まこと</t>
  </si>
  <si>
    <t>眞</t>
  </si>
  <si>
    <t>嗔</t>
  </si>
  <si>
    <t>珠</t>
  </si>
  <si>
    <t>CHÂU</t>
  </si>
  <si>
    <t>シュ/ ジュ</t>
  </si>
  <si>
    <t>州</t>
  </si>
  <si>
    <t>川</t>
  </si>
  <si>
    <t>シュウ</t>
  </si>
  <si>
    <t>す</t>
  </si>
  <si>
    <t>洲</t>
  </si>
  <si>
    <t>シュウ/ ス</t>
  </si>
  <si>
    <t>株</t>
  </si>
  <si>
    <t>CHÂU/CHU</t>
  </si>
  <si>
    <t>シュ/ チュ</t>
  </si>
  <si>
    <t>かぶ</t>
  </si>
  <si>
    <t>震</t>
  </si>
  <si>
    <t>CHẤN</t>
  </si>
  <si>
    <t>ふる・える</t>
  </si>
  <si>
    <t>振</t>
  </si>
  <si>
    <t>ふ・る、すく・う</t>
  </si>
  <si>
    <t>汁</t>
  </si>
  <si>
    <t>CHẤP</t>
  </si>
  <si>
    <t>ジュウ/ シュウ</t>
  </si>
  <si>
    <t>しる</t>
  </si>
  <si>
    <t>執</t>
  </si>
  <si>
    <t>シツ/ シュウ</t>
  </si>
  <si>
    <t>と・る</t>
  </si>
  <si>
    <t>質</t>
  </si>
  <si>
    <t>CHẤT</t>
  </si>
  <si>
    <t>シツ/ シチ</t>
  </si>
  <si>
    <t>たち</t>
  </si>
  <si>
    <t>枕</t>
  </si>
  <si>
    <t>CHẨM</t>
  </si>
  <si>
    <t>チン</t>
  </si>
  <si>
    <t>まくら</t>
  </si>
  <si>
    <t>嶄</t>
  </si>
  <si>
    <t>ザン/ サン</t>
  </si>
  <si>
    <t>診</t>
  </si>
  <si>
    <t>CHẨN</t>
  </si>
  <si>
    <t>み・る</t>
  </si>
  <si>
    <t>賑</t>
  </si>
  <si>
    <t>にぎわ・う</t>
  </si>
  <si>
    <t>疹</t>
  </si>
  <si>
    <t>シン/ チン</t>
  </si>
  <si>
    <t>製</t>
  </si>
  <si>
    <t>CHẾ</t>
  </si>
  <si>
    <t>セイ</t>
  </si>
  <si>
    <t>制</t>
  </si>
  <si>
    <t>肢</t>
  </si>
  <si>
    <t>CHI</t>
  </si>
  <si>
    <t>シ</t>
  </si>
  <si>
    <t>脂</t>
  </si>
  <si>
    <t>あぶら</t>
  </si>
  <si>
    <t>芝</t>
  </si>
  <si>
    <t>しば</t>
  </si>
  <si>
    <t>支</t>
  </si>
  <si>
    <t>ささ・える</t>
  </si>
  <si>
    <t>枝</t>
  </si>
  <si>
    <t>えだ</t>
  </si>
  <si>
    <t>之</t>
  </si>
  <si>
    <t>丶</t>
  </si>
  <si>
    <t>の</t>
  </si>
  <si>
    <t>梔</t>
  </si>
  <si>
    <t>巵</t>
  </si>
  <si>
    <t>卮</t>
  </si>
  <si>
    <t>旃</t>
  </si>
  <si>
    <t>CHIÊN</t>
  </si>
  <si>
    <t>セン</t>
  </si>
  <si>
    <t>栴</t>
  </si>
  <si>
    <t>氈</t>
  </si>
  <si>
    <t>招</t>
  </si>
  <si>
    <t>CHIÊU</t>
  </si>
  <si>
    <t>ショウ</t>
  </si>
  <si>
    <t>まね・く</t>
  </si>
  <si>
    <t>昭</t>
  </si>
  <si>
    <t>あきら・か</t>
  </si>
  <si>
    <t>占</t>
  </si>
  <si>
    <t>CHIẾM/CHIÊM</t>
  </si>
  <si>
    <t>うらな・う、し・める</t>
  </si>
  <si>
    <t>戦</t>
  </si>
  <si>
    <t>CHIẾN</t>
  </si>
  <si>
    <t>戈</t>
  </si>
  <si>
    <t>いくさ、たたか・う</t>
  </si>
  <si>
    <t>戰</t>
  </si>
  <si>
    <t>照</t>
  </si>
  <si>
    <t>CHIẾU</t>
  </si>
  <si>
    <t>て・る</t>
  </si>
  <si>
    <t>詔</t>
  </si>
  <si>
    <t>みことのり</t>
  </si>
  <si>
    <t>沼</t>
  </si>
  <si>
    <t>CHIỂU</t>
  </si>
  <si>
    <t>ぬま</t>
  </si>
  <si>
    <t>征</t>
  </si>
  <si>
    <t>CHINH</t>
  </si>
  <si>
    <t>至</t>
  </si>
  <si>
    <t>CHÍ</t>
  </si>
  <si>
    <t>いた・る</t>
  </si>
  <si>
    <t>誌</t>
  </si>
  <si>
    <t>志</t>
  </si>
  <si>
    <t>こころざし、こころざ・す</t>
  </si>
  <si>
    <t>摯</t>
  </si>
  <si>
    <t>痣</t>
  </si>
  <si>
    <t>あざ</t>
  </si>
  <si>
    <t>咥</t>
  </si>
  <si>
    <t>テツ</t>
  </si>
  <si>
    <t>くわ・える</t>
  </si>
  <si>
    <t>垤</t>
  </si>
  <si>
    <t>隻</t>
  </si>
  <si>
    <t>CHÍCH</t>
  </si>
  <si>
    <t>隹</t>
  </si>
  <si>
    <t>セキ</t>
  </si>
  <si>
    <t>正</t>
  </si>
  <si>
    <t>CHÍNH</t>
  </si>
  <si>
    <t>セイ/ ショウ</t>
  </si>
  <si>
    <t>ただ・しい、まさ・に</t>
  </si>
  <si>
    <t>政</t>
  </si>
  <si>
    <t>CHÍNH/CHÁNH</t>
  </si>
  <si>
    <t>ショウ/ セイ</t>
  </si>
  <si>
    <t>まつりごと</t>
  </si>
  <si>
    <t>祉</t>
  </si>
  <si>
    <t>CHỈ</t>
  </si>
  <si>
    <t>紙</t>
  </si>
  <si>
    <t>かみ</t>
  </si>
  <si>
    <t>旨</t>
  </si>
  <si>
    <t>むね</t>
  </si>
  <si>
    <t>匁</t>
  </si>
  <si>
    <t>もんめ</t>
  </si>
  <si>
    <t>指</t>
  </si>
  <si>
    <t>ゆび、ゆびさ・す、さ・す</t>
  </si>
  <si>
    <t>只</t>
  </si>
  <si>
    <t>ただ</t>
  </si>
  <si>
    <t>鮨</t>
  </si>
  <si>
    <t>魚</t>
  </si>
  <si>
    <t>すし</t>
  </si>
  <si>
    <t>枳</t>
  </si>
  <si>
    <t>キ/ シ</t>
  </si>
  <si>
    <t>沚</t>
  </si>
  <si>
    <t>砥</t>
  </si>
  <si>
    <t>と</t>
  </si>
  <si>
    <t>黹</t>
  </si>
  <si>
    <t>チ</t>
  </si>
  <si>
    <t>咫</t>
  </si>
  <si>
    <t>祇</t>
  </si>
  <si>
    <t>キ/ ギ</t>
  </si>
  <si>
    <t>址</t>
  </si>
  <si>
    <t>あと</t>
  </si>
  <si>
    <t>整</t>
  </si>
  <si>
    <t>CHỈNH</t>
  </si>
  <si>
    <t>ととの・える、ととの・う</t>
  </si>
  <si>
    <t>咀</t>
  </si>
  <si>
    <t>CHỚ</t>
  </si>
  <si>
    <t>ソ</t>
  </si>
  <si>
    <t>週</t>
  </si>
  <si>
    <t>CHU</t>
  </si>
  <si>
    <t>周</t>
  </si>
  <si>
    <t>シュウ/ シュ/ ス</t>
  </si>
  <si>
    <t>まわ・り</t>
  </si>
  <si>
    <t>CHU/CHÂU</t>
  </si>
  <si>
    <t>ふね、ふな</t>
  </si>
  <si>
    <t>朱</t>
  </si>
  <si>
    <t>シュ</t>
  </si>
  <si>
    <t>侏</t>
  </si>
  <si>
    <t>蛛</t>
  </si>
  <si>
    <t>CHU/THÙ</t>
  </si>
  <si>
    <t>チュウ</t>
  </si>
  <si>
    <t>准</t>
  </si>
  <si>
    <t>CHUẨN</t>
  </si>
  <si>
    <t>ジュン</t>
  </si>
  <si>
    <t>準</t>
  </si>
  <si>
    <t>なぞら・える</t>
  </si>
  <si>
    <t>隼</t>
  </si>
  <si>
    <t>シュン/ ジュン</t>
  </si>
  <si>
    <t>はやぶさ</t>
  </si>
  <si>
    <t>凖</t>
  </si>
  <si>
    <t>終</t>
  </si>
  <si>
    <t>CHUNG</t>
  </si>
  <si>
    <t>お・わる、つい・に</t>
  </si>
  <si>
    <t>鐘</t>
  </si>
  <si>
    <t>ショウ/ シュ</t>
  </si>
  <si>
    <t>かね</t>
  </si>
  <si>
    <t>螽</t>
  </si>
  <si>
    <t>専</t>
  </si>
  <si>
    <t>CHUYÊN</t>
  </si>
  <si>
    <t>寸</t>
  </si>
  <si>
    <t>もっぱ・ら</t>
  </si>
  <si>
    <t>椽</t>
  </si>
  <si>
    <t>テン</t>
  </si>
  <si>
    <t>專</t>
  </si>
  <si>
    <t>拙</t>
  </si>
  <si>
    <t>CHUYẾT</t>
  </si>
  <si>
    <t>セツ</t>
  </si>
  <si>
    <t>つたな・い</t>
  </si>
  <si>
    <t>転</t>
  </si>
  <si>
    <t>CHUYỂN</t>
  </si>
  <si>
    <t>ころ・ぶ</t>
  </si>
  <si>
    <t>囀</t>
  </si>
  <si>
    <t>注</t>
  </si>
  <si>
    <t>CHÚ</t>
  </si>
  <si>
    <t>チュウ/ シュ</t>
  </si>
  <si>
    <t>そそ・ぐ</t>
  </si>
  <si>
    <t>鋳</t>
  </si>
  <si>
    <t>い・る</t>
  </si>
  <si>
    <t>咒</t>
  </si>
  <si>
    <t>ジュ/ ズ/ シュ</t>
  </si>
  <si>
    <t>のろ・う</t>
  </si>
  <si>
    <t>呪</t>
  </si>
  <si>
    <t>祝</t>
  </si>
  <si>
    <t>CHÚC</t>
  </si>
  <si>
    <t>シュク</t>
  </si>
  <si>
    <t>いわ・う、のりと</t>
  </si>
  <si>
    <t>嘱</t>
  </si>
  <si>
    <t>ショク</t>
  </si>
  <si>
    <t>囑</t>
  </si>
  <si>
    <t>粥</t>
  </si>
  <si>
    <t>米</t>
  </si>
  <si>
    <t>ジュク/ シュク/ イク</t>
  </si>
  <si>
    <t>かゆ</t>
  </si>
  <si>
    <t>衆</t>
  </si>
  <si>
    <t>CHÚNG</t>
  </si>
  <si>
    <t>血</t>
  </si>
  <si>
    <t>シュウ/ シュ</t>
  </si>
  <si>
    <t>惴</t>
  </si>
  <si>
    <t>CHÚY</t>
  </si>
  <si>
    <t>ズイ/ スイ</t>
  </si>
  <si>
    <t>槌</t>
  </si>
  <si>
    <t>CHÙY</t>
  </si>
  <si>
    <t>ツイ/ スイ</t>
  </si>
  <si>
    <t>つち</t>
  </si>
  <si>
    <t>主</t>
  </si>
  <si>
    <t>CHỦ</t>
  </si>
  <si>
    <t>シュ/ ス</t>
  </si>
  <si>
    <t>おも・な、ぬし</t>
  </si>
  <si>
    <t>チュ/ シュ/ ス</t>
  </si>
  <si>
    <t>麈</t>
  </si>
  <si>
    <t>鹿</t>
  </si>
  <si>
    <t>種</t>
  </si>
  <si>
    <t>CHỦNG</t>
  </si>
  <si>
    <t>シュ/ ショウ</t>
  </si>
  <si>
    <t>たね</t>
  </si>
  <si>
    <t>嘴</t>
  </si>
  <si>
    <t>CHỦY</t>
  </si>
  <si>
    <t>くちばし</t>
  </si>
  <si>
    <t>匙</t>
  </si>
  <si>
    <t>さじ</t>
  </si>
  <si>
    <t>粃</t>
  </si>
  <si>
    <t>諸</t>
  </si>
  <si>
    <t>CHƯ</t>
  </si>
  <si>
    <t>ショ</t>
  </si>
  <si>
    <t>もろ</t>
  </si>
  <si>
    <t>猪</t>
  </si>
  <si>
    <t>CHƯ/TRƯ</t>
  </si>
  <si>
    <t>犬</t>
  </si>
  <si>
    <t>チョ</t>
  </si>
  <si>
    <t>い、いのしし</t>
  </si>
  <si>
    <t>蒸</t>
  </si>
  <si>
    <t>CHƯNG</t>
  </si>
  <si>
    <t>ジョウ</t>
  </si>
  <si>
    <t>む・す</t>
  </si>
  <si>
    <t>章</t>
  </si>
  <si>
    <t>CHƯƠNG</t>
  </si>
  <si>
    <t>（名前）あきら</t>
  </si>
  <si>
    <t>彰</t>
  </si>
  <si>
    <t>樟</t>
  </si>
  <si>
    <t>酌</t>
  </si>
  <si>
    <t>CHƯỚC</t>
  </si>
  <si>
    <t>酉</t>
  </si>
  <si>
    <t>シャク</t>
  </si>
  <si>
    <t>勺</t>
  </si>
  <si>
    <t>杓</t>
  </si>
  <si>
    <t>シャク/ ヒョウ</t>
  </si>
  <si>
    <t>斫</t>
  </si>
  <si>
    <t>CHƯỚC/TRÁC</t>
  </si>
  <si>
    <t>障</t>
  </si>
  <si>
    <t>CHƯỚNG</t>
  </si>
  <si>
    <t>さわ・る</t>
  </si>
  <si>
    <t>瘴</t>
  </si>
  <si>
    <t>嶂</t>
  </si>
  <si>
    <t>掌</t>
  </si>
  <si>
    <t>CHƯỞNG</t>
  </si>
  <si>
    <t>たなごころ、てのひら</t>
  </si>
  <si>
    <t>織</t>
  </si>
  <si>
    <t>CHỨC</t>
  </si>
  <si>
    <t>シキ/ ショク</t>
  </si>
  <si>
    <t>お・る</t>
  </si>
  <si>
    <t>職</t>
  </si>
  <si>
    <t>耳</t>
  </si>
  <si>
    <t>ショク/ シキ</t>
  </si>
  <si>
    <t>症</t>
  </si>
  <si>
    <t>CHỨNG</t>
  </si>
  <si>
    <t>証</t>
  </si>
  <si>
    <t>あかし</t>
  </si>
  <si>
    <t>墸</t>
  </si>
  <si>
    <t>CHỪ</t>
  </si>
  <si>
    <t>煮</t>
  </si>
  <si>
    <t>CHỬ</t>
  </si>
  <si>
    <t>シャ/ ショ</t>
  </si>
  <si>
    <t>に・る</t>
  </si>
  <si>
    <t>渚</t>
  </si>
  <si>
    <t>なぎさ</t>
  </si>
  <si>
    <t>杵</t>
  </si>
  <si>
    <t>きね</t>
  </si>
  <si>
    <t>楮</t>
  </si>
  <si>
    <t>こうぞ</t>
  </si>
  <si>
    <t>拯</t>
  </si>
  <si>
    <t>CHỬNG</t>
  </si>
  <si>
    <t>ジョウ/ ショウ</t>
  </si>
  <si>
    <t>孤</t>
  </si>
  <si>
    <t>CÔ</t>
  </si>
  <si>
    <t>コ</t>
  </si>
  <si>
    <t>蛄</t>
  </si>
  <si>
    <t>ク/ コ</t>
  </si>
  <si>
    <t>估</t>
  </si>
  <si>
    <t>辜</t>
  </si>
  <si>
    <t>コ/ ク</t>
  </si>
  <si>
    <t>呱</t>
  </si>
  <si>
    <t>姑</t>
  </si>
  <si>
    <t>しゅうとめ</t>
  </si>
  <si>
    <t>沽</t>
  </si>
  <si>
    <t>CÔ/CỔ</t>
  </si>
  <si>
    <t>昆</t>
  </si>
  <si>
    <t>CÔN</t>
  </si>
  <si>
    <t>棍</t>
  </si>
  <si>
    <t>崑</t>
  </si>
  <si>
    <t>公</t>
  </si>
  <si>
    <t>CÔNG</t>
  </si>
  <si>
    <t>おおやけ</t>
  </si>
  <si>
    <t>工</t>
  </si>
  <si>
    <t>たくみ</t>
  </si>
  <si>
    <t>功</t>
  </si>
  <si>
    <t>いさお</t>
  </si>
  <si>
    <t>攻</t>
  </si>
  <si>
    <t>攴</t>
  </si>
  <si>
    <t>せ・める</t>
  </si>
  <si>
    <t>蚣</t>
  </si>
  <si>
    <t>顧</t>
  </si>
  <si>
    <t>CỐ</t>
  </si>
  <si>
    <t>かえり・みる</t>
  </si>
  <si>
    <t>固</t>
  </si>
  <si>
    <t>囗</t>
  </si>
  <si>
    <t>かた・い</t>
  </si>
  <si>
    <t>雇</t>
  </si>
  <si>
    <t>やと・う、やとい</t>
  </si>
  <si>
    <t>故</t>
  </si>
  <si>
    <t>ゆえ</t>
  </si>
  <si>
    <t>痼</t>
  </si>
  <si>
    <t>穀</t>
  </si>
  <si>
    <t>CỐC</t>
  </si>
  <si>
    <t>コク</t>
  </si>
  <si>
    <t>谷</t>
  </si>
  <si>
    <t>たに</t>
  </si>
  <si>
    <t>梏</t>
  </si>
  <si>
    <t>カク/ コク</t>
  </si>
  <si>
    <t>轂</t>
  </si>
  <si>
    <t>檜</t>
  </si>
  <si>
    <t>CỐI</t>
  </si>
  <si>
    <t>カイ/ ケ</t>
  </si>
  <si>
    <t>ひのき</t>
  </si>
  <si>
    <t>桧</t>
  </si>
  <si>
    <t>貢</t>
  </si>
  <si>
    <t>CỐNG</t>
  </si>
  <si>
    <t>みつ・ぐ</t>
  </si>
  <si>
    <t>槓</t>
  </si>
  <si>
    <t>骨</t>
  </si>
  <si>
    <t>CỐT</t>
  </si>
  <si>
    <t>コツ</t>
  </si>
  <si>
    <t>ほね</t>
  </si>
  <si>
    <t>榾</t>
  </si>
  <si>
    <t>コチ/ コツ</t>
  </si>
  <si>
    <t>鼓</t>
  </si>
  <si>
    <t>CỔ</t>
  </si>
  <si>
    <t>つづみ</t>
  </si>
  <si>
    <t>古</t>
  </si>
  <si>
    <t>ふる・い</t>
  </si>
  <si>
    <t>股</t>
  </si>
  <si>
    <t>瞽</t>
  </si>
  <si>
    <t>袞</t>
  </si>
  <si>
    <t>CỔN</t>
  </si>
  <si>
    <t>共</t>
  </si>
  <si>
    <t>CỘNG</t>
  </si>
  <si>
    <t>肌</t>
  </si>
  <si>
    <t>CƠ</t>
  </si>
  <si>
    <t>キ</t>
  </si>
  <si>
    <t>はだ</t>
  </si>
  <si>
    <t>飢</t>
  </si>
  <si>
    <t>う・える</t>
  </si>
  <si>
    <t>基</t>
  </si>
  <si>
    <t>もと、もとい</t>
  </si>
  <si>
    <t>姫</t>
  </si>
  <si>
    <t>ひめ</t>
  </si>
  <si>
    <t>饑</t>
  </si>
  <si>
    <t>譏</t>
  </si>
  <si>
    <t>キ/ ケ</t>
  </si>
  <si>
    <t>機</t>
  </si>
  <si>
    <t>CƠ/KY</t>
  </si>
  <si>
    <t>はた</t>
  </si>
  <si>
    <t>供</t>
  </si>
  <si>
    <t>CUNG</t>
  </si>
  <si>
    <t>キョウ/ ク</t>
  </si>
  <si>
    <t>そな・える、とも</t>
  </si>
  <si>
    <t>宮</t>
  </si>
  <si>
    <t>キュウ/ グウ/ ク</t>
  </si>
  <si>
    <t>みや</t>
  </si>
  <si>
    <t>ゆみ</t>
  </si>
  <si>
    <t>恭</t>
  </si>
  <si>
    <t>うやうや・しい</t>
  </si>
  <si>
    <t>躬</t>
  </si>
  <si>
    <t>身</t>
  </si>
  <si>
    <t>蛩</t>
  </si>
  <si>
    <t>狂</t>
  </si>
  <si>
    <t>CUỒNG</t>
  </si>
  <si>
    <t>くる・う</t>
  </si>
  <si>
    <t>桛</t>
  </si>
  <si>
    <t>(cuộn)</t>
  </si>
  <si>
    <t>句</t>
  </si>
  <si>
    <t>CÚ</t>
  </si>
  <si>
    <t>菊</t>
  </si>
  <si>
    <t>CÚC</t>
  </si>
  <si>
    <t>キク</t>
  </si>
  <si>
    <t>椈</t>
  </si>
  <si>
    <t>掬</t>
  </si>
  <si>
    <t>すく・う</t>
  </si>
  <si>
    <t>衢</t>
  </si>
  <si>
    <t>CÙ</t>
  </si>
  <si>
    <t>行</t>
  </si>
  <si>
    <t>樛</t>
  </si>
  <si>
    <t>劬</t>
  </si>
  <si>
    <t>窮</t>
  </si>
  <si>
    <t>CÙNG</t>
  </si>
  <si>
    <t>穴</t>
  </si>
  <si>
    <t>きわ・める</t>
  </si>
  <si>
    <t>糾</t>
  </si>
  <si>
    <t>CỦ</t>
  </si>
  <si>
    <t>あざな・う、ただ・す</t>
  </si>
  <si>
    <t>赳</t>
  </si>
  <si>
    <t>走</t>
  </si>
  <si>
    <t>矩</t>
  </si>
  <si>
    <t>矢</t>
  </si>
  <si>
    <t>のり</t>
  </si>
  <si>
    <t>拱</t>
  </si>
  <si>
    <t>CỦNG</t>
  </si>
  <si>
    <t>窶</t>
  </si>
  <si>
    <t>CŨ/LŨ</t>
  </si>
  <si>
    <t>ロウ</t>
  </si>
  <si>
    <t>具</t>
  </si>
  <si>
    <t>CỤ</t>
  </si>
  <si>
    <t>グ</t>
  </si>
  <si>
    <t>そな・わる、つぶさ・に</t>
  </si>
  <si>
    <t>惧</t>
  </si>
  <si>
    <t>懼</t>
  </si>
  <si>
    <t>おそ・れる</t>
  </si>
  <si>
    <t>局</t>
  </si>
  <si>
    <t>CỤC</t>
  </si>
  <si>
    <t>キョク</t>
  </si>
  <si>
    <t>つぼね</t>
  </si>
  <si>
    <t>居</t>
  </si>
  <si>
    <t>CƯ</t>
  </si>
  <si>
    <t>キョ/ コ</t>
  </si>
  <si>
    <t>い・る、お・る</t>
  </si>
  <si>
    <t>鋸</t>
  </si>
  <si>
    <t>のこぎり</t>
  </si>
  <si>
    <t>据</t>
  </si>
  <si>
    <t>CƯ/CỨ</t>
  </si>
  <si>
    <t>キョ</t>
  </si>
  <si>
    <t>す・える</t>
  </si>
  <si>
    <t>裾</t>
  </si>
  <si>
    <t>すそ</t>
  </si>
  <si>
    <t>綱</t>
  </si>
  <si>
    <t>CƯƠNG</t>
  </si>
  <si>
    <t>つな</t>
  </si>
  <si>
    <t>鋼</t>
  </si>
  <si>
    <t>はがね</t>
  </si>
  <si>
    <t>剛</t>
  </si>
  <si>
    <t>ゴウ</t>
  </si>
  <si>
    <t>岡</t>
  </si>
  <si>
    <t>おか</t>
  </si>
  <si>
    <t>棡</t>
  </si>
  <si>
    <t>コウ/ オウ</t>
  </si>
  <si>
    <t>疆</t>
  </si>
  <si>
    <t>僵</t>
  </si>
  <si>
    <t>崗</t>
  </si>
  <si>
    <t>脚</t>
  </si>
  <si>
    <t>CƯỚC</t>
  </si>
  <si>
    <t>キャク</t>
  </si>
  <si>
    <t>あし</t>
  </si>
  <si>
    <t>強</t>
  </si>
  <si>
    <t>CƯỜNG</t>
  </si>
  <si>
    <t>キョウ/ コウ</t>
  </si>
  <si>
    <t>つよ・い、こわ・い、し・いて</t>
  </si>
  <si>
    <t>彊</t>
  </si>
  <si>
    <t>襁</t>
  </si>
  <si>
    <t>CƯỠNG</t>
  </si>
  <si>
    <t>鳩</t>
  </si>
  <si>
    <t>CƯU</t>
  </si>
  <si>
    <t>はと</t>
  </si>
  <si>
    <t>拠</t>
  </si>
  <si>
    <t>CỨ</t>
  </si>
  <si>
    <t>よ・る、より</t>
  </si>
  <si>
    <t>據</t>
  </si>
  <si>
    <t>倨</t>
  </si>
  <si>
    <t>亟</t>
  </si>
  <si>
    <t>CỨC</t>
  </si>
  <si>
    <t>キョク/ キ</t>
  </si>
  <si>
    <t>棘</t>
  </si>
  <si>
    <t>いばら</t>
  </si>
  <si>
    <t>究</t>
  </si>
  <si>
    <t>CỨU</t>
  </si>
  <si>
    <t>救</t>
  </si>
  <si>
    <t>厩</t>
  </si>
  <si>
    <t>うまや</t>
  </si>
  <si>
    <t>廐</t>
  </si>
  <si>
    <t>廏</t>
  </si>
  <si>
    <t>渠</t>
  </si>
  <si>
    <t>CỪ</t>
  </si>
  <si>
    <t>仇</t>
  </si>
  <si>
    <t>CỪU</t>
  </si>
  <si>
    <t>キュウ/ グ</t>
  </si>
  <si>
    <t>あだ、かたき</t>
  </si>
  <si>
    <t>挙</t>
  </si>
  <si>
    <t>CỬ</t>
  </si>
  <si>
    <t>あ・げる</t>
  </si>
  <si>
    <t>擧</t>
  </si>
  <si>
    <t>枸</t>
  </si>
  <si>
    <t>CỬ/CẨU</t>
  </si>
  <si>
    <t>九</t>
  </si>
  <si>
    <t>CỬU</t>
  </si>
  <si>
    <t>ここの・つ</t>
  </si>
  <si>
    <t>久</t>
  </si>
  <si>
    <t>ひさ・しい</t>
  </si>
  <si>
    <t>疚</t>
  </si>
  <si>
    <t>やま・しい</t>
  </si>
  <si>
    <t>柩</t>
  </si>
  <si>
    <t>CỮU</t>
  </si>
  <si>
    <t>ひつぎ</t>
  </si>
  <si>
    <t>臼</t>
  </si>
  <si>
    <t>うす</t>
  </si>
  <si>
    <t>咎</t>
  </si>
  <si>
    <t>とが、とが・める</t>
  </si>
  <si>
    <t>距</t>
  </si>
  <si>
    <t>CỰ</t>
  </si>
  <si>
    <t>巨</t>
  </si>
  <si>
    <t>拒</t>
  </si>
  <si>
    <t>こば・む</t>
  </si>
  <si>
    <t>極</t>
  </si>
  <si>
    <t>CỰC</t>
  </si>
  <si>
    <t>きわ・める、ごく</t>
  </si>
  <si>
    <t>旧</t>
  </si>
  <si>
    <t>CỰU</t>
  </si>
  <si>
    <t>キュウ/ グ/ ク</t>
  </si>
  <si>
    <t>名</t>
  </si>
  <si>
    <t>DANH</t>
  </si>
  <si>
    <t>メイ/ ミョウ</t>
  </si>
  <si>
    <t>な</t>
  </si>
  <si>
    <t>謡</t>
  </si>
  <si>
    <t>DAO</t>
  </si>
  <si>
    <t>うたい、うた・う</t>
  </si>
  <si>
    <t>揺</t>
  </si>
  <si>
    <t>ゆ・する</t>
  </si>
  <si>
    <t>瑤</t>
  </si>
  <si>
    <t>徭</t>
  </si>
  <si>
    <t>搖</t>
  </si>
  <si>
    <t>DAO/DIÊU</t>
  </si>
  <si>
    <t>野</t>
  </si>
  <si>
    <t>DÃ</t>
  </si>
  <si>
    <t>里</t>
  </si>
  <si>
    <t>ヤ</t>
  </si>
  <si>
    <t>也</t>
  </si>
  <si>
    <t>なり</t>
  </si>
  <si>
    <t>冶</t>
  </si>
  <si>
    <t>埜</t>
  </si>
  <si>
    <t>ヤ/ ショ</t>
  </si>
  <si>
    <t>夜</t>
  </si>
  <si>
    <t>DẠ</t>
  </si>
  <si>
    <t>夕</t>
  </si>
  <si>
    <t>よ、よる</t>
  </si>
  <si>
    <t>様</t>
  </si>
  <si>
    <t>DẠNG</t>
  </si>
  <si>
    <t>さま</t>
  </si>
  <si>
    <t>樣</t>
  </si>
  <si>
    <t>淫</t>
  </si>
  <si>
    <t>DÂM</t>
  </si>
  <si>
    <t>みだ・ら</t>
  </si>
  <si>
    <t>婬</t>
  </si>
  <si>
    <t>民</t>
  </si>
  <si>
    <t>DÂN</t>
  </si>
  <si>
    <t>氏</t>
  </si>
  <si>
    <t>ミン</t>
  </si>
  <si>
    <t>たみ</t>
  </si>
  <si>
    <t>寅</t>
  </si>
  <si>
    <t>DẦN</t>
  </si>
  <si>
    <t>とら</t>
  </si>
  <si>
    <t>引</t>
  </si>
  <si>
    <t>DẪN</t>
  </si>
  <si>
    <t>ひ・く</t>
  </si>
  <si>
    <t>蚓</t>
  </si>
  <si>
    <t>廴</t>
  </si>
  <si>
    <t>胤</t>
  </si>
  <si>
    <t>DẬN</t>
  </si>
  <si>
    <t>逸</t>
  </si>
  <si>
    <t>DẬT</t>
  </si>
  <si>
    <t>イツ</t>
  </si>
  <si>
    <t>佚</t>
  </si>
  <si>
    <t>DẬU</t>
  </si>
  <si>
    <t>杙</t>
  </si>
  <si>
    <t>DẶC</t>
  </si>
  <si>
    <t>ヨク</t>
  </si>
  <si>
    <t>くい</t>
  </si>
  <si>
    <t>弋</t>
  </si>
  <si>
    <t>栃</t>
  </si>
  <si>
    <t>(dẻ)</t>
  </si>
  <si>
    <t>とち</t>
  </si>
  <si>
    <t>移</t>
  </si>
  <si>
    <t>DI</t>
  </si>
  <si>
    <t>イ</t>
  </si>
  <si>
    <t>うつ・る</t>
  </si>
  <si>
    <t>遺</t>
  </si>
  <si>
    <t>イ/ ユイ</t>
  </si>
  <si>
    <t>の・こす</t>
  </si>
  <si>
    <t>弥</t>
  </si>
  <si>
    <t>ビ/ ミ</t>
  </si>
  <si>
    <t>や</t>
  </si>
  <si>
    <t>怡</t>
  </si>
  <si>
    <t>痍</t>
  </si>
  <si>
    <t>夷</t>
  </si>
  <si>
    <t>えびす</t>
  </si>
  <si>
    <t>姨</t>
  </si>
  <si>
    <t>彌</t>
  </si>
  <si>
    <t>彜</t>
  </si>
  <si>
    <t>彑</t>
  </si>
  <si>
    <t>彝</t>
  </si>
  <si>
    <t>洟</t>
  </si>
  <si>
    <t>DI/THẾ</t>
  </si>
  <si>
    <t>イ/ テイ</t>
  </si>
  <si>
    <t>葉</t>
  </si>
  <si>
    <t>DIỆP</t>
    <phoneticPr fontId="9"/>
  </si>
  <si>
    <t>は</t>
  </si>
  <si>
    <t>塩</t>
  </si>
  <si>
    <t>DIÊM</t>
  </si>
  <si>
    <t>エン</t>
  </si>
  <si>
    <t>しお</t>
  </si>
  <si>
    <t>檐</t>
  </si>
  <si>
    <t>延</t>
  </si>
  <si>
    <t>DIÊN</t>
  </si>
  <si>
    <t>の・びる</t>
  </si>
  <si>
    <t>鳶</t>
  </si>
  <si>
    <t>とび</t>
  </si>
  <si>
    <t>蜒</t>
  </si>
  <si>
    <t>窯</t>
  </si>
  <si>
    <t>DIÊU</t>
  </si>
  <si>
    <t>かま</t>
  </si>
  <si>
    <t>遙</t>
  </si>
  <si>
    <t>はる・か</t>
  </si>
  <si>
    <t>姚</t>
  </si>
  <si>
    <t>遥</t>
  </si>
  <si>
    <t>凧</t>
  </si>
  <si>
    <t>(diều)</t>
  </si>
  <si>
    <t>たこ</t>
  </si>
  <si>
    <t>艶</t>
  </si>
  <si>
    <t>DIỄM</t>
  </si>
  <si>
    <t>色</t>
  </si>
  <si>
    <t>つや、あで・やか、なま・めかしい</t>
  </si>
  <si>
    <t>焔</t>
  </si>
  <si>
    <t>演</t>
  </si>
  <si>
    <t>DIỄN</t>
  </si>
  <si>
    <t>衍</t>
  </si>
  <si>
    <t>亦</t>
  </si>
  <si>
    <t>DIỆC</t>
  </si>
  <si>
    <t>エキ</t>
  </si>
  <si>
    <t>また</t>
  </si>
  <si>
    <t>面</t>
  </si>
  <si>
    <t>DIỆN</t>
  </si>
  <si>
    <t>メン/ ベン</t>
  </si>
  <si>
    <t>おもて、つら</t>
  </si>
  <si>
    <t>滅</t>
  </si>
  <si>
    <t>DIỆT</t>
  </si>
  <si>
    <t>メツ</t>
  </si>
  <si>
    <t>ほろ・びる</t>
  </si>
  <si>
    <t>妙</t>
  </si>
  <si>
    <t>DIỆU</t>
  </si>
  <si>
    <t>ミョウ</t>
  </si>
  <si>
    <t>たえ</t>
  </si>
  <si>
    <t>曜</t>
  </si>
  <si>
    <t>耀</t>
  </si>
  <si>
    <t>羽</t>
  </si>
  <si>
    <t>かがや・く</t>
  </si>
  <si>
    <t>以</t>
  </si>
  <si>
    <r>
      <t>D</t>
    </r>
    <r>
      <rPr>
        <sz val="11"/>
        <rFont val="ＭＳ Ｐゴシック"/>
        <family val="3"/>
        <charset val="128"/>
      </rPr>
      <t>Ĩ</t>
    </r>
  </si>
  <si>
    <t>も・って</t>
  </si>
  <si>
    <t>已</t>
  </si>
  <si>
    <t>やむ、すでに、のみ</t>
  </si>
  <si>
    <t>穎</t>
  </si>
  <si>
    <r>
      <t>D</t>
    </r>
    <r>
      <rPr>
        <sz val="11"/>
        <rFont val="ＭＳ Ｐゴシック"/>
        <family val="3"/>
        <charset val="128"/>
      </rPr>
      <t>Ĩ</t>
    </r>
    <r>
      <rPr>
        <sz val="11"/>
        <rFont val="Arial"/>
        <family val="2"/>
      </rPr>
      <t>NH</t>
    </r>
  </si>
  <si>
    <t>異</t>
  </si>
  <si>
    <t>DỊ</t>
  </si>
  <si>
    <t>こと・なる</t>
  </si>
  <si>
    <t>易</t>
  </si>
  <si>
    <t>DỊ/DỊCH</t>
  </si>
  <si>
    <t>液</t>
  </si>
  <si>
    <t>DỊCH</t>
  </si>
  <si>
    <t>疫</t>
  </si>
  <si>
    <t>エキ/ ヤク</t>
  </si>
  <si>
    <t>訳</t>
  </si>
  <si>
    <t>ヤク/ エキ</t>
  </si>
  <si>
    <t>わけ</t>
  </si>
  <si>
    <t>駅</t>
  </si>
  <si>
    <t>役</t>
  </si>
  <si>
    <t>懌</t>
  </si>
  <si>
    <t>掖</t>
  </si>
  <si>
    <t>剔</t>
  </si>
  <si>
    <t>テキ</t>
  </si>
  <si>
    <t>蜴</t>
  </si>
  <si>
    <t>奕</t>
  </si>
  <si>
    <t>猷</t>
  </si>
  <si>
    <t>DO</t>
  </si>
  <si>
    <t>ユ/ ユウ</t>
  </si>
  <si>
    <t>由</t>
  </si>
  <si>
    <t>ユ/ ユイ/ ユウ</t>
  </si>
  <si>
    <t>よし</t>
  </si>
  <si>
    <t>楢</t>
  </si>
  <si>
    <t>なら</t>
  </si>
  <si>
    <t>猶</t>
  </si>
  <si>
    <t>なお</t>
  </si>
  <si>
    <t>塋</t>
  </si>
  <si>
    <t>DOANH</t>
  </si>
  <si>
    <t>楹</t>
  </si>
  <si>
    <t>贏</t>
  </si>
  <si>
    <t>營</t>
  </si>
  <si>
    <t>いとな・む</t>
  </si>
  <si>
    <t>営</t>
  </si>
  <si>
    <t>DOANH/DINH</t>
  </si>
  <si>
    <t>ツ</t>
  </si>
  <si>
    <t>允</t>
  </si>
  <si>
    <t>DOÃN/DUẪN</t>
  </si>
  <si>
    <t>尹</t>
  </si>
  <si>
    <t>油</t>
  </si>
  <si>
    <t>DU</t>
  </si>
  <si>
    <t>遊</t>
  </si>
  <si>
    <t>あそ・ぶ</t>
  </si>
  <si>
    <t>悠</t>
  </si>
  <si>
    <t>愉</t>
  </si>
  <si>
    <t>ユ</t>
  </si>
  <si>
    <t>揄</t>
  </si>
  <si>
    <t>攸</t>
  </si>
  <si>
    <t>諛</t>
  </si>
  <si>
    <t>楡</t>
  </si>
  <si>
    <t>にれ</t>
  </si>
  <si>
    <t>臾</t>
  </si>
  <si>
    <t>蚰</t>
  </si>
  <si>
    <t>蝣</t>
  </si>
  <si>
    <t>蝓</t>
  </si>
  <si>
    <t>偸</t>
  </si>
  <si>
    <t>トウ/ チュウ</t>
  </si>
  <si>
    <t>兪</t>
  </si>
  <si>
    <t>入</t>
  </si>
  <si>
    <t>岫</t>
  </si>
  <si>
    <t>曵</t>
  </si>
  <si>
    <t>DUỆ</t>
  </si>
  <si>
    <t>曳</t>
  </si>
  <si>
    <t>睿</t>
  </si>
  <si>
    <t>叡</t>
  </si>
  <si>
    <t>又</t>
  </si>
  <si>
    <t>融</t>
  </si>
  <si>
    <t>DUNG</t>
  </si>
  <si>
    <t>ユウ/ ユ</t>
  </si>
  <si>
    <t>とける</t>
  </si>
  <si>
    <t>庸</t>
  </si>
  <si>
    <t>ヨウ/ ユウ</t>
  </si>
  <si>
    <t>蓉</t>
  </si>
  <si>
    <t>ユウ/ ヨウ</t>
  </si>
  <si>
    <t>慵</t>
  </si>
  <si>
    <t>ショウ/ ヨウ</t>
  </si>
  <si>
    <t>溶</t>
  </si>
  <si>
    <t>DUNG/DONG</t>
  </si>
  <si>
    <t>と・ける</t>
  </si>
  <si>
    <t>容</t>
  </si>
  <si>
    <t>い・れる</t>
  </si>
  <si>
    <t>榕</t>
  </si>
  <si>
    <t>維</t>
  </si>
  <si>
    <t>DUY</t>
  </si>
  <si>
    <t>唯</t>
  </si>
  <si>
    <t>ユイ/ イ</t>
  </si>
  <si>
    <t>惟</t>
  </si>
  <si>
    <t>これ</t>
  </si>
  <si>
    <t>帷</t>
  </si>
  <si>
    <t>とばり</t>
  </si>
  <si>
    <t>沿</t>
  </si>
  <si>
    <t>DUYÊN</t>
  </si>
  <si>
    <t>そ・う</t>
  </si>
  <si>
    <t>縁</t>
  </si>
  <si>
    <t>ふち、へり</t>
  </si>
  <si>
    <t>鉛</t>
  </si>
  <si>
    <t>なまり</t>
  </si>
  <si>
    <t>櫞</t>
  </si>
  <si>
    <t>掾</t>
  </si>
  <si>
    <t>DUYỆN</t>
  </si>
  <si>
    <t>吮</t>
  </si>
  <si>
    <t>セン/ シュン</t>
  </si>
  <si>
    <t>閲</t>
  </si>
  <si>
    <t>DUYỆT</t>
  </si>
  <si>
    <t>エツ</t>
  </si>
  <si>
    <t>悦</t>
  </si>
  <si>
    <t>よろこ・ぶ</t>
  </si>
  <si>
    <t>癒</t>
  </si>
  <si>
    <r>
      <t>D</t>
    </r>
    <r>
      <rPr>
        <sz val="11"/>
        <rFont val="ＭＳ Ｐゴシック"/>
        <family val="3"/>
        <charset val="128"/>
      </rPr>
      <t>Ũ</t>
    </r>
  </si>
  <si>
    <t>い・える</t>
  </si>
  <si>
    <t>瘉</t>
  </si>
  <si>
    <t>愈</t>
  </si>
  <si>
    <t>躍</t>
  </si>
  <si>
    <r>
      <t>D</t>
    </r>
    <r>
      <rPr>
        <sz val="11"/>
        <rFont val="ＭＳ Ｐゴシック"/>
        <family val="3"/>
        <charset val="128"/>
      </rPr>
      <t>Ũ</t>
    </r>
    <r>
      <rPr>
        <sz val="11"/>
        <rFont val="Arial"/>
        <family val="2"/>
      </rPr>
      <t>NG</t>
    </r>
  </si>
  <si>
    <t>おど・る</t>
  </si>
  <si>
    <t>勇</t>
  </si>
  <si>
    <t>いさ・ましい</t>
  </si>
  <si>
    <t>慂</t>
  </si>
  <si>
    <t>桶</t>
  </si>
  <si>
    <t>おけ</t>
  </si>
  <si>
    <t>涌</t>
  </si>
  <si>
    <t>わ・く</t>
  </si>
  <si>
    <t>蛹</t>
  </si>
  <si>
    <t>さなぎ</t>
  </si>
  <si>
    <t>俑</t>
  </si>
  <si>
    <t>芋</t>
  </si>
  <si>
    <t>DỤ</t>
  </si>
  <si>
    <t>いも</t>
  </si>
  <si>
    <t>裕</t>
  </si>
  <si>
    <t>誘</t>
  </si>
  <si>
    <t>さそ・う</t>
  </si>
  <si>
    <t>諭</t>
  </si>
  <si>
    <t>さと・す</t>
  </si>
  <si>
    <t>喩</t>
  </si>
  <si>
    <t>峪</t>
  </si>
  <si>
    <t>浴</t>
  </si>
  <si>
    <t>DỤC</t>
  </si>
  <si>
    <t>あ・びる</t>
  </si>
  <si>
    <t>育</t>
  </si>
  <si>
    <t>イク</t>
  </si>
  <si>
    <t>そだ・つ</t>
  </si>
  <si>
    <t>欲</t>
  </si>
  <si>
    <t>ほ・しい、ほっ・する</t>
  </si>
  <si>
    <t>毓</t>
  </si>
  <si>
    <t>毋</t>
  </si>
  <si>
    <t>慾</t>
  </si>
  <si>
    <t>用</t>
  </si>
  <si>
    <t>DỤNG</t>
  </si>
  <si>
    <t>もち・いる</t>
  </si>
  <si>
    <t>傭</t>
  </si>
  <si>
    <t>ヨウ/ チョウ</t>
  </si>
  <si>
    <t>余</t>
  </si>
  <si>
    <t>DƯ</t>
  </si>
  <si>
    <t>ヨ</t>
  </si>
  <si>
    <t>あま・る</t>
  </si>
  <si>
    <t>歟</t>
  </si>
  <si>
    <t>輿</t>
  </si>
  <si>
    <t>こし</t>
  </si>
  <si>
    <t>洋</t>
  </si>
  <si>
    <t>DƯƠNG</t>
  </si>
  <si>
    <t>羊</t>
  </si>
  <si>
    <t>ひつじ</t>
  </si>
  <si>
    <t>陽</t>
  </si>
  <si>
    <t>ひ</t>
  </si>
  <si>
    <t>揚</t>
  </si>
  <si>
    <t>あ、げる</t>
  </si>
  <si>
    <t>楊</t>
  </si>
  <si>
    <t>昜</t>
  </si>
  <si>
    <t>暘</t>
  </si>
  <si>
    <t>佯</t>
  </si>
  <si>
    <t>瘍</t>
  </si>
  <si>
    <t>養</t>
  </si>
  <si>
    <t>DƯỠNG</t>
  </si>
  <si>
    <t>やしな・う</t>
  </si>
  <si>
    <t>痒</t>
  </si>
  <si>
    <t>かゆ・い</t>
  </si>
  <si>
    <t>癢</t>
  </si>
  <si>
    <t>薬</t>
  </si>
  <si>
    <t>DƯỢC</t>
  </si>
  <si>
    <t>くすり</t>
  </si>
  <si>
    <t>踊</t>
  </si>
  <si>
    <t>龠</t>
  </si>
  <si>
    <t>DƯỢC/THƯỢC</t>
  </si>
  <si>
    <t>鼬</t>
  </si>
  <si>
    <t>DỨU</t>
  </si>
  <si>
    <t>鼠</t>
  </si>
  <si>
    <t>いたち</t>
  </si>
  <si>
    <t>嶼</t>
  </si>
  <si>
    <t>DỮ/DỰ</t>
  </si>
  <si>
    <t>柚</t>
  </si>
  <si>
    <t>DỮU/CHỤC</t>
  </si>
  <si>
    <t>ゆず</t>
  </si>
  <si>
    <t>予</t>
  </si>
  <si>
    <t>DỰ</t>
  </si>
  <si>
    <t>亅</t>
  </si>
  <si>
    <t>あらかじ・め</t>
  </si>
  <si>
    <t>誉</t>
  </si>
  <si>
    <t>ほま・れ</t>
  </si>
  <si>
    <t>預</t>
  </si>
  <si>
    <t>あず・ける</t>
  </si>
  <si>
    <t>与</t>
  </si>
  <si>
    <t>DỰ/DỮ</t>
  </si>
  <si>
    <t>あた・える、くみ・する、あずか・る</t>
  </si>
  <si>
    <t>與</t>
  </si>
  <si>
    <t>翌</t>
  </si>
  <si>
    <t>DỰC</t>
  </si>
  <si>
    <t>翼</t>
  </si>
  <si>
    <t>つばさ</t>
  </si>
  <si>
    <t>孕</t>
  </si>
  <si>
    <t>DỰNG</t>
  </si>
  <si>
    <t>はら・む</t>
  </si>
  <si>
    <t>多</t>
  </si>
  <si>
    <t>ĐA</t>
  </si>
  <si>
    <t>タ</t>
  </si>
  <si>
    <t>おお・い</t>
  </si>
  <si>
    <t>耽</t>
  </si>
  <si>
    <t>ĐAM</t>
  </si>
  <si>
    <t>タン</t>
  </si>
  <si>
    <t>ふけ・る</t>
  </si>
  <si>
    <t>單</t>
  </si>
  <si>
    <t>ĐAN</t>
  </si>
  <si>
    <t>丹</t>
  </si>
  <si>
    <t>ĐAN/ĐƠN</t>
  </si>
  <si>
    <t>に</t>
  </si>
  <si>
    <t>儻</t>
  </si>
  <si>
    <t>ĐANG</t>
  </si>
  <si>
    <t>ĐAO</t>
  </si>
  <si>
    <t>トウ/ ト</t>
  </si>
  <si>
    <t>かたな</t>
  </si>
  <si>
    <t>戴</t>
  </si>
  <si>
    <t>ĐÁI</t>
  </si>
  <si>
    <t>タイ</t>
  </si>
  <si>
    <t>いただ・く</t>
  </si>
  <si>
    <t>旦</t>
  </si>
  <si>
    <t>ĐÁN</t>
  </si>
  <si>
    <t>到</t>
  </si>
  <si>
    <t>ĐÁO</t>
  </si>
  <si>
    <t>答</t>
  </si>
  <si>
    <t>ĐÁP</t>
  </si>
  <si>
    <t>こたえ、こた・える</t>
  </si>
  <si>
    <t>搭</t>
  </si>
  <si>
    <t>怛</t>
  </si>
  <si>
    <t>ĐÁT</t>
  </si>
  <si>
    <t>妲</t>
  </si>
  <si>
    <t>タツ/ タン</t>
  </si>
  <si>
    <t>駄</t>
  </si>
  <si>
    <t>ĐÀ</t>
  </si>
  <si>
    <t>ダ/ タイ</t>
  </si>
  <si>
    <t>陀</t>
  </si>
  <si>
    <t>ダ/ タ</t>
  </si>
  <si>
    <t>沱</t>
  </si>
  <si>
    <t>タ/ ダ</t>
  </si>
  <si>
    <t>佗</t>
  </si>
  <si>
    <t>台</t>
  </si>
  <si>
    <t>ĐÀI</t>
  </si>
  <si>
    <t>ダイ/ タイ</t>
  </si>
  <si>
    <t>うてな</t>
  </si>
  <si>
    <t>抬</t>
  </si>
  <si>
    <t>もた・げる</t>
  </si>
  <si>
    <t>擡</t>
  </si>
  <si>
    <t>苔</t>
  </si>
  <si>
    <t>こけ</t>
  </si>
  <si>
    <t>臺</t>
  </si>
  <si>
    <t>談</t>
  </si>
  <si>
    <t>ĐÀM</t>
  </si>
  <si>
    <t>ダン</t>
  </si>
  <si>
    <t>曇</t>
  </si>
  <si>
    <t>ドン/ タン</t>
  </si>
  <si>
    <t>くもり、くも・る</t>
  </si>
  <si>
    <t>痰</t>
  </si>
  <si>
    <t>壜</t>
  </si>
  <si>
    <t>びん</t>
  </si>
  <si>
    <t>壇</t>
  </si>
  <si>
    <t>ĐÀN</t>
  </si>
  <si>
    <t>檀</t>
  </si>
  <si>
    <t>ダン/ タン</t>
  </si>
  <si>
    <t>亶</t>
  </si>
  <si>
    <t>タン/ セン</t>
  </si>
  <si>
    <t>弾</t>
  </si>
  <si>
    <t>ĐÀN/ĐẠN</t>
  </si>
  <si>
    <t>たま、はず・む、ひ・く</t>
  </si>
  <si>
    <t>殫</t>
  </si>
  <si>
    <t>彈</t>
  </si>
  <si>
    <t>逃</t>
  </si>
  <si>
    <t>ĐÀO</t>
  </si>
  <si>
    <t>トウ/ ドウ</t>
  </si>
  <si>
    <t>に・げる、のが・れる</t>
  </si>
  <si>
    <t>陶</t>
  </si>
  <si>
    <t>すえ</t>
  </si>
  <si>
    <t>桃</t>
  </si>
  <si>
    <t>檮</t>
  </si>
  <si>
    <t>掏</t>
  </si>
  <si>
    <t>打</t>
  </si>
  <si>
    <t>ĐẢ</t>
  </si>
  <si>
    <t>ダ/ チョウ/ テイ</t>
  </si>
  <si>
    <t>う・つ</t>
  </si>
  <si>
    <t>柁</t>
  </si>
  <si>
    <t>ĐẢ/ĐÀ</t>
  </si>
  <si>
    <t>ダ</t>
  </si>
  <si>
    <t>胆</t>
  </si>
  <si>
    <t>ĐẢM</t>
  </si>
  <si>
    <t>担</t>
  </si>
  <si>
    <t>かつ・ぐ、にな・う</t>
  </si>
  <si>
    <t>擔</t>
  </si>
  <si>
    <t>憺</t>
  </si>
  <si>
    <t>疸</t>
  </si>
  <si>
    <t>誕</t>
  </si>
  <si>
    <t>ĐẢN</t>
  </si>
  <si>
    <t>但</t>
  </si>
  <si>
    <t>タン/ ダン</t>
  </si>
  <si>
    <t>ただ・し</t>
  </si>
  <si>
    <t>蜑</t>
  </si>
  <si>
    <t>あま</t>
  </si>
  <si>
    <t>党</t>
  </si>
  <si>
    <t>ĐẢNG</t>
  </si>
  <si>
    <t>黨</t>
  </si>
  <si>
    <t>島</t>
  </si>
  <si>
    <t>ĐẢO</t>
  </si>
  <si>
    <t>しま</t>
  </si>
  <si>
    <t>倒</t>
  </si>
  <si>
    <t>たお・れる</t>
  </si>
  <si>
    <t>搗</t>
  </si>
  <si>
    <t>擣</t>
  </si>
  <si>
    <t>嶌</t>
  </si>
  <si>
    <t>嶋</t>
  </si>
  <si>
    <t>逮</t>
  </si>
  <si>
    <t>ĐÃI</t>
  </si>
  <si>
    <t>タイ/ テイ</t>
  </si>
  <si>
    <t>怠</t>
  </si>
  <si>
    <t>おこた・る、なま・ける</t>
  </si>
  <si>
    <t>待</t>
  </si>
  <si>
    <t>ま・つ</t>
  </si>
  <si>
    <t>殆</t>
  </si>
  <si>
    <t>タイ/ ダイ</t>
  </si>
  <si>
    <t>ほと・んど</t>
  </si>
  <si>
    <t>宕</t>
  </si>
  <si>
    <t>ĐÃNG</t>
  </si>
  <si>
    <t>蕩</t>
  </si>
  <si>
    <t>袋</t>
  </si>
  <si>
    <t>ĐẠI</t>
  </si>
  <si>
    <t>ふくろ</t>
  </si>
  <si>
    <t>代</t>
  </si>
  <si>
    <t>ダイ</t>
  </si>
  <si>
    <t>かわ・る</t>
  </si>
  <si>
    <t>おお・きい</t>
  </si>
  <si>
    <t>黛</t>
  </si>
  <si>
    <t>まゆずみ</t>
  </si>
  <si>
    <t>淡</t>
  </si>
  <si>
    <t>ĐẠM</t>
  </si>
  <si>
    <t>あわ・い</t>
  </si>
  <si>
    <t>啗</t>
  </si>
  <si>
    <t>澹</t>
  </si>
  <si>
    <t>憚</t>
  </si>
  <si>
    <t>ĐẠN</t>
  </si>
  <si>
    <t>はばか・る</t>
  </si>
  <si>
    <t>盗</t>
  </si>
  <si>
    <t>ĐẠO</t>
  </si>
  <si>
    <t>ぬす・む</t>
  </si>
  <si>
    <t>稲</t>
  </si>
  <si>
    <t>いね、いな</t>
  </si>
  <si>
    <t>道</t>
  </si>
  <si>
    <t>ドウ/ トウ</t>
  </si>
  <si>
    <t>みち</t>
  </si>
  <si>
    <t>導</t>
  </si>
  <si>
    <t>ドウ</t>
  </si>
  <si>
    <t>みちび・く</t>
  </si>
  <si>
    <t>踏</t>
  </si>
  <si>
    <t>ĐẠP</t>
  </si>
  <si>
    <t>ふ・む</t>
  </si>
  <si>
    <t>沓</t>
  </si>
  <si>
    <t>くつ</t>
  </si>
  <si>
    <t>達</t>
  </si>
  <si>
    <t>ĐẠT</t>
  </si>
  <si>
    <t>タツ</t>
  </si>
  <si>
    <t>撻</t>
  </si>
  <si>
    <t>兜</t>
  </si>
  <si>
    <t>ĐÂU</t>
  </si>
  <si>
    <t>ト/ トウ</t>
  </si>
  <si>
    <t>かぶと</t>
  </si>
  <si>
    <t>闘</t>
  </si>
  <si>
    <t>ĐẤU</t>
  </si>
  <si>
    <t>たたか・う</t>
  </si>
  <si>
    <t>頭</t>
  </si>
  <si>
    <t>ĐẦU</t>
  </si>
  <si>
    <t>ズ/ ト/ トウ</t>
  </si>
  <si>
    <t>あたま、かしら</t>
  </si>
  <si>
    <t>投</t>
  </si>
  <si>
    <t>トウ/ ズ</t>
  </si>
  <si>
    <t>な・げる</t>
  </si>
  <si>
    <t>抖</t>
  </si>
  <si>
    <t>ĐẨU</t>
  </si>
  <si>
    <t>蚪</t>
  </si>
  <si>
    <t>痘</t>
  </si>
  <si>
    <t>ĐẬU</t>
  </si>
  <si>
    <t>豆</t>
  </si>
  <si>
    <t>ズ/ トウ</t>
  </si>
  <si>
    <t>まめ</t>
  </si>
  <si>
    <t>灯</t>
  </si>
  <si>
    <t>ĐĂNG</t>
  </si>
  <si>
    <t>トウ/ テイ</t>
  </si>
  <si>
    <t>ひ、あ・かり、とも・す</t>
  </si>
  <si>
    <t>登</t>
  </si>
  <si>
    <t>のぼ・る</t>
  </si>
  <si>
    <t>燈</t>
  </si>
  <si>
    <t>トウ/ チョウ/ チン/ テイ</t>
  </si>
  <si>
    <t>嶝</t>
  </si>
  <si>
    <t>得</t>
  </si>
  <si>
    <t>ĐẮC</t>
  </si>
  <si>
    <t>トク</t>
  </si>
  <si>
    <t>う・る、え・る</t>
  </si>
  <si>
    <t>謄</t>
  </si>
  <si>
    <t>ĐẰNG</t>
  </si>
  <si>
    <t>騰</t>
  </si>
  <si>
    <t>藤</t>
  </si>
  <si>
    <t>ふじ</t>
  </si>
  <si>
    <t>等</t>
  </si>
  <si>
    <t>ĐẲNG</t>
  </si>
  <si>
    <t>ひと・しい、など、ら</t>
  </si>
  <si>
    <t>特</t>
  </si>
  <si>
    <t>ĐẶC</t>
  </si>
  <si>
    <t>牛</t>
  </si>
  <si>
    <t>トク/ ドク</t>
  </si>
  <si>
    <t>鄧</t>
  </si>
  <si>
    <t>ĐẶNG</t>
  </si>
  <si>
    <t>峠</t>
  </si>
  <si>
    <t>(đèo)</t>
  </si>
  <si>
    <t>とうげ</t>
  </si>
  <si>
    <t>垰</t>
  </si>
  <si>
    <t>たお、たわ</t>
  </si>
  <si>
    <t>低</t>
  </si>
  <si>
    <t>ĐÊ</t>
  </si>
  <si>
    <t>テイ</t>
  </si>
  <si>
    <t>ひく・い</t>
  </si>
  <si>
    <t>堤</t>
  </si>
  <si>
    <t>つつみ</t>
  </si>
  <si>
    <t>悌</t>
  </si>
  <si>
    <t>テイ/ ダイ</t>
  </si>
  <si>
    <t>締</t>
  </si>
  <si>
    <t>ĐẾ</t>
  </si>
  <si>
    <t>し・める</t>
  </si>
  <si>
    <t>帝</t>
  </si>
  <si>
    <t>みかど</t>
  </si>
  <si>
    <t>柢</t>
  </si>
  <si>
    <t>嚔</t>
  </si>
  <si>
    <t>嚏</t>
  </si>
  <si>
    <t>提</t>
  </si>
  <si>
    <t>ĐỀ</t>
  </si>
  <si>
    <t>さ・げる</t>
  </si>
  <si>
    <t>題</t>
  </si>
  <si>
    <t>啼</t>
  </si>
  <si>
    <t>な・く</t>
  </si>
  <si>
    <t>邸</t>
  </si>
  <si>
    <t>ĐỂ</t>
  </si>
  <si>
    <t>やしき</t>
  </si>
  <si>
    <t>底</t>
  </si>
  <si>
    <t>そこ</t>
  </si>
  <si>
    <t>抵</t>
  </si>
  <si>
    <t>第</t>
  </si>
  <si>
    <t>ĐỆ</t>
  </si>
  <si>
    <t>逓</t>
  </si>
  <si>
    <t>弟</t>
  </si>
  <si>
    <t>おとうと</t>
  </si>
  <si>
    <t>俤</t>
  </si>
  <si>
    <t>(đệ)</t>
  </si>
  <si>
    <t>おもかげ</t>
  </si>
  <si>
    <t>癲</t>
  </si>
  <si>
    <t>ĐIÊN</t>
  </si>
  <si>
    <t>巓</t>
  </si>
  <si>
    <t>彫</t>
  </si>
  <si>
    <t>ĐIÊU</t>
  </si>
  <si>
    <t>チョウ</t>
  </si>
  <si>
    <t>ほ・る</t>
  </si>
  <si>
    <t>鯛</t>
  </si>
  <si>
    <t>たい</t>
  </si>
  <si>
    <t>蜩</t>
  </si>
  <si>
    <t>せみ</t>
  </si>
  <si>
    <t>佻</t>
  </si>
  <si>
    <t>ジョウ/ チョウ</t>
  </si>
  <si>
    <t>凋</t>
  </si>
  <si>
    <t>しぼ・む</t>
  </si>
  <si>
    <t>店</t>
  </si>
  <si>
    <t>ĐIẾM</t>
  </si>
  <si>
    <t>みせ</t>
  </si>
  <si>
    <t>癜</t>
  </si>
  <si>
    <t>ĐIẾN</t>
  </si>
  <si>
    <t>デン/ テン</t>
  </si>
  <si>
    <t>釣</t>
  </si>
  <si>
    <t>ĐIẾU</t>
  </si>
  <si>
    <t>つり</t>
  </si>
  <si>
    <t>吊</t>
  </si>
  <si>
    <t>つる・す</t>
  </si>
  <si>
    <t>弔</t>
  </si>
  <si>
    <t>ĐIẾU/ĐÍCH</t>
  </si>
  <si>
    <t>とむら・う</t>
  </si>
  <si>
    <t>恬</t>
  </si>
  <si>
    <t>ĐIỀM</t>
  </si>
  <si>
    <t>ĐIỀN</t>
  </si>
  <si>
    <t>デン</t>
  </si>
  <si>
    <t>た</t>
  </si>
  <si>
    <t>鈿</t>
  </si>
  <si>
    <t>テン/ デン</t>
  </si>
  <si>
    <t>佃</t>
  </si>
  <si>
    <t>填</t>
  </si>
  <si>
    <t>調</t>
  </si>
  <si>
    <t>ĐIỀU</t>
  </si>
  <si>
    <t>しら・べる、ととの・える</t>
  </si>
  <si>
    <t>条</t>
  </si>
  <si>
    <t>蔦</t>
  </si>
  <si>
    <t>つた</t>
  </si>
  <si>
    <t>齠</t>
  </si>
  <si>
    <t>條</t>
  </si>
  <si>
    <t>点</t>
  </si>
  <si>
    <t>ĐIỂM</t>
  </si>
  <si>
    <t>點</t>
  </si>
  <si>
    <t>典</t>
  </si>
  <si>
    <t>ĐIỂN</t>
  </si>
  <si>
    <t>ĐIỂU</t>
  </si>
  <si>
    <t>殄</t>
  </si>
  <si>
    <t>ĐIỄN</t>
  </si>
  <si>
    <t>殿</t>
  </si>
  <si>
    <t>ĐIỆN</t>
  </si>
  <si>
    <t>との、どの、しんがり</t>
  </si>
  <si>
    <t>電</t>
  </si>
  <si>
    <t>奠</t>
  </si>
  <si>
    <t>畳</t>
  </si>
  <si>
    <t>ĐIỆP</t>
  </si>
  <si>
    <t>たたみ、たた・む</t>
  </si>
  <si>
    <t>諜</t>
  </si>
  <si>
    <t>蝶</t>
  </si>
  <si>
    <t>喋</t>
  </si>
  <si>
    <t>しゃべ・る</t>
  </si>
  <si>
    <t>迭</t>
  </si>
  <si>
    <t>ĐIỆT</t>
  </si>
  <si>
    <t>蛭</t>
  </si>
  <si>
    <t>シツ/ シチ/ テツ/ チツ</t>
  </si>
  <si>
    <t>ひる</t>
  </si>
  <si>
    <t>姪</t>
  </si>
  <si>
    <t>めい</t>
  </si>
  <si>
    <t>悼</t>
  </si>
  <si>
    <t>ĐIỆU</t>
  </si>
  <si>
    <t>いた・む</t>
  </si>
  <si>
    <t>掉</t>
  </si>
  <si>
    <t>ĐIỆU/TRẠO</t>
  </si>
  <si>
    <t>チョウ/ トウ</t>
  </si>
  <si>
    <t>町</t>
  </si>
  <si>
    <t>ĐINH</t>
  </si>
  <si>
    <t>チョウ/ テイ</t>
  </si>
  <si>
    <t>まち</t>
  </si>
  <si>
    <t>丁</t>
  </si>
  <si>
    <t>ひのと</t>
  </si>
  <si>
    <t>釘</t>
  </si>
  <si>
    <t>くぎ</t>
  </si>
  <si>
    <t>疔</t>
  </si>
  <si>
    <t>汀</t>
  </si>
  <si>
    <t>みぎわ、なぎさ</t>
  </si>
  <si>
    <t>叮</t>
  </si>
  <si>
    <t>的</t>
  </si>
  <si>
    <t>ĐÍCH</t>
  </si>
  <si>
    <t>まと</t>
  </si>
  <si>
    <t>嫡</t>
  </si>
  <si>
    <t>チャク</t>
  </si>
  <si>
    <t>訂</t>
  </si>
  <si>
    <t>ĐÍNH</t>
  </si>
  <si>
    <t>艇</t>
  </si>
  <si>
    <t>ĐÌNH</t>
  </si>
  <si>
    <t>亭</t>
  </si>
  <si>
    <t>停</t>
  </si>
  <si>
    <t>庭</t>
  </si>
  <si>
    <t>テイ/ ジョウ</t>
  </si>
  <si>
    <t>にわ</t>
  </si>
  <si>
    <t>廷</t>
  </si>
  <si>
    <t>鼎</t>
  </si>
  <si>
    <t>ĐỈNH</t>
  </si>
  <si>
    <t>かなえ</t>
  </si>
  <si>
    <t>頂</t>
  </si>
  <si>
    <t>ĐỈNH/ĐINH</t>
  </si>
  <si>
    <t>いただき、いただ・く</t>
  </si>
  <si>
    <t>錠</t>
  </si>
  <si>
    <r>
      <t>Đ</t>
    </r>
    <r>
      <rPr>
        <sz val="11"/>
        <rFont val="ＭＳ Ｐゴシック"/>
        <family val="3"/>
        <charset val="128"/>
      </rPr>
      <t>Ĩ</t>
    </r>
    <r>
      <rPr>
        <sz val="11"/>
        <rFont val="Arial"/>
        <family val="2"/>
      </rPr>
      <t>NH</t>
    </r>
  </si>
  <si>
    <t>ジョウ/ テイ</t>
  </si>
  <si>
    <t>挺</t>
  </si>
  <si>
    <t>テイ/ チョウ</t>
  </si>
  <si>
    <t>梃</t>
  </si>
  <si>
    <t>てこ</t>
  </si>
  <si>
    <t>地</t>
  </si>
  <si>
    <t>ĐỊA</t>
  </si>
  <si>
    <t>チ/ ジ</t>
  </si>
  <si>
    <t>笛</t>
  </si>
  <si>
    <t>ĐỊCH</t>
  </si>
  <si>
    <t>ふえ</t>
  </si>
  <si>
    <t>敵</t>
  </si>
  <si>
    <t>かたき</t>
  </si>
  <si>
    <t>迪</t>
  </si>
  <si>
    <t>廸</t>
  </si>
  <si>
    <t>定</t>
  </si>
  <si>
    <t>ĐỊNH</t>
  </si>
  <si>
    <t>さだ・める</t>
  </si>
  <si>
    <t>掟</t>
  </si>
  <si>
    <t>おきて</t>
  </si>
  <si>
    <t>端</t>
  </si>
  <si>
    <t>ĐOAN</t>
  </si>
  <si>
    <t>は、はし、はた</t>
  </si>
  <si>
    <t>兌</t>
  </si>
  <si>
    <t>ĐOÀI/ĐOÁI</t>
  </si>
  <si>
    <t>団</t>
  </si>
  <si>
    <t>ĐOÀN</t>
  </si>
  <si>
    <t>摶</t>
  </si>
  <si>
    <t>團</t>
  </si>
  <si>
    <t>鍛</t>
  </si>
  <si>
    <t>ĐOÀN/ĐOÁN</t>
  </si>
  <si>
    <t>きた・える</t>
  </si>
  <si>
    <t>短</t>
  </si>
  <si>
    <t>ĐOẢN</t>
  </si>
  <si>
    <t>みじか・い</t>
  </si>
  <si>
    <t>段</t>
  </si>
  <si>
    <t>ĐOẠN</t>
  </si>
  <si>
    <t>断</t>
  </si>
  <si>
    <t>ĐOẠN/ĐOÁN</t>
  </si>
  <si>
    <t>ことわ・る、た・つ</t>
  </si>
  <si>
    <t>斷</t>
  </si>
  <si>
    <t>奪</t>
  </si>
  <si>
    <t>ĐOẠT</t>
  </si>
  <si>
    <t>ダツ</t>
  </si>
  <si>
    <t>うば・う</t>
  </si>
  <si>
    <t>朶</t>
  </si>
  <si>
    <t>ĐÓA</t>
  </si>
  <si>
    <t>躱</t>
  </si>
  <si>
    <t>かわ・す</t>
  </si>
  <si>
    <t>堕</t>
  </si>
  <si>
    <t>ĐỌA</t>
  </si>
  <si>
    <t>墮</t>
  </si>
  <si>
    <t>惰</t>
  </si>
  <si>
    <t>ĐỌA/NỌA</t>
  </si>
  <si>
    <t>おこた・る</t>
  </si>
  <si>
    <t>都</t>
  </si>
  <si>
    <t>ĐÔ</t>
  </si>
  <si>
    <t>ト/ ツ</t>
  </si>
  <si>
    <t>みやこ</t>
  </si>
  <si>
    <t>堆</t>
  </si>
  <si>
    <t>ĐÔI</t>
  </si>
  <si>
    <t>タイ/ ツイ</t>
  </si>
  <si>
    <t>惇</t>
  </si>
  <si>
    <t>ĐÔN</t>
  </si>
  <si>
    <t>トン/ ジュン</t>
  </si>
  <si>
    <t>敦</t>
  </si>
  <si>
    <t>トン</t>
  </si>
  <si>
    <t>暾</t>
  </si>
  <si>
    <t>東</t>
  </si>
  <si>
    <t>ĐÔNG</t>
  </si>
  <si>
    <t>トウ/ ツ</t>
  </si>
  <si>
    <t>ひがし</t>
  </si>
  <si>
    <t>凍</t>
  </si>
  <si>
    <t>こお・る、こご・える</t>
  </si>
  <si>
    <t>冬</t>
  </si>
  <si>
    <t>ふゆ</t>
  </si>
  <si>
    <t>柊</t>
  </si>
  <si>
    <t>ひいらぎ</t>
  </si>
  <si>
    <t>疼</t>
  </si>
  <si>
    <t>うず・く</t>
  </si>
  <si>
    <t>鼕</t>
  </si>
  <si>
    <t>妬</t>
  </si>
  <si>
    <t>ĐỐ</t>
  </si>
  <si>
    <t>ト</t>
  </si>
  <si>
    <t>ねた・む</t>
  </si>
  <si>
    <t>蠧</t>
  </si>
  <si>
    <t>督</t>
  </si>
  <si>
    <t>ĐỐC</t>
  </si>
  <si>
    <t>篤</t>
  </si>
  <si>
    <t>あつ・い</t>
  </si>
  <si>
    <t>対</t>
  </si>
  <si>
    <t>ĐỐI</t>
  </si>
  <si>
    <t>對</t>
  </si>
  <si>
    <t>頓</t>
  </si>
  <si>
    <t>ĐỐN</t>
  </si>
  <si>
    <t>とみ・に</t>
  </si>
  <si>
    <t>噸</t>
  </si>
  <si>
    <t>棟</t>
  </si>
  <si>
    <t>ĐỐNG</t>
  </si>
  <si>
    <t>柮</t>
  </si>
  <si>
    <t>ĐỐT</t>
  </si>
  <si>
    <t>トツ</t>
  </si>
  <si>
    <t>咄</t>
  </si>
  <si>
    <t>途</t>
  </si>
  <si>
    <t>ĐỒ</t>
  </si>
  <si>
    <t>ト/ ズ</t>
  </si>
  <si>
    <t>図</t>
  </si>
  <si>
    <t>はか・る</t>
  </si>
  <si>
    <t>塗</t>
  </si>
  <si>
    <t>ぬ・る、まみ・れる</t>
  </si>
  <si>
    <t>徒</t>
  </si>
  <si>
    <t>かち</t>
  </si>
  <si>
    <t>屠</t>
  </si>
  <si>
    <t>ほふ・る</t>
  </si>
  <si>
    <t>圖</t>
  </si>
  <si>
    <t>噂</t>
  </si>
  <si>
    <t>ĐỒN</t>
  </si>
  <si>
    <t>ソン</t>
  </si>
  <si>
    <t>うわさ</t>
  </si>
  <si>
    <t>飩</t>
  </si>
  <si>
    <t>トン/ ドン</t>
  </si>
  <si>
    <t>豚</t>
  </si>
  <si>
    <t>ĐỒN/ĐỘN</t>
  </si>
  <si>
    <t>豕</t>
  </si>
  <si>
    <t>ぶた</t>
  </si>
  <si>
    <t>屯</t>
  </si>
  <si>
    <t>ĐỒN/TRUÂN</t>
  </si>
  <si>
    <t>屮</t>
  </si>
  <si>
    <t>トン/ チュン</t>
  </si>
  <si>
    <t>たむろ</t>
  </si>
  <si>
    <t>童</t>
  </si>
  <si>
    <t>ĐỒNG</t>
  </si>
  <si>
    <t>わらべ</t>
  </si>
  <si>
    <t>筒</t>
  </si>
  <si>
    <t>つつ</t>
  </si>
  <si>
    <t>銅</t>
  </si>
  <si>
    <t>あかがね</t>
  </si>
  <si>
    <t>同</t>
  </si>
  <si>
    <t>おな・じ</t>
  </si>
  <si>
    <t>畠</t>
  </si>
  <si>
    <t>(đồng)</t>
  </si>
  <si>
    <t>はた、はたけ</t>
  </si>
  <si>
    <t>桐</t>
  </si>
  <si>
    <t>きり</t>
  </si>
  <si>
    <t>瞳</t>
  </si>
  <si>
    <t>ひとみ</t>
  </si>
  <si>
    <t>僮</t>
  </si>
  <si>
    <t>賭</t>
  </si>
  <si>
    <t>ĐỔ</t>
  </si>
  <si>
    <t>か・ける</t>
  </si>
  <si>
    <t>堵</t>
  </si>
  <si>
    <t>杜</t>
  </si>
  <si>
    <t>ĐỖ</t>
  </si>
  <si>
    <t>ト/ ド/ ズ</t>
  </si>
  <si>
    <t>もり</t>
  </si>
  <si>
    <t>胴</t>
  </si>
  <si>
    <t>ĐỖNG</t>
  </si>
  <si>
    <t>渡</t>
  </si>
  <si>
    <t>ĐỘ</t>
  </si>
  <si>
    <t>わた・る</t>
  </si>
  <si>
    <t>度</t>
  </si>
  <si>
    <t>ド/ タク</t>
  </si>
  <si>
    <t>たび</t>
  </si>
  <si>
    <t>毒</t>
  </si>
  <si>
    <t>ĐỘC</t>
  </si>
  <si>
    <t>ドク</t>
  </si>
  <si>
    <t>独</t>
  </si>
  <si>
    <t>ドク/ トク</t>
  </si>
  <si>
    <t>ひと・り</t>
  </si>
  <si>
    <t>読</t>
  </si>
  <si>
    <t>よ・む</t>
  </si>
  <si>
    <t>黷</t>
  </si>
  <si>
    <t>隊</t>
  </si>
  <si>
    <t>ĐỘI</t>
  </si>
  <si>
    <t>鈍</t>
  </si>
  <si>
    <t>ĐỘN</t>
  </si>
  <si>
    <t>ドン/ トン</t>
  </si>
  <si>
    <t>にぶ・い</t>
  </si>
  <si>
    <t>遁</t>
  </si>
  <si>
    <t>のが・れる</t>
  </si>
  <si>
    <t>沌</t>
  </si>
  <si>
    <t>洞</t>
  </si>
  <si>
    <t>ĐỘNG</t>
  </si>
  <si>
    <t>ほら</t>
  </si>
  <si>
    <t>働</t>
  </si>
  <si>
    <t>はたら・く</t>
  </si>
  <si>
    <t>動</t>
  </si>
  <si>
    <t>うご・く</t>
  </si>
  <si>
    <t>恫</t>
  </si>
  <si>
    <t>慟</t>
  </si>
  <si>
    <t>ズウ/ トウ/ ドウ</t>
  </si>
  <si>
    <t>突</t>
  </si>
  <si>
    <t>ĐỘT</t>
  </si>
  <si>
    <t>凸</t>
  </si>
  <si>
    <t>でこ</t>
  </si>
  <si>
    <t>単</t>
  </si>
  <si>
    <t>ĐƠN</t>
  </si>
  <si>
    <t>ひと・つ、ひとえ</t>
  </si>
  <si>
    <t>帯</t>
  </si>
  <si>
    <t>ĐỚI/ĐÁI</t>
  </si>
  <si>
    <t>おび、お・びる</t>
  </si>
  <si>
    <t>帶</t>
  </si>
  <si>
    <t>当</t>
  </si>
  <si>
    <t>ĐƯƠNG</t>
  </si>
  <si>
    <t>小</t>
  </si>
  <si>
    <t>あ・たる</t>
  </si>
  <si>
    <t>档</t>
  </si>
  <si>
    <t>當</t>
  </si>
  <si>
    <t>糖</t>
  </si>
  <si>
    <t>ĐƯỜNG</t>
  </si>
  <si>
    <t>堂</t>
  </si>
  <si>
    <t>唐</t>
  </si>
  <si>
    <t>から</t>
  </si>
  <si>
    <t>棠</t>
  </si>
  <si>
    <t>螳</t>
  </si>
  <si>
    <t>蟷</t>
  </si>
  <si>
    <t>塘</t>
  </si>
  <si>
    <t>徳</t>
  </si>
  <si>
    <t>ĐỨC</t>
  </si>
  <si>
    <t>殪</t>
  </si>
  <si>
    <t>Ế</t>
  </si>
  <si>
    <t>噎</t>
  </si>
  <si>
    <t>イツ/ エツ</t>
  </si>
  <si>
    <t>むせ・ぶ</t>
  </si>
  <si>
    <t>翳</t>
  </si>
  <si>
    <t>かげ、かげ・り、かざ・す</t>
  </si>
  <si>
    <t>籾</t>
  </si>
  <si>
    <t>(gạo)</t>
  </si>
  <si>
    <t>もみ</t>
  </si>
  <si>
    <t>加</t>
  </si>
  <si>
    <t>GIA</t>
  </si>
  <si>
    <t>家</t>
  </si>
  <si>
    <t>カ/ ケ/ ク/ コ</t>
  </si>
  <si>
    <t>いえ、や</t>
  </si>
  <si>
    <t>耶</t>
  </si>
  <si>
    <t>嘉</t>
  </si>
  <si>
    <t>士</t>
  </si>
  <si>
    <t>（名前）よし、よしみ</t>
  </si>
  <si>
    <t>揶</t>
  </si>
  <si>
    <t>椰</t>
  </si>
  <si>
    <t>爺</t>
  </si>
  <si>
    <t>父</t>
  </si>
  <si>
    <t>じじ</t>
  </si>
  <si>
    <t>皆</t>
  </si>
  <si>
    <t>GIAI</t>
  </si>
  <si>
    <t>みな</t>
  </si>
  <si>
    <t>階</t>
  </si>
  <si>
    <t>きざはし</t>
  </si>
  <si>
    <t>佳</t>
  </si>
  <si>
    <t>カ/ カイ</t>
  </si>
  <si>
    <t>偕</t>
  </si>
  <si>
    <t>諧</t>
  </si>
  <si>
    <t>楷</t>
  </si>
  <si>
    <t>GIAI/KHAI</t>
  </si>
  <si>
    <t>間</t>
  </si>
  <si>
    <t>GIAN</t>
  </si>
  <si>
    <t>あいだ、ま</t>
  </si>
  <si>
    <t>姦</t>
  </si>
  <si>
    <t>かし・ましい</t>
  </si>
  <si>
    <t>奸</t>
  </si>
  <si>
    <t>墹</t>
  </si>
  <si>
    <t>江</t>
  </si>
  <si>
    <t>GIANG</t>
  </si>
  <si>
    <t>え</t>
  </si>
  <si>
    <t>肛</t>
  </si>
  <si>
    <t>扛</t>
  </si>
  <si>
    <t>杠</t>
  </si>
  <si>
    <t>交</t>
  </si>
  <si>
    <t>GIAO</t>
  </si>
  <si>
    <t>まじ・わる</t>
  </si>
  <si>
    <t>郊</t>
  </si>
  <si>
    <t>鮫</t>
  </si>
  <si>
    <t>さめ</t>
  </si>
  <si>
    <t>攪</t>
  </si>
  <si>
    <t>カク/ コウ</t>
  </si>
  <si>
    <t>蛟</t>
  </si>
  <si>
    <t>稼</t>
  </si>
  <si>
    <t>GIÁ</t>
  </si>
  <si>
    <t>かせ・ぐ</t>
  </si>
  <si>
    <t>価</t>
  </si>
  <si>
    <t>あたい</t>
  </si>
  <si>
    <t>嫁</t>
  </si>
  <si>
    <t>よめ、とつ・ぐ</t>
  </si>
  <si>
    <t>架</t>
  </si>
  <si>
    <t>か・かる</t>
  </si>
  <si>
    <t>柘</t>
  </si>
  <si>
    <t>シャク/ シャ</t>
  </si>
  <si>
    <t>つげ</t>
  </si>
  <si>
    <t>駕</t>
  </si>
  <si>
    <t>カ/ ガ</t>
  </si>
  <si>
    <t>价</t>
  </si>
  <si>
    <t>價</t>
  </si>
  <si>
    <t>這</t>
  </si>
  <si>
    <t>GIÁ/NGHIỆN</t>
  </si>
  <si>
    <t>ゲン/ シャ</t>
  </si>
  <si>
    <t>は・う</t>
  </si>
  <si>
    <t>覚</t>
  </si>
  <si>
    <t>GIÁC</t>
  </si>
  <si>
    <t>見</t>
  </si>
  <si>
    <t>おぼ・える、さめ・る</t>
  </si>
  <si>
    <t>角</t>
  </si>
  <si>
    <t>かど、すみ、つの</t>
  </si>
  <si>
    <t>撹</t>
  </si>
  <si>
    <t>桷</t>
  </si>
  <si>
    <t>埆</t>
  </si>
  <si>
    <t>較</t>
  </si>
  <si>
    <t>GIÁC/HIỆU</t>
  </si>
  <si>
    <t>くら・べる</t>
  </si>
  <si>
    <t>監</t>
  </si>
  <si>
    <t>GIÁM</t>
  </si>
  <si>
    <t>鑑</t>
  </si>
  <si>
    <t>かんが・みる、かがみ</t>
  </si>
  <si>
    <t>降</t>
  </si>
  <si>
    <t>GIÁNG/HÀNG</t>
  </si>
  <si>
    <t>お・りる、ふ・る</t>
  </si>
  <si>
    <t>教</t>
  </si>
  <si>
    <t>GIÁO</t>
  </si>
  <si>
    <t>おし・える</t>
  </si>
  <si>
    <t>甲</t>
  </si>
  <si>
    <t>GIÁP</t>
  </si>
  <si>
    <t>きのえ</t>
  </si>
  <si>
    <t>岬</t>
  </si>
  <si>
    <t>みさき</t>
  </si>
  <si>
    <t>頬</t>
  </si>
  <si>
    <t>ほお</t>
  </si>
  <si>
    <t>夾</t>
  </si>
  <si>
    <t>呷</t>
  </si>
  <si>
    <t>あお・る</t>
  </si>
  <si>
    <t>遮</t>
  </si>
  <si>
    <t>GIÀ</t>
  </si>
  <si>
    <t>さえぎ・る</t>
  </si>
  <si>
    <t>枷</t>
  </si>
  <si>
    <t>かせ</t>
  </si>
  <si>
    <t>痂</t>
  </si>
  <si>
    <t>カ/ ケ</t>
  </si>
  <si>
    <t>伽</t>
  </si>
  <si>
    <t>GIÀ/GIA</t>
  </si>
  <si>
    <t>とぎ</t>
  </si>
  <si>
    <t>者</t>
  </si>
  <si>
    <t>GIẢ</t>
  </si>
  <si>
    <t>老</t>
  </si>
  <si>
    <t>もの</t>
  </si>
  <si>
    <t>仮</t>
  </si>
  <si>
    <t>かり</t>
  </si>
  <si>
    <t>假</t>
  </si>
  <si>
    <t>GIẢ/GIÁ</t>
  </si>
  <si>
    <t>解</t>
  </si>
  <si>
    <t>GIẢI</t>
  </si>
  <si>
    <t>カイ/ ゲ</t>
  </si>
  <si>
    <t>わか・る、と・く</t>
  </si>
  <si>
    <t>蟹</t>
  </si>
  <si>
    <t>かに</t>
  </si>
  <si>
    <t>懈</t>
  </si>
  <si>
    <t>蠏</t>
  </si>
  <si>
    <t>廨</t>
  </si>
  <si>
    <t>減</t>
  </si>
  <si>
    <t>GIẢM</t>
  </si>
  <si>
    <t>へ・る</t>
  </si>
  <si>
    <t>啖</t>
  </si>
  <si>
    <t>GIẢM/GIÃM</t>
  </si>
  <si>
    <t>簡</t>
  </si>
  <si>
    <t>GIẢN</t>
  </si>
  <si>
    <t>揀</t>
  </si>
  <si>
    <t>柬</t>
  </si>
  <si>
    <t>講</t>
  </si>
  <si>
    <t>GIẢNG</t>
  </si>
  <si>
    <t>絞</t>
  </si>
  <si>
    <t>GIẢO</t>
  </si>
  <si>
    <t>しぼ・る、し・める</t>
  </si>
  <si>
    <t>噛</t>
  </si>
  <si>
    <t>ゴ</t>
  </si>
  <si>
    <t>か・む</t>
  </si>
  <si>
    <t>咬</t>
  </si>
  <si>
    <t>酵</t>
  </si>
  <si>
    <t>GIẾU/DIẾU</t>
  </si>
  <si>
    <t>界</t>
  </si>
  <si>
    <t>GIỚI</t>
  </si>
  <si>
    <t>介</t>
  </si>
  <si>
    <t>届</t>
  </si>
  <si>
    <t>とど・ける</t>
  </si>
  <si>
    <t>戒</t>
  </si>
  <si>
    <t>いまし・める</t>
  </si>
  <si>
    <t>械</t>
  </si>
  <si>
    <t>疥</t>
  </si>
  <si>
    <t>芥</t>
  </si>
  <si>
    <t>あくた、ごみ</t>
  </si>
  <si>
    <t>堺</t>
  </si>
  <si>
    <t>呵</t>
  </si>
  <si>
    <t>HA/KHA</t>
  </si>
  <si>
    <t>蚶</t>
  </si>
  <si>
    <t>HAM</t>
  </si>
  <si>
    <t>亨</t>
  </si>
  <si>
    <t>HANH/HƯỞNG</t>
  </si>
  <si>
    <t>コウ/ キョウ/ ホウ</t>
  </si>
  <si>
    <t>耗</t>
  </si>
  <si>
    <t>HAO/HÁO</t>
  </si>
  <si>
    <t>コウ/ モウ</t>
  </si>
  <si>
    <t>罅</t>
  </si>
  <si>
    <t>HÁ</t>
  </si>
  <si>
    <t>ひび</t>
  </si>
  <si>
    <t>壑</t>
  </si>
  <si>
    <t>HÁC</t>
  </si>
  <si>
    <t>ガク/ カク</t>
  </si>
  <si>
    <t>嚇</t>
  </si>
  <si>
    <t>HÁCH</t>
  </si>
  <si>
    <t>おど・す</t>
  </si>
  <si>
    <t>憾</t>
  </si>
  <si>
    <t>HÁM</t>
  </si>
  <si>
    <t>漢</t>
  </si>
  <si>
    <t>HÁN</t>
  </si>
  <si>
    <t>喝</t>
  </si>
  <si>
    <t>HÁT</t>
  </si>
  <si>
    <t>河</t>
  </si>
  <si>
    <t>HÀ</t>
  </si>
  <si>
    <t>荷</t>
  </si>
  <si>
    <t>何</t>
  </si>
  <si>
    <t>なに、なん</t>
  </si>
  <si>
    <t>瑕</t>
  </si>
  <si>
    <t>霞</t>
  </si>
  <si>
    <t>かすみ</t>
  </si>
  <si>
    <t>苛</t>
  </si>
  <si>
    <t>蝦</t>
  </si>
  <si>
    <t>えび</t>
  </si>
  <si>
    <t>骸</t>
  </si>
  <si>
    <t>HÀI</t>
  </si>
  <si>
    <t>むくろ</t>
  </si>
  <si>
    <t>孩</t>
  </si>
  <si>
    <t>含</t>
  </si>
  <si>
    <t>HÀM</t>
  </si>
  <si>
    <t>ガン/ カン</t>
  </si>
  <si>
    <t>ふく・む</t>
  </si>
  <si>
    <t>函</t>
  </si>
  <si>
    <t>はこ</t>
  </si>
  <si>
    <t>銜</t>
  </si>
  <si>
    <t>凾</t>
  </si>
  <si>
    <t>咸</t>
  </si>
  <si>
    <t>啣</t>
  </si>
  <si>
    <t>寒</t>
  </si>
  <si>
    <t>HÀN</t>
  </si>
  <si>
    <t>さむ・い</t>
  </si>
  <si>
    <t>韓</t>
  </si>
  <si>
    <t>韋</t>
  </si>
  <si>
    <t>翰</t>
  </si>
  <si>
    <t>航</t>
  </si>
  <si>
    <t>HÀNG</t>
  </si>
  <si>
    <t>杭</t>
  </si>
  <si>
    <t>茎</t>
  </si>
  <si>
    <t>HÀNH</t>
  </si>
  <si>
    <t>くき</t>
  </si>
  <si>
    <t>ギョウ/ コウ</t>
  </si>
  <si>
    <t>い・く、ゆ・く、おこな・う</t>
  </si>
  <si>
    <t>桁</t>
  </si>
  <si>
    <t>HÀNH/HÀNG</t>
  </si>
  <si>
    <t>けた</t>
  </si>
  <si>
    <t>衡</t>
  </si>
  <si>
    <t>HÀNH/HOÀNG</t>
  </si>
  <si>
    <t>豪</t>
  </si>
  <si>
    <t>HÀO</t>
  </si>
  <si>
    <t>壕</t>
  </si>
  <si>
    <t>ほり</t>
  </si>
  <si>
    <t>濠</t>
  </si>
  <si>
    <t>淆</t>
  </si>
  <si>
    <t>肴</t>
  </si>
  <si>
    <t>さかな</t>
  </si>
  <si>
    <t>毫</t>
  </si>
  <si>
    <t>ゴウ/ コウ</t>
  </si>
  <si>
    <t>海</t>
  </si>
  <si>
    <t>HẢI</t>
  </si>
  <si>
    <t>うみ</t>
  </si>
  <si>
    <t>喊</t>
  </si>
  <si>
    <t>HẢM</t>
  </si>
  <si>
    <t>好</t>
  </si>
  <si>
    <t>HẢO</t>
  </si>
  <si>
    <t>この・む、す・く</t>
  </si>
  <si>
    <t>陥</t>
  </si>
  <si>
    <t>HÃM</t>
  </si>
  <si>
    <t>おちい・る、おとしい・れる</t>
  </si>
  <si>
    <t>餡</t>
  </si>
  <si>
    <t>あん</t>
  </si>
  <si>
    <t>汗</t>
  </si>
  <si>
    <t>HÃN</t>
  </si>
  <si>
    <t>あせ</t>
  </si>
  <si>
    <t>悍</t>
  </si>
  <si>
    <t>罕</t>
  </si>
  <si>
    <t>鼾</t>
  </si>
  <si>
    <t>HÃN/HAN</t>
  </si>
  <si>
    <t>鼻</t>
  </si>
  <si>
    <t>いびき</t>
  </si>
  <si>
    <t>賀</t>
  </si>
  <si>
    <t>HẠ</t>
  </si>
  <si>
    <t>夏</t>
  </si>
  <si>
    <t>カ/ ゲ</t>
  </si>
  <si>
    <t>なつ</t>
  </si>
  <si>
    <t>下</t>
  </si>
  <si>
    <t>した、さ・げる、くだ・る、もと</t>
  </si>
  <si>
    <t>暇</t>
  </si>
  <si>
    <t>ひま</t>
  </si>
  <si>
    <t>厦</t>
  </si>
  <si>
    <t>嗄</t>
  </si>
  <si>
    <t>サ</t>
  </si>
  <si>
    <t>しゃが・れる、しわが・れる</t>
  </si>
  <si>
    <t>廈</t>
  </si>
  <si>
    <t>鶴</t>
  </si>
  <si>
    <t>HẠC</t>
  </si>
  <si>
    <t>つる</t>
  </si>
  <si>
    <t>寉</t>
  </si>
  <si>
    <t>カク/ ガク</t>
  </si>
  <si>
    <t>核</t>
  </si>
  <si>
    <t>HẠCH</t>
  </si>
  <si>
    <t>害</t>
  </si>
  <si>
    <t>HẠI</t>
  </si>
  <si>
    <t>ガイ/ カツ</t>
  </si>
  <si>
    <t>そこな・う</t>
  </si>
  <si>
    <t>艦</t>
  </si>
  <si>
    <t>HẠM</t>
  </si>
  <si>
    <t>頷</t>
  </si>
  <si>
    <t>うなず・く、おとがい</t>
  </si>
  <si>
    <t>檻</t>
  </si>
  <si>
    <t>おり</t>
  </si>
  <si>
    <t>限</t>
  </si>
  <si>
    <t>HẠN</t>
  </si>
  <si>
    <t>ゲン/ カン</t>
  </si>
  <si>
    <t>かぎ・る</t>
  </si>
  <si>
    <t>旱</t>
  </si>
  <si>
    <t>ひでり</t>
  </si>
  <si>
    <t>項</t>
  </si>
  <si>
    <t>HẠNG</t>
  </si>
  <si>
    <t>うなじ</t>
  </si>
  <si>
    <t>巷</t>
  </si>
  <si>
    <t>ちまた</t>
  </si>
  <si>
    <t>幸</t>
  </si>
  <si>
    <t>HẠNH</t>
  </si>
  <si>
    <t>さいわ・い、しあわ・せ、さち</t>
  </si>
  <si>
    <t>杏</t>
  </si>
  <si>
    <t>アン/ キョウ</t>
  </si>
  <si>
    <t>あんず</t>
  </si>
  <si>
    <t>倖</t>
  </si>
  <si>
    <t>圉</t>
  </si>
  <si>
    <t>ギョ</t>
  </si>
  <si>
    <t>浩</t>
  </si>
  <si>
    <t>HẠO</t>
  </si>
  <si>
    <t>皓</t>
  </si>
  <si>
    <t>コウ/ ゴウ</t>
  </si>
  <si>
    <t>昊</t>
  </si>
  <si>
    <t>峡</t>
  </si>
  <si>
    <t>HẠP</t>
  </si>
  <si>
    <t>盒</t>
  </si>
  <si>
    <t>匣</t>
  </si>
  <si>
    <t>匚</t>
  </si>
  <si>
    <t>轄</t>
  </si>
  <si>
    <t>HẠT</t>
  </si>
  <si>
    <t>蠍</t>
  </si>
  <si>
    <t>カツ/ ケツ</t>
  </si>
  <si>
    <t>さそり</t>
  </si>
  <si>
    <t>蝎</t>
  </si>
  <si>
    <t>曷</t>
  </si>
  <si>
    <t>褐</t>
  </si>
  <si>
    <t>HẠT/CÁT</t>
  </si>
  <si>
    <t>欣</t>
  </si>
  <si>
    <t>HÂN</t>
  </si>
  <si>
    <t>忻</t>
  </si>
  <si>
    <t>吸</t>
  </si>
  <si>
    <t>HẤP</t>
  </si>
  <si>
    <t>す・う</t>
  </si>
  <si>
    <t>翕</t>
  </si>
  <si>
    <t>歙</t>
  </si>
  <si>
    <t>HẤP/THIỆP</t>
  </si>
  <si>
    <t>迄</t>
  </si>
  <si>
    <t>HẤT</t>
  </si>
  <si>
    <t>まで</t>
  </si>
  <si>
    <t>侯</t>
  </si>
  <si>
    <t>HẦU</t>
  </si>
  <si>
    <t>喉</t>
  </si>
  <si>
    <t>のど</t>
  </si>
  <si>
    <t>很</t>
  </si>
  <si>
    <t>HẨN</t>
  </si>
  <si>
    <t>コン/ ゴン</t>
  </si>
  <si>
    <t>HẪU/PHỮU</t>
  </si>
  <si>
    <t>恨</t>
  </si>
  <si>
    <t>HẬN</t>
  </si>
  <si>
    <t>うら・む</t>
  </si>
  <si>
    <t>候</t>
  </si>
  <si>
    <t>HẬU</t>
  </si>
  <si>
    <t>そうろう</t>
  </si>
  <si>
    <t>厚</t>
  </si>
  <si>
    <t>後</t>
  </si>
  <si>
    <t>ゴ・コウ</t>
  </si>
  <si>
    <t>のち、うしろ、あと、おく・れる</t>
  </si>
  <si>
    <t>后</t>
  </si>
  <si>
    <t>HẮC</t>
  </si>
  <si>
    <t>くろ</t>
  </si>
  <si>
    <t>恒</t>
  </si>
  <si>
    <t>HẰNG</t>
  </si>
  <si>
    <t>つね</t>
  </si>
  <si>
    <t>亙</t>
  </si>
  <si>
    <t>劾</t>
  </si>
  <si>
    <t>HẶC</t>
  </si>
  <si>
    <t>兮</t>
  </si>
  <si>
    <t>HỀ</t>
  </si>
  <si>
    <t>奚</t>
  </si>
  <si>
    <t>係</t>
  </si>
  <si>
    <t>HỆ</t>
  </si>
  <si>
    <t>かか・る、かかり</t>
  </si>
  <si>
    <t>系</t>
  </si>
  <si>
    <t>ケイ/ ゲ</t>
  </si>
  <si>
    <t>繋</t>
  </si>
  <si>
    <t>ケイ/ ケ</t>
  </si>
  <si>
    <t>つな・ぐ、かか・る</t>
  </si>
  <si>
    <t>匸</t>
  </si>
  <si>
    <t>犠</t>
  </si>
  <si>
    <t>HI</t>
  </si>
  <si>
    <t>ギ</t>
  </si>
  <si>
    <t>曦</t>
  </si>
  <si>
    <t>嬉</t>
  </si>
  <si>
    <t>うれ・しい</t>
  </si>
  <si>
    <t>軒</t>
  </si>
  <si>
    <t>HIÊN</t>
  </si>
  <si>
    <t>ケン</t>
  </si>
  <si>
    <t>のき</t>
  </si>
  <si>
    <t>掀</t>
  </si>
  <si>
    <t>キン/ ケン</t>
  </si>
  <si>
    <t>囂</t>
  </si>
  <si>
    <t>HIÊU</t>
  </si>
  <si>
    <t>献</t>
  </si>
  <si>
    <t>HIẾN</t>
  </si>
  <si>
    <t>ケン/ コン</t>
  </si>
  <si>
    <t>憲</t>
  </si>
  <si>
    <t>脅</t>
  </si>
  <si>
    <t>HIẾP</t>
  </si>
  <si>
    <t>おびや・かす、おど・す</t>
  </si>
  <si>
    <t>脇</t>
  </si>
  <si>
    <t>わき</t>
  </si>
  <si>
    <t>歇</t>
  </si>
  <si>
    <t>HIẾT</t>
  </si>
  <si>
    <t>ケツ</t>
  </si>
  <si>
    <t>孝</t>
  </si>
  <si>
    <t>HIẾU</t>
  </si>
  <si>
    <t>哮</t>
  </si>
  <si>
    <t>嫌</t>
  </si>
  <si>
    <t>HIỀM</t>
  </si>
  <si>
    <t>ケン/ ゲン</t>
  </si>
  <si>
    <t>いや、きら・う</t>
  </si>
  <si>
    <t>慊</t>
  </si>
  <si>
    <t>キョウ/ ケン/ コウ</t>
  </si>
  <si>
    <t>賢</t>
  </si>
  <si>
    <t>HIỀN</t>
  </si>
  <si>
    <t>かしこ・い</t>
  </si>
  <si>
    <t>険</t>
  </si>
  <si>
    <t>HIỂM</t>
  </si>
  <si>
    <t>けわ・しい</t>
  </si>
  <si>
    <t>嶮</t>
  </si>
  <si>
    <t>顕</t>
  </si>
  <si>
    <t>HIỂN</t>
  </si>
  <si>
    <t>暁</t>
  </si>
  <si>
    <t>HIỂU</t>
  </si>
  <si>
    <t>ギョウ</t>
  </si>
  <si>
    <t>あかつき</t>
  </si>
  <si>
    <t>曉</t>
  </si>
  <si>
    <t>ギョウ/ キョウ</t>
  </si>
  <si>
    <t>現</t>
  </si>
  <si>
    <t>HIỆN</t>
  </si>
  <si>
    <t>あらわ・す、あらわ・れる</t>
  </si>
  <si>
    <t>蜆</t>
  </si>
  <si>
    <t>しじみ</t>
  </si>
  <si>
    <t>狭</t>
  </si>
  <si>
    <t>HIỆP</t>
  </si>
  <si>
    <t>せま・い、せば・める</t>
  </si>
  <si>
    <t>協</t>
  </si>
  <si>
    <t>恊</t>
  </si>
  <si>
    <t>挾</t>
  </si>
  <si>
    <t>はさ・む</t>
  </si>
  <si>
    <t>侠</t>
  </si>
  <si>
    <t>峽</t>
  </si>
  <si>
    <t>洽</t>
  </si>
  <si>
    <t>HIỆP/HỢP</t>
  </si>
  <si>
    <t>ギョウ/ コウ/ ゴウ</t>
  </si>
  <si>
    <t>挟</t>
  </si>
  <si>
    <t>HIỆP/TIỆP</t>
  </si>
  <si>
    <t>黠</t>
  </si>
  <si>
    <t>HIỆT</t>
  </si>
  <si>
    <t>効</t>
  </si>
  <si>
    <t>HIỆU</t>
  </si>
  <si>
    <t>き・く</t>
  </si>
  <si>
    <t>号</t>
  </si>
  <si>
    <t>效</t>
  </si>
  <si>
    <t>佼</t>
  </si>
  <si>
    <t>傚</t>
  </si>
  <si>
    <t>校</t>
  </si>
  <si>
    <t>HIỆU/GIÁO</t>
  </si>
  <si>
    <t>馨</t>
  </si>
  <si>
    <t>HINH</t>
  </si>
  <si>
    <t>香</t>
  </si>
  <si>
    <t>かおる、かぐわ・しい</t>
  </si>
  <si>
    <t>戯</t>
  </si>
  <si>
    <t>HÍ</t>
  </si>
  <si>
    <t>ギ/ ゲ</t>
  </si>
  <si>
    <t>たわむ・れる、ざ・れる</t>
  </si>
  <si>
    <t>戲</t>
  </si>
  <si>
    <t>刑</t>
  </si>
  <si>
    <t>HÌNH</t>
  </si>
  <si>
    <t>ケイ/ キョウ</t>
  </si>
  <si>
    <t>型</t>
  </si>
  <si>
    <t>かた</t>
  </si>
  <si>
    <t>形</t>
  </si>
  <si>
    <t>ギョウ/ ケイ</t>
  </si>
  <si>
    <t>かた、かたち</t>
  </si>
  <si>
    <t>檄</t>
  </si>
  <si>
    <t>HỊCH</t>
  </si>
  <si>
    <t>ゲキ/ ケキ</t>
  </si>
  <si>
    <t>花</t>
  </si>
  <si>
    <t>HOA</t>
  </si>
  <si>
    <t>はな</t>
  </si>
  <si>
    <t>華</t>
  </si>
  <si>
    <t>崋</t>
  </si>
  <si>
    <t>樺</t>
  </si>
  <si>
    <t>かば</t>
  </si>
  <si>
    <t>嘩</t>
  </si>
  <si>
    <t>埖</t>
  </si>
  <si>
    <t>ごみ</t>
  </si>
  <si>
    <t>歓</t>
  </si>
  <si>
    <t>HOAN</t>
  </si>
  <si>
    <t>歡</t>
  </si>
  <si>
    <t>荒</t>
  </si>
  <si>
    <t>HOANG</t>
  </si>
  <si>
    <t>あ・れる</t>
  </si>
  <si>
    <t>喚</t>
  </si>
  <si>
    <t>HOÁN</t>
  </si>
  <si>
    <t>換</t>
  </si>
  <si>
    <t>か、える</t>
  </si>
  <si>
    <t>奐</t>
  </si>
  <si>
    <t>浣</t>
  </si>
  <si>
    <t>HOÁN/CÁN</t>
  </si>
  <si>
    <t>懐</t>
  </si>
  <si>
    <t>HOÀI</t>
  </si>
  <si>
    <t>カイ/ エ</t>
  </si>
  <si>
    <t>なつ・かしい、なつ・く、ふところ</t>
  </si>
  <si>
    <t>懷</t>
  </si>
  <si>
    <t>環</t>
  </si>
  <si>
    <t>HOÀN</t>
  </si>
  <si>
    <t>たまき、わ</t>
  </si>
  <si>
    <t>還</t>
  </si>
  <si>
    <t>完</t>
  </si>
  <si>
    <t>丸</t>
  </si>
  <si>
    <t>ガン</t>
  </si>
  <si>
    <t>まる、まる・い</t>
  </si>
  <si>
    <t>懽</t>
  </si>
  <si>
    <t>桓</t>
  </si>
  <si>
    <t>圜</t>
  </si>
  <si>
    <t>カン/ エン</t>
  </si>
  <si>
    <t>鬟</t>
  </si>
  <si>
    <t>髟</t>
  </si>
  <si>
    <t>寰</t>
  </si>
  <si>
    <t>莞</t>
  </si>
  <si>
    <t>HOÀN/HOẢN</t>
  </si>
  <si>
    <t>皇</t>
  </si>
  <si>
    <t>HOÀNG</t>
  </si>
  <si>
    <t>オウ/ コウ</t>
  </si>
  <si>
    <t>徨</t>
  </si>
  <si>
    <t>惶</t>
  </si>
  <si>
    <t>蝗</t>
  </si>
  <si>
    <t>いなご</t>
  </si>
  <si>
    <t>凰</t>
  </si>
  <si>
    <t>壙</t>
  </si>
  <si>
    <t>黄</t>
  </si>
  <si>
    <t>HOÀNG/HUỲNH</t>
  </si>
  <si>
    <t>コウ・オウ</t>
  </si>
  <si>
    <t>き</t>
  </si>
  <si>
    <t>横</t>
  </si>
  <si>
    <t>HOÀNH</t>
  </si>
  <si>
    <t>よこ</t>
  </si>
  <si>
    <t>紘</t>
  </si>
  <si>
    <t>宏</t>
  </si>
  <si>
    <t>慌</t>
  </si>
  <si>
    <t>HOẢNG</t>
  </si>
  <si>
    <t>あわ・てる、あわ・ただしい</t>
  </si>
  <si>
    <t>幌</t>
  </si>
  <si>
    <t>ほろ</t>
  </si>
  <si>
    <t>晃</t>
  </si>
  <si>
    <t>（名前）あきら、あき、てる</t>
  </si>
  <si>
    <t>恍</t>
  </si>
  <si>
    <t>晄</t>
  </si>
  <si>
    <t>緩</t>
  </si>
  <si>
    <t>HOÃN</t>
  </si>
  <si>
    <t>ゆる・い</t>
  </si>
  <si>
    <t>獲</t>
  </si>
  <si>
    <t>HOẠCH</t>
  </si>
  <si>
    <t>え、え・る</t>
  </si>
  <si>
    <t>穫</t>
  </si>
  <si>
    <t>劃</t>
  </si>
  <si>
    <t>壊</t>
  </si>
  <si>
    <t>HOẠI</t>
  </si>
  <si>
    <t>カイ・エ</t>
  </si>
  <si>
    <t>こわ・す、こわ・れる</t>
  </si>
  <si>
    <t>坏</t>
  </si>
  <si>
    <t>ハイ/ カイ</t>
  </si>
  <si>
    <t>壞</t>
  </si>
  <si>
    <t>患</t>
  </si>
  <si>
    <t>HOẠN</t>
  </si>
  <si>
    <t>わずら・う</t>
  </si>
  <si>
    <t>宦</t>
  </si>
  <si>
    <t>活</t>
  </si>
  <si>
    <t>HOẠT</t>
  </si>
  <si>
    <t>い・きる</t>
  </si>
  <si>
    <t>滑</t>
  </si>
  <si>
    <t>カツ/ コツ</t>
  </si>
  <si>
    <t>すべ・る、なめ・らか</t>
  </si>
  <si>
    <t>癨</t>
  </si>
  <si>
    <t>HOẮC</t>
  </si>
  <si>
    <t>弘</t>
  </si>
  <si>
    <t>HOẰNG</t>
  </si>
  <si>
    <t>泓</t>
  </si>
  <si>
    <t>惑</t>
  </si>
  <si>
    <t>HOẶC</t>
  </si>
  <si>
    <t>ワク</t>
  </si>
  <si>
    <t>まど・う</t>
  </si>
  <si>
    <t>或</t>
  </si>
  <si>
    <t>コク/ ワク</t>
  </si>
  <si>
    <t>あるい・は</t>
  </si>
  <si>
    <t>貨</t>
  </si>
  <si>
    <t>HÓA</t>
  </si>
  <si>
    <t>化</t>
  </si>
  <si>
    <t>ば・ける</t>
  </si>
  <si>
    <t>囮</t>
  </si>
  <si>
    <t>おとり</t>
  </si>
  <si>
    <t>和</t>
  </si>
  <si>
    <t>HÒA</t>
  </si>
  <si>
    <t>ワ/ カ</t>
  </si>
  <si>
    <t>やわ・らぐ、なご・む</t>
  </si>
  <si>
    <t>啝</t>
  </si>
  <si>
    <t>槐</t>
  </si>
  <si>
    <t>HÒE</t>
  </si>
  <si>
    <t>HỎA</t>
  </si>
  <si>
    <t>禍</t>
  </si>
  <si>
    <t>HỌA</t>
  </si>
  <si>
    <t>画</t>
  </si>
  <si>
    <t>HỌA/HOẠCH</t>
  </si>
  <si>
    <t>カク/ ガ</t>
  </si>
  <si>
    <t>えが・く</t>
  </si>
  <si>
    <t>学</t>
  </si>
  <si>
    <t>HỌC</t>
  </si>
  <si>
    <t>ガク</t>
  </si>
  <si>
    <t>まな・ぶ</t>
  </si>
  <si>
    <t>斈</t>
  </si>
  <si>
    <t>學</t>
  </si>
  <si>
    <t>呼</t>
  </si>
  <si>
    <t>HÔ</t>
  </si>
  <si>
    <t>よ・ぶ</t>
  </si>
  <si>
    <t>灰</t>
  </si>
  <si>
    <t>HÔI</t>
  </si>
  <si>
    <t>はい</t>
  </si>
  <si>
    <t>婚</t>
  </si>
  <si>
    <t>HÔN</t>
  </si>
  <si>
    <t>棔</t>
  </si>
  <si>
    <t>昏</t>
  </si>
  <si>
    <t>賄</t>
  </si>
  <si>
    <t>HỐI</t>
  </si>
  <si>
    <t>ワイ</t>
  </si>
  <si>
    <t>まかな・い</t>
  </si>
  <si>
    <t>悔</t>
  </si>
  <si>
    <t>く・いる、く・やむ</t>
  </si>
  <si>
    <t>匯</t>
  </si>
  <si>
    <t>ワイ/ カイ</t>
  </si>
  <si>
    <t>晦</t>
  </si>
  <si>
    <t>みそか</t>
  </si>
  <si>
    <t>哄</t>
  </si>
  <si>
    <t>HỐNG</t>
  </si>
  <si>
    <t>汞</t>
  </si>
  <si>
    <t>吼</t>
  </si>
  <si>
    <t>忽</t>
  </si>
  <si>
    <t>HỐT</t>
  </si>
  <si>
    <t>たちまち</t>
  </si>
  <si>
    <t>惚</t>
  </si>
  <si>
    <t>コツ/ コチ</t>
  </si>
  <si>
    <t>ほ・れる</t>
  </si>
  <si>
    <t>湖</t>
  </si>
  <si>
    <t>HỒ</t>
  </si>
  <si>
    <t>みずうみ</t>
  </si>
  <si>
    <t>弧</t>
  </si>
  <si>
    <t>胡</t>
  </si>
  <si>
    <t>狐</t>
  </si>
  <si>
    <t>きつね</t>
  </si>
  <si>
    <t>乎</t>
  </si>
  <si>
    <t>コ/ ゴ</t>
  </si>
  <si>
    <t>楜</t>
  </si>
  <si>
    <t>蝴</t>
  </si>
  <si>
    <t>匏</t>
  </si>
  <si>
    <t>壷</t>
  </si>
  <si>
    <t>壺</t>
  </si>
  <si>
    <t>回</t>
  </si>
  <si>
    <t>HỒI</t>
  </si>
  <si>
    <t>まわ・す、めぐ・る</t>
  </si>
  <si>
    <t>蛔</t>
  </si>
  <si>
    <t>囘</t>
  </si>
  <si>
    <t>廻</t>
  </si>
  <si>
    <t>めぐ・る</t>
  </si>
  <si>
    <t>徊</t>
  </si>
  <si>
    <t>魂</t>
  </si>
  <si>
    <t>HỒN</t>
  </si>
  <si>
    <t>鬼</t>
  </si>
  <si>
    <t>たましい</t>
  </si>
  <si>
    <t>渾</t>
  </si>
  <si>
    <t>洪</t>
  </si>
  <si>
    <t>HỒNG</t>
  </si>
  <si>
    <t>紅</t>
  </si>
  <si>
    <t>ク/ コウ/ グ</t>
  </si>
  <si>
    <t>くれない、べに</t>
  </si>
  <si>
    <t>虹</t>
  </si>
  <si>
    <t>グ/ グウ/ コウ</t>
  </si>
  <si>
    <t>にじ</t>
  </si>
  <si>
    <t>虎</t>
  </si>
  <si>
    <t>HỔ</t>
  </si>
  <si>
    <t>虍</t>
  </si>
  <si>
    <t>互</t>
  </si>
  <si>
    <t>HỖ</t>
  </si>
  <si>
    <t>たが・い</t>
  </si>
  <si>
    <t>混</t>
  </si>
  <si>
    <t>HỖN</t>
  </si>
  <si>
    <t>ま・ぜる</t>
  </si>
  <si>
    <t>護</t>
  </si>
  <si>
    <t>HỘ</t>
  </si>
  <si>
    <t>まも・る</t>
  </si>
  <si>
    <t>怙</t>
  </si>
  <si>
    <t>冱</t>
  </si>
  <si>
    <t>扈</t>
  </si>
  <si>
    <t>HỘ/HỖ</t>
  </si>
  <si>
    <t>槲</t>
  </si>
  <si>
    <t>HỘC</t>
  </si>
  <si>
    <t>絵</t>
  </si>
  <si>
    <t>HỘI</t>
  </si>
  <si>
    <t>エ/ カイ</t>
  </si>
  <si>
    <t>会</t>
  </si>
  <si>
    <t>あ・う</t>
  </si>
  <si>
    <t>潰</t>
  </si>
  <si>
    <t>つぶ・れる</t>
  </si>
  <si>
    <t>會</t>
  </si>
  <si>
    <t>亥</t>
  </si>
  <si>
    <t>HỢI</t>
  </si>
  <si>
    <t>い</t>
  </si>
  <si>
    <t>合</t>
  </si>
  <si>
    <t>HỢP/CÁP</t>
  </si>
  <si>
    <t>吁</t>
  </si>
  <si>
    <t>HU</t>
  </si>
  <si>
    <t>ウ/ ク</t>
  </si>
  <si>
    <t>勲</t>
  </si>
  <si>
    <t>HUÂN</t>
  </si>
  <si>
    <t>クン</t>
  </si>
  <si>
    <t>薫</t>
  </si>
  <si>
    <t>かお・る</t>
  </si>
  <si>
    <t>勳</t>
  </si>
  <si>
    <t>訓</t>
  </si>
  <si>
    <t>HUẤN</t>
  </si>
  <si>
    <t>クン/ キン</t>
  </si>
  <si>
    <t>携</t>
  </si>
  <si>
    <t>HUỀ</t>
  </si>
  <si>
    <t>たずさ・える</t>
  </si>
  <si>
    <t>攜</t>
  </si>
  <si>
    <t>畦</t>
  </si>
  <si>
    <t>恵</t>
  </si>
  <si>
    <t>HUỆ</t>
  </si>
  <si>
    <t>ケイ/ エ</t>
  </si>
  <si>
    <t>めぐ・む</t>
  </si>
  <si>
    <t>惠</t>
  </si>
  <si>
    <t>胸</t>
  </si>
  <si>
    <t>HUNG</t>
  </si>
  <si>
    <t>むね、むな</t>
  </si>
  <si>
    <t>凶</t>
  </si>
  <si>
    <t>恟</t>
  </si>
  <si>
    <t>洶</t>
  </si>
  <si>
    <t>匈</t>
  </si>
  <si>
    <t>兇</t>
  </si>
  <si>
    <t>況</t>
  </si>
  <si>
    <t>HUỐNG</t>
  </si>
  <si>
    <t>いわ・んや</t>
  </si>
  <si>
    <t>况</t>
  </si>
  <si>
    <t>輝</t>
  </si>
  <si>
    <t>HUY</t>
  </si>
  <si>
    <t>揮</t>
  </si>
  <si>
    <t>徽</t>
  </si>
  <si>
    <t>暉</t>
  </si>
  <si>
    <t>暄</t>
  </si>
  <si>
    <t>HUYÊN</t>
  </si>
  <si>
    <t>喧</t>
  </si>
  <si>
    <t>かまびす・しい、やかま・しい</t>
  </si>
  <si>
    <t>HUYẾT</t>
  </si>
  <si>
    <t>ち</t>
  </si>
  <si>
    <t>玄</t>
  </si>
  <si>
    <t>HUYỀN</t>
  </si>
  <si>
    <t>弦</t>
  </si>
  <si>
    <t>懸</t>
  </si>
  <si>
    <t>絢</t>
  </si>
  <si>
    <t>あや</t>
  </si>
  <si>
    <t>痃</t>
  </si>
  <si>
    <t>絃</t>
  </si>
  <si>
    <t>呟</t>
  </si>
  <si>
    <t>ゲン/ ケン</t>
  </si>
  <si>
    <t>つぶや・く</t>
  </si>
  <si>
    <t>眩</t>
  </si>
  <si>
    <t>HUYỄN</t>
  </si>
  <si>
    <t>まぶ・しい、くら・む</t>
  </si>
  <si>
    <t>衒</t>
  </si>
  <si>
    <t>てら・う</t>
  </si>
  <si>
    <t>県</t>
  </si>
  <si>
    <t>HUYỆN</t>
  </si>
  <si>
    <t>あがた</t>
  </si>
  <si>
    <t>HUYỆT</t>
  </si>
  <si>
    <t>ケツ/ ゲチ</t>
  </si>
  <si>
    <t>あな</t>
  </si>
  <si>
    <t>兄</t>
  </si>
  <si>
    <t>HUYNH</t>
  </si>
  <si>
    <t>ケイ・キョウ</t>
  </si>
  <si>
    <t>あに</t>
  </si>
  <si>
    <t>蛍</t>
  </si>
  <si>
    <r>
      <t>HU</t>
    </r>
    <r>
      <rPr>
        <sz val="11"/>
        <rFont val="ＭＳ Ｐゴシック"/>
        <family val="3"/>
        <charset val="128"/>
      </rPr>
      <t>Ỳ</t>
    </r>
    <r>
      <rPr>
        <sz val="11"/>
        <rFont val="Arial"/>
        <family val="2"/>
      </rPr>
      <t>NH</t>
    </r>
  </si>
  <si>
    <t>ほたる</t>
  </si>
  <si>
    <t>螢</t>
  </si>
  <si>
    <t>黌</t>
  </si>
  <si>
    <t>旭</t>
  </si>
  <si>
    <t>HÚC</t>
  </si>
  <si>
    <t>あさひ</t>
  </si>
  <si>
    <t>勗</t>
  </si>
  <si>
    <t>雄</t>
  </si>
  <si>
    <t>HÙNG</t>
  </si>
  <si>
    <t>お、おす</t>
  </si>
  <si>
    <t>熊</t>
  </si>
  <si>
    <t>くま</t>
  </si>
  <si>
    <t>腐</t>
  </si>
  <si>
    <t>HỦ</t>
  </si>
  <si>
    <t>くさ・る</t>
  </si>
  <si>
    <t>朽</t>
  </si>
  <si>
    <t>くち・る</t>
  </si>
  <si>
    <t>栩</t>
  </si>
  <si>
    <t>くぬぎ</t>
  </si>
  <si>
    <t>毀</t>
  </si>
  <si>
    <t>HỦY</t>
  </si>
  <si>
    <t>卉</t>
  </si>
  <si>
    <t>虚</t>
  </si>
  <si>
    <t>HƯ</t>
  </si>
  <si>
    <t>歔</t>
  </si>
  <si>
    <t>嘘</t>
  </si>
  <si>
    <t>うそ</t>
  </si>
  <si>
    <t>墟</t>
  </si>
  <si>
    <t>興</t>
  </si>
  <si>
    <t>HƯNG</t>
  </si>
  <si>
    <t>お・こる、お・こす</t>
  </si>
  <si>
    <t>郷</t>
  </si>
  <si>
    <t>HƯƠNG</t>
  </si>
  <si>
    <t>キョウ/ ゴウ</t>
  </si>
  <si>
    <t>か、かお・り</t>
  </si>
  <si>
    <t>向</t>
  </si>
  <si>
    <t>HƯỚNG</t>
  </si>
  <si>
    <t>む・かう、む・く</t>
  </si>
  <si>
    <t>餉</t>
  </si>
  <si>
    <t>嚮</t>
  </si>
  <si>
    <t>享</t>
  </si>
  <si>
    <t>HƯỞNG</t>
  </si>
  <si>
    <t>響</t>
  </si>
  <si>
    <t>ひび・く</t>
  </si>
  <si>
    <t>休</t>
  </si>
  <si>
    <t>HƯU</t>
  </si>
  <si>
    <t>やす・む</t>
  </si>
  <si>
    <t>許</t>
  </si>
  <si>
    <t>HỨA</t>
  </si>
  <si>
    <t>ゆる・す、もと</t>
  </si>
  <si>
    <t>洫</t>
  </si>
  <si>
    <t>HỨC</t>
  </si>
  <si>
    <t>有</t>
  </si>
  <si>
    <t>HỮU</t>
  </si>
  <si>
    <t>ウ/ ユウ</t>
  </si>
  <si>
    <t>あ・る</t>
  </si>
  <si>
    <t>友</t>
  </si>
  <si>
    <t>右</t>
  </si>
  <si>
    <t>みぎ</t>
  </si>
  <si>
    <t>祐</t>
  </si>
  <si>
    <t>佑</t>
  </si>
  <si>
    <t>囿</t>
  </si>
  <si>
    <t>HỰU</t>
  </si>
  <si>
    <t>侑</t>
  </si>
  <si>
    <t>宥</t>
  </si>
  <si>
    <t xml:space="preserve">たのし.む、 ひか.る、 ひろ.い、 よろこ.ぶ、 かわ.く、 あきらか、 ひろ.める、 ひろ.まる </t>
  </si>
  <si>
    <t>煕</t>
  </si>
  <si>
    <t>HY</t>
  </si>
  <si>
    <t>希</t>
  </si>
  <si>
    <t>ねが・う、まれ</t>
  </si>
  <si>
    <t>欷</t>
  </si>
  <si>
    <t>唏</t>
  </si>
  <si>
    <t>晞</t>
  </si>
  <si>
    <t>HY/HI</t>
  </si>
  <si>
    <t>稀</t>
  </si>
  <si>
    <t>まれ</t>
  </si>
  <si>
    <t>僖</t>
  </si>
  <si>
    <t>憙</t>
  </si>
  <si>
    <t>HÝ/HÍ</t>
  </si>
  <si>
    <t>喜</t>
  </si>
  <si>
    <t>HỶ/HỈ</t>
  </si>
  <si>
    <t>益</t>
  </si>
  <si>
    <t>ÍCH</t>
  </si>
  <si>
    <t>ま・す</t>
  </si>
  <si>
    <t>々</t>
  </si>
  <si>
    <t>(kép)</t>
  </si>
  <si>
    <t>鶏</t>
  </si>
  <si>
    <t>KÊ</t>
  </si>
  <si>
    <t>にわとり</t>
  </si>
  <si>
    <t>稽</t>
  </si>
  <si>
    <t>KÊ/KHỂ</t>
  </si>
  <si>
    <t>継</t>
  </si>
  <si>
    <t>KẾ</t>
  </si>
  <si>
    <t>つ・ぐ</t>
  </si>
  <si>
    <t>計</t>
  </si>
  <si>
    <t>薊</t>
  </si>
  <si>
    <t>あざみ</t>
  </si>
  <si>
    <t>結</t>
  </si>
  <si>
    <t>KẾT</t>
  </si>
  <si>
    <t>ケツ/ キツ</t>
  </si>
  <si>
    <t>むす・ぶ、ゆ・う</t>
  </si>
  <si>
    <t>檠</t>
  </si>
  <si>
    <t>KỀNH</t>
  </si>
  <si>
    <t>偈</t>
  </si>
  <si>
    <t>KỆ</t>
  </si>
  <si>
    <t>ゲ/ ケイ/ ケツ</t>
  </si>
  <si>
    <t>柯</t>
  </si>
  <si>
    <t>KHA</t>
  </si>
  <si>
    <t>開</t>
  </si>
  <si>
    <t>KHAI</t>
  </si>
  <si>
    <t>あ・く、ひら・く</t>
  </si>
  <si>
    <t>堪</t>
  </si>
  <si>
    <t>KHAM</t>
  </si>
  <si>
    <t>た、える</t>
  </si>
  <si>
    <t>戡</t>
  </si>
  <si>
    <t>龕</t>
  </si>
  <si>
    <t>KHAM/KHÁM</t>
  </si>
  <si>
    <t>龍</t>
  </si>
  <si>
    <t>康</t>
  </si>
  <si>
    <t>KHANG</t>
  </si>
  <si>
    <t>吭</t>
  </si>
  <si>
    <t>坑</t>
  </si>
  <si>
    <t>KHANH</t>
  </si>
  <si>
    <t>卿</t>
  </si>
  <si>
    <t>恪</t>
  </si>
  <si>
    <t>KHÁC</t>
  </si>
  <si>
    <t>客</t>
  </si>
  <si>
    <t>KHÁCH</t>
  </si>
  <si>
    <t>喀</t>
  </si>
  <si>
    <t>慨</t>
  </si>
  <si>
    <t>KHÁI</t>
  </si>
  <si>
    <t>概</t>
  </si>
  <si>
    <t>ガイ/ カイ</t>
  </si>
  <si>
    <t>おおむ・ね</t>
  </si>
  <si>
    <t>愾</t>
  </si>
  <si>
    <t>咳</t>
  </si>
  <si>
    <t>せき</t>
  </si>
  <si>
    <t>勘</t>
  </si>
  <si>
    <t>KHÁM</t>
  </si>
  <si>
    <t>看</t>
  </si>
  <si>
    <t>KHÁN</t>
  </si>
  <si>
    <t>抗</t>
  </si>
  <si>
    <t>KHÁNG</t>
  </si>
  <si>
    <t>伉</t>
  </si>
  <si>
    <t>慶</t>
  </si>
  <si>
    <t>KHÁNH</t>
  </si>
  <si>
    <t>恰</t>
  </si>
  <si>
    <t>KHÁP</t>
  </si>
  <si>
    <t>あたか・も</t>
  </si>
  <si>
    <t>渇</t>
  </si>
  <si>
    <t>KHÁT</t>
  </si>
  <si>
    <t>かわ・く</t>
  </si>
  <si>
    <t>尻</t>
  </si>
  <si>
    <t>KHÀO</t>
  </si>
  <si>
    <t>しり</t>
  </si>
  <si>
    <t>可</t>
  </si>
  <si>
    <t>KHẢ</t>
  </si>
  <si>
    <t>べし</t>
  </si>
  <si>
    <t>啓</t>
  </si>
  <si>
    <t>KHẢI</t>
  </si>
  <si>
    <t>揩</t>
  </si>
  <si>
    <t>鎧</t>
  </si>
  <si>
    <t>カイ/ ガイ</t>
  </si>
  <si>
    <t>よろい</t>
  </si>
  <si>
    <t>凱</t>
  </si>
  <si>
    <t>剴</t>
  </si>
  <si>
    <t>豈</t>
  </si>
  <si>
    <t>KHẢI/KHỞI</t>
  </si>
  <si>
    <t>坎</t>
  </si>
  <si>
    <t>KHẢM</t>
  </si>
  <si>
    <t>嵌</t>
  </si>
  <si>
    <t>は・める</t>
  </si>
  <si>
    <t>侃</t>
  </si>
  <si>
    <t>KHẢN</t>
  </si>
  <si>
    <t>（名前）ただし、なお、あきら、つよし</t>
  </si>
  <si>
    <t>慷</t>
  </si>
  <si>
    <t>KHẢNG</t>
  </si>
  <si>
    <t>考</t>
  </si>
  <si>
    <t>KHẢO</t>
  </si>
  <si>
    <t>かんが・える</t>
  </si>
  <si>
    <t>拷</t>
  </si>
  <si>
    <t>攷</t>
  </si>
  <si>
    <t>栲</t>
  </si>
  <si>
    <t>襟</t>
  </si>
  <si>
    <t>KHÂM</t>
  </si>
  <si>
    <t>えり</t>
  </si>
  <si>
    <t>欽</t>
  </si>
  <si>
    <t>蚯</t>
  </si>
  <si>
    <t>KHÂU</t>
  </si>
  <si>
    <t>丘</t>
  </si>
  <si>
    <t>KHÂU/KHƯU</t>
  </si>
  <si>
    <t>泣</t>
  </si>
  <si>
    <t>KHẤP</t>
  </si>
  <si>
    <t>乞</t>
  </si>
  <si>
    <t>KHẤT</t>
  </si>
  <si>
    <t>キツ/ コツ</t>
  </si>
  <si>
    <t>こ・う</t>
  </si>
  <si>
    <t>扣</t>
  </si>
  <si>
    <t>KHẤU</t>
  </si>
  <si>
    <t>寇</t>
  </si>
  <si>
    <t>冦</t>
  </si>
  <si>
    <t>冖</t>
  </si>
  <si>
    <t>叩</t>
  </si>
  <si>
    <t>たた・く</t>
  </si>
  <si>
    <t>釦</t>
  </si>
  <si>
    <t>ぼたん</t>
  </si>
  <si>
    <t>緊</t>
  </si>
  <si>
    <t>KHẨN</t>
  </si>
  <si>
    <t>墾</t>
  </si>
  <si>
    <t>懇</t>
  </si>
  <si>
    <t>ねんご・ろ</t>
  </si>
  <si>
    <t>KHẨU</t>
  </si>
  <si>
    <t>くち</t>
  </si>
  <si>
    <t>刻</t>
  </si>
  <si>
    <t>KHẮC</t>
  </si>
  <si>
    <t>きざ・む</t>
  </si>
  <si>
    <t>克</t>
  </si>
  <si>
    <t>かつ</t>
  </si>
  <si>
    <t>剋</t>
  </si>
  <si>
    <t>尅</t>
  </si>
  <si>
    <t>肯</t>
  </si>
  <si>
    <t>KHẲNG</t>
  </si>
  <si>
    <t>うなず・く</t>
  </si>
  <si>
    <t>溪</t>
  </si>
  <si>
    <t>KHÊ</t>
  </si>
  <si>
    <t>渓</t>
  </si>
  <si>
    <t>憩</t>
  </si>
  <si>
    <t>KHẾ</t>
  </si>
  <si>
    <t>いこ・う、いこい</t>
  </si>
  <si>
    <t>憇</t>
  </si>
  <si>
    <t>契</t>
  </si>
  <si>
    <t>KHẾ/KHIẾT</t>
  </si>
  <si>
    <t>ケイ/ ケツ</t>
  </si>
  <si>
    <t>ちぎ・る</t>
  </si>
  <si>
    <t>欺</t>
  </si>
  <si>
    <t>KHI</t>
  </si>
  <si>
    <t>ギ/ キ</t>
  </si>
  <si>
    <t>あざむ・く</t>
  </si>
  <si>
    <t>謙</t>
  </si>
  <si>
    <t>KHIÊM</t>
  </si>
  <si>
    <t>愆</t>
  </si>
  <si>
    <t>KHIÊN</t>
  </si>
  <si>
    <t>搴</t>
  </si>
  <si>
    <t>牽</t>
  </si>
  <si>
    <t>跳</t>
  </si>
  <si>
    <t>KHIÊU</t>
  </si>
  <si>
    <t>チョウ/ ジョウ</t>
  </si>
  <si>
    <t>と・ぶ、は・ねる</t>
  </si>
  <si>
    <t>橇</t>
  </si>
  <si>
    <t>そり</t>
  </si>
  <si>
    <t>KHIẾM</t>
  </si>
  <si>
    <t>塹</t>
  </si>
  <si>
    <t>ザン/ セン</t>
  </si>
  <si>
    <t>怯</t>
  </si>
  <si>
    <t>KHIẾP</t>
  </si>
  <si>
    <t>おび・える</t>
  </si>
  <si>
    <t>潔</t>
  </si>
  <si>
    <t>KHIẾT</t>
  </si>
  <si>
    <t>いさぎよ・い</t>
  </si>
  <si>
    <t>喫</t>
  </si>
  <si>
    <t>キツ/ ケキ</t>
  </si>
  <si>
    <t>挈</t>
  </si>
  <si>
    <t>齧</t>
  </si>
  <si>
    <t>ケツ/ ゲツ</t>
  </si>
  <si>
    <t>囓</t>
  </si>
  <si>
    <t>叫</t>
  </si>
  <si>
    <t>KHIẾU</t>
  </si>
  <si>
    <t>さけ・ぶ</t>
  </si>
  <si>
    <t>嘯</t>
  </si>
  <si>
    <t>うそぶ・く</t>
  </si>
  <si>
    <t>歉</t>
  </si>
  <si>
    <t>KHIỂM</t>
  </si>
  <si>
    <t>遣</t>
  </si>
  <si>
    <t>KHIỂN</t>
  </si>
  <si>
    <t>つか・わす、や・る</t>
  </si>
  <si>
    <t>軽</t>
  </si>
  <si>
    <t>KHINH</t>
  </si>
  <si>
    <t>かる・い、かろ・やか</t>
  </si>
  <si>
    <t>気</t>
  </si>
  <si>
    <t>KHÍ</t>
  </si>
  <si>
    <t>气</t>
  </si>
  <si>
    <t>汽</t>
  </si>
  <si>
    <t>棄</t>
  </si>
  <si>
    <t>すて・る</t>
  </si>
  <si>
    <t>器</t>
  </si>
  <si>
    <t>うつわ</t>
  </si>
  <si>
    <t>氣</t>
  </si>
  <si>
    <t>噐</t>
  </si>
  <si>
    <t>弃</t>
  </si>
  <si>
    <t>KHÍ/KHẤT</t>
  </si>
  <si>
    <t>激</t>
  </si>
  <si>
    <t>KHÍCH/KÍCH</t>
  </si>
  <si>
    <t>ゲキ</t>
  </si>
  <si>
    <t>はげ・しい</t>
  </si>
  <si>
    <t>科</t>
  </si>
  <si>
    <t>KHOA</t>
  </si>
  <si>
    <t>しな</t>
  </si>
  <si>
    <t>誇</t>
  </si>
  <si>
    <t>ほこ・る</t>
  </si>
  <si>
    <t>蝌</t>
  </si>
  <si>
    <t>寛</t>
  </si>
  <si>
    <t>KHOAN</t>
  </si>
  <si>
    <t>（名前）ひろ、ひろし</t>
  </si>
  <si>
    <t>快</t>
  </si>
  <si>
    <t>KHOÁI</t>
  </si>
  <si>
    <t>こころよ・い</t>
  </si>
  <si>
    <t>券</t>
  </si>
  <si>
    <t>KHOÁN</t>
  </si>
  <si>
    <t>椦</t>
  </si>
  <si>
    <t>劵</t>
  </si>
  <si>
    <t>鉱</t>
  </si>
  <si>
    <t>KHOÁNG</t>
  </si>
  <si>
    <t>あらがね</t>
  </si>
  <si>
    <t>曠</t>
  </si>
  <si>
    <t>闊</t>
  </si>
  <si>
    <t>KHOÁT</t>
  </si>
  <si>
    <t>蛞</t>
  </si>
  <si>
    <t>款</t>
  </si>
  <si>
    <t>KHOẢN</t>
  </si>
  <si>
    <t>頃</t>
  </si>
  <si>
    <t>KHOẢNH</t>
  </si>
  <si>
    <t>ころ</t>
  </si>
  <si>
    <t>課</t>
  </si>
  <si>
    <t>KHÓA</t>
  </si>
  <si>
    <t>裸</t>
  </si>
  <si>
    <t>KHỎA</t>
  </si>
  <si>
    <t>ラ</t>
  </si>
  <si>
    <t>はだか</t>
  </si>
  <si>
    <t>裹</t>
  </si>
  <si>
    <t>KHỎA/LÕA</t>
  </si>
  <si>
    <t>枯</t>
  </si>
  <si>
    <t>KHÔ</t>
  </si>
  <si>
    <t>か・れる</t>
  </si>
  <si>
    <t>桍</t>
  </si>
  <si>
    <t>刳</t>
  </si>
  <si>
    <t>恢</t>
  </si>
  <si>
    <t>KHÔI</t>
  </si>
  <si>
    <t>坤</t>
  </si>
  <si>
    <t>KHÔN</t>
  </si>
  <si>
    <t>ひつじさる</t>
  </si>
  <si>
    <t>倥</t>
  </si>
  <si>
    <t>KHÔNG</t>
  </si>
  <si>
    <t>啌</t>
  </si>
  <si>
    <t>空</t>
  </si>
  <si>
    <t>KHÔNG/KHỐNG</t>
  </si>
  <si>
    <t>クウ/ コウ</t>
  </si>
  <si>
    <t>そら、から、あ・く、うつ・ろ</t>
  </si>
  <si>
    <t>庫</t>
  </si>
  <si>
    <t>KHỐ</t>
  </si>
  <si>
    <t>くら</t>
  </si>
  <si>
    <t>袴</t>
  </si>
  <si>
    <t>はかま</t>
  </si>
  <si>
    <t>夸</t>
  </si>
  <si>
    <t>酷</t>
  </si>
  <si>
    <t>KHỐC</t>
  </si>
  <si>
    <t>むご・い</t>
  </si>
  <si>
    <t>哭</t>
  </si>
  <si>
    <t>塊</t>
  </si>
  <si>
    <t>KHỐI</t>
  </si>
  <si>
    <t>かたまり</t>
  </si>
  <si>
    <t>傀</t>
  </si>
  <si>
    <t>KHỐI/ỔI</t>
  </si>
  <si>
    <t>困</t>
  </si>
  <si>
    <t>KHỐN</t>
  </si>
  <si>
    <t>こま・る</t>
  </si>
  <si>
    <t>悃</t>
  </si>
  <si>
    <t>控</t>
  </si>
  <si>
    <t>KHỐNG</t>
  </si>
  <si>
    <t>ひか・える</t>
  </si>
  <si>
    <t>苦</t>
  </si>
  <si>
    <t>KHỔ</t>
  </si>
  <si>
    <t>くる・しい、にが・い</t>
  </si>
  <si>
    <t>梱</t>
  </si>
  <si>
    <t>KHỔN</t>
  </si>
  <si>
    <t>壼</t>
  </si>
  <si>
    <t>孔</t>
  </si>
  <si>
    <t>KHỔNG</t>
  </si>
  <si>
    <t>起</t>
  </si>
  <si>
    <t>KHỞI</t>
  </si>
  <si>
    <t>お・きる</t>
  </si>
  <si>
    <t>杞</t>
  </si>
  <si>
    <t>キ/ コ</t>
  </si>
  <si>
    <t>駆</t>
  </si>
  <si>
    <t>KHU</t>
  </si>
  <si>
    <t>区</t>
  </si>
  <si>
    <t>區</t>
  </si>
  <si>
    <t>嶇</t>
  </si>
  <si>
    <t>屈</t>
  </si>
  <si>
    <t>KHUẤT/QUẬT</t>
  </si>
  <si>
    <t>クツ</t>
  </si>
  <si>
    <t>かが・む</t>
  </si>
  <si>
    <t>菌</t>
  </si>
  <si>
    <t>KHUẨN</t>
  </si>
  <si>
    <t>圭</t>
  </si>
  <si>
    <t>KHUÊ</t>
  </si>
  <si>
    <t>奎</t>
  </si>
  <si>
    <t>ケ/ ケイ</t>
  </si>
  <si>
    <t>硅</t>
  </si>
  <si>
    <t>珪</t>
  </si>
  <si>
    <t>拡</t>
  </si>
  <si>
    <t>KHUẾCH</t>
  </si>
  <si>
    <t>擴</t>
  </si>
  <si>
    <t>廓</t>
  </si>
  <si>
    <t>くるわ</t>
  </si>
  <si>
    <t>恚</t>
  </si>
  <si>
    <t>KHUỂ</t>
  </si>
  <si>
    <t>枠</t>
  </si>
  <si>
    <t>(khung)</t>
  </si>
  <si>
    <t>わく</t>
  </si>
  <si>
    <t>匡</t>
  </si>
  <si>
    <t>KHUÔNG</t>
  </si>
  <si>
    <t>ただ・す</t>
  </si>
  <si>
    <t>框</t>
  </si>
  <si>
    <t>かまち</t>
  </si>
  <si>
    <t>虧</t>
  </si>
  <si>
    <t>KHUY</t>
  </si>
  <si>
    <t>勧</t>
  </si>
  <si>
    <t>KHUYẾN</t>
  </si>
  <si>
    <t>すす・める</t>
  </si>
  <si>
    <t>勸</t>
  </si>
  <si>
    <t>KHUYỂN</t>
  </si>
  <si>
    <t>いぬ</t>
  </si>
  <si>
    <t>傾</t>
  </si>
  <si>
    <t>KHUYNH</t>
  </si>
  <si>
    <t>かたむ・く</t>
  </si>
  <si>
    <t>曲</t>
  </si>
  <si>
    <t>KHÚC</t>
  </si>
  <si>
    <t>キョク/ コク</t>
  </si>
  <si>
    <t>ま・がる</t>
  </si>
  <si>
    <t>齲</t>
  </si>
  <si>
    <t>KHỦ</t>
  </si>
  <si>
    <t>恐</t>
  </si>
  <si>
    <t>KHỦNG</t>
  </si>
  <si>
    <t>厶</t>
  </si>
  <si>
    <t>KHƯ/TƯ</t>
  </si>
  <si>
    <t>却</t>
  </si>
  <si>
    <t>KHƯỚC</t>
  </si>
  <si>
    <t>かえ・って</t>
  </si>
  <si>
    <t>去</t>
  </si>
  <si>
    <t>KHỨ</t>
  </si>
  <si>
    <t>さ・る</t>
  </si>
  <si>
    <t>嗅</t>
  </si>
  <si>
    <t>KHỨU</t>
  </si>
  <si>
    <t>か・ぐ</t>
  </si>
  <si>
    <t>兼</t>
  </si>
  <si>
    <t>KIÊM</t>
  </si>
  <si>
    <t>か・ねる</t>
  </si>
  <si>
    <t>堅</t>
  </si>
  <si>
    <t>KIÊN</t>
  </si>
  <si>
    <t>肩</t>
  </si>
  <si>
    <t>慳</t>
  </si>
  <si>
    <t>梟</t>
  </si>
  <si>
    <t>KIÊU</t>
  </si>
  <si>
    <t>ふくろう</t>
  </si>
  <si>
    <t>驕</t>
  </si>
  <si>
    <t>剣</t>
  </si>
  <si>
    <t>KIẾM</t>
  </si>
  <si>
    <t>つるぎ</t>
  </si>
  <si>
    <t>劔</t>
  </si>
  <si>
    <t>剱</t>
  </si>
  <si>
    <t>劍</t>
  </si>
  <si>
    <t>劒</t>
  </si>
  <si>
    <t>KIẾN</t>
  </si>
  <si>
    <t>建</t>
  </si>
  <si>
    <t>た・てる</t>
  </si>
  <si>
    <t>俔</t>
  </si>
  <si>
    <t>刧</t>
  </si>
  <si>
    <t>KIẾP</t>
  </si>
  <si>
    <t>キョウ/ コウ/ ゴウ</t>
  </si>
  <si>
    <t>劫</t>
  </si>
  <si>
    <t>戞</t>
  </si>
  <si>
    <t>KIẾT</t>
  </si>
  <si>
    <t>拮</t>
  </si>
  <si>
    <t>キツ/ ケツ</t>
  </si>
  <si>
    <t>戛</t>
  </si>
  <si>
    <t>拑</t>
  </si>
  <si>
    <t>KIỀM</t>
  </si>
  <si>
    <t>黔</t>
  </si>
  <si>
    <t>橋</t>
  </si>
  <si>
    <t>KIỀU</t>
  </si>
  <si>
    <t>はし</t>
  </si>
  <si>
    <t>僑</t>
  </si>
  <si>
    <t>喬</t>
  </si>
  <si>
    <t>蕎</t>
  </si>
  <si>
    <t>嬌</t>
  </si>
  <si>
    <t>翹</t>
  </si>
  <si>
    <t>KIỀU/KHIÊU</t>
  </si>
  <si>
    <t>キョウ/ ギョウ</t>
  </si>
  <si>
    <t>検</t>
  </si>
  <si>
    <t>KIỂM</t>
  </si>
  <si>
    <t>檢</t>
  </si>
  <si>
    <t>繭</t>
  </si>
  <si>
    <t>KIỂN</t>
  </si>
  <si>
    <t>まゆ</t>
  </si>
  <si>
    <t>蹇</t>
  </si>
  <si>
    <t>矯</t>
  </si>
  <si>
    <t>KIỂU</t>
  </si>
  <si>
    <t>た・める</t>
  </si>
  <si>
    <t>徼</t>
  </si>
  <si>
    <t>KIỂU/KHIẾU</t>
  </si>
  <si>
    <t>倹</t>
  </si>
  <si>
    <t>KIỆM</t>
  </si>
  <si>
    <t>儉</t>
  </si>
  <si>
    <t>件</t>
  </si>
  <si>
    <t>KIỆN</t>
  </si>
  <si>
    <t>くだん</t>
  </si>
  <si>
    <t>健</t>
  </si>
  <si>
    <t>すこ・やか</t>
  </si>
  <si>
    <t>鍵</t>
  </si>
  <si>
    <t>かぎ</t>
  </si>
  <si>
    <t>鋏</t>
  </si>
  <si>
    <t>KIỆP</t>
  </si>
  <si>
    <t>はさみ</t>
  </si>
  <si>
    <t>傑</t>
  </si>
  <si>
    <t>KIỆT</t>
  </si>
  <si>
    <t>杰</t>
  </si>
  <si>
    <t>桀</t>
  </si>
  <si>
    <t>今</t>
  </si>
  <si>
    <t>KIM</t>
  </si>
  <si>
    <t>いま</t>
  </si>
  <si>
    <t>衾</t>
  </si>
  <si>
    <t>ふすま</t>
  </si>
  <si>
    <t>崟</t>
  </si>
  <si>
    <t>経</t>
  </si>
  <si>
    <t>KINH</t>
  </si>
  <si>
    <t>へ・る、た・つ</t>
  </si>
  <si>
    <t>京</t>
  </si>
  <si>
    <t>驚</t>
  </si>
  <si>
    <t>おどろ・く</t>
  </si>
  <si>
    <t>痙</t>
  </si>
  <si>
    <t>剄</t>
  </si>
  <si>
    <t>荊</t>
  </si>
  <si>
    <t>徑</t>
  </si>
  <si>
    <t>KINH/KÍNH</t>
  </si>
  <si>
    <t>撃</t>
  </si>
  <si>
    <t>KÍCH</t>
  </si>
  <si>
    <t>戟</t>
  </si>
  <si>
    <t>鏡</t>
  </si>
  <si>
    <t>KÍNH</t>
  </si>
  <si>
    <t>かがみ</t>
  </si>
  <si>
    <t>径</t>
  </si>
  <si>
    <t>敬</t>
  </si>
  <si>
    <t>鯨</t>
  </si>
  <si>
    <t>KÌNH</t>
  </si>
  <si>
    <t>ゲイ</t>
  </si>
  <si>
    <t>くじら</t>
  </si>
  <si>
    <t>黥</t>
  </si>
  <si>
    <t>勁</t>
  </si>
  <si>
    <t>勍</t>
  </si>
  <si>
    <t>騎</t>
  </si>
  <si>
    <t>KỊ</t>
  </si>
  <si>
    <t>劇</t>
  </si>
  <si>
    <t>KỊCH</t>
  </si>
  <si>
    <t>屐</t>
  </si>
  <si>
    <t>ゲキ/ ギャク/ ケキ</t>
  </si>
  <si>
    <t>磯</t>
  </si>
  <si>
    <t>KY</t>
  </si>
  <si>
    <t>いそ</t>
  </si>
  <si>
    <t>羈</t>
  </si>
  <si>
    <t>KY/KI</t>
  </si>
  <si>
    <t>既</t>
  </si>
  <si>
    <t>KÝ</t>
  </si>
  <si>
    <t>无</t>
  </si>
  <si>
    <t>すで・に</t>
  </si>
  <si>
    <t>記</t>
  </si>
  <si>
    <t>しる・す</t>
  </si>
  <si>
    <t>旡</t>
  </si>
  <si>
    <t>冀</t>
  </si>
  <si>
    <t>こいねが・う</t>
  </si>
  <si>
    <t>碁</t>
  </si>
  <si>
    <r>
      <t>K</t>
    </r>
    <r>
      <rPr>
        <sz val="11"/>
        <rFont val="ＭＳ Ｐゴシック"/>
        <family val="3"/>
        <charset val="128"/>
      </rPr>
      <t>Ỳ</t>
    </r>
  </si>
  <si>
    <t>ゴ/ キ</t>
  </si>
  <si>
    <t>祈</t>
  </si>
  <si>
    <t>いの・る</t>
  </si>
  <si>
    <t>期</t>
  </si>
  <si>
    <t>キ/ ゴ</t>
  </si>
  <si>
    <t>奇</t>
  </si>
  <si>
    <t>寄</t>
  </si>
  <si>
    <t>よ・る</t>
  </si>
  <si>
    <t>岐</t>
  </si>
  <si>
    <t>崎</t>
  </si>
  <si>
    <t>さき</t>
  </si>
  <si>
    <t>旗</t>
  </si>
  <si>
    <t>棋</t>
  </si>
  <si>
    <t>キ/ ギ/ ゴ</t>
  </si>
  <si>
    <t>埼</t>
  </si>
  <si>
    <t>畿</t>
  </si>
  <si>
    <t>棊</t>
  </si>
  <si>
    <t>楳</t>
  </si>
  <si>
    <t>バイ/ マイ</t>
  </si>
  <si>
    <t>鰭</t>
  </si>
  <si>
    <t>ひれ</t>
  </si>
  <si>
    <t>其</t>
  </si>
  <si>
    <t>そ・れ、そ・の</t>
  </si>
  <si>
    <t>剞</t>
  </si>
  <si>
    <t>圻</t>
  </si>
  <si>
    <t>キ/ ギン</t>
  </si>
  <si>
    <t>嵜</t>
  </si>
  <si>
    <t>紀</t>
  </si>
  <si>
    <t>KỶ</t>
  </si>
  <si>
    <t>おのれ、つちのと</t>
  </si>
  <si>
    <t>机</t>
  </si>
  <si>
    <t>つくえ</t>
  </si>
  <si>
    <t>幾</t>
  </si>
  <si>
    <t>KỶ/KY</t>
  </si>
  <si>
    <t>いく</t>
  </si>
  <si>
    <t>椅</t>
  </si>
  <si>
    <t>KỶ/Ỷ</t>
  </si>
  <si>
    <t>掎</t>
  </si>
  <si>
    <t>KỶ/Ỷ/KY</t>
  </si>
  <si>
    <t>技</t>
  </si>
  <si>
    <t>KỸ</t>
  </si>
  <si>
    <t>わざ</t>
  </si>
  <si>
    <t>伎</t>
  </si>
  <si>
    <t>妓</t>
  </si>
  <si>
    <t>忌</t>
  </si>
  <si>
    <t>KỴ</t>
  </si>
  <si>
    <t>い・まわしい、い・む</t>
  </si>
  <si>
    <t>曁</t>
  </si>
  <si>
    <t>羅</t>
  </si>
  <si>
    <t>LA</t>
  </si>
  <si>
    <t>邏</t>
  </si>
  <si>
    <t>来</t>
  </si>
  <si>
    <t>LAI</t>
  </si>
  <si>
    <t>ライ</t>
  </si>
  <si>
    <t>く・る、きた・る</t>
  </si>
  <si>
    <t>來</t>
  </si>
  <si>
    <t>徠</t>
  </si>
  <si>
    <t>嵐</t>
  </si>
  <si>
    <t>LAM</t>
  </si>
  <si>
    <t>ラン</t>
  </si>
  <si>
    <t>あらし</t>
  </si>
  <si>
    <t>藍</t>
  </si>
  <si>
    <t>あい</t>
  </si>
  <si>
    <t>儖</t>
  </si>
  <si>
    <t>婪</t>
  </si>
  <si>
    <t>フン</t>
  </si>
  <si>
    <t>欄</t>
  </si>
  <si>
    <t>LAN</t>
  </si>
  <si>
    <t>蘭</t>
  </si>
  <si>
    <t>瀾</t>
  </si>
  <si>
    <t>滝</t>
  </si>
  <si>
    <t>LANG</t>
  </si>
  <si>
    <t>たき</t>
  </si>
  <si>
    <t>郎</t>
  </si>
  <si>
    <t>廊</t>
  </si>
  <si>
    <t>榔</t>
  </si>
  <si>
    <t>シツ</t>
  </si>
  <si>
    <t>螂</t>
  </si>
  <si>
    <t>竓</t>
  </si>
  <si>
    <t>(lao)</t>
  </si>
  <si>
    <t>ミリ立方メートル</t>
  </si>
  <si>
    <t>撈</t>
  </si>
  <si>
    <t>LAO</t>
  </si>
  <si>
    <t>牢</t>
  </si>
  <si>
    <t>癆</t>
  </si>
  <si>
    <t>労</t>
  </si>
  <si>
    <t>LAO/LẠO</t>
  </si>
  <si>
    <t>いた・わる、ねぎら・う</t>
  </si>
  <si>
    <t>勞</t>
  </si>
  <si>
    <t>竡</t>
  </si>
  <si>
    <t>(lách)</t>
  </si>
  <si>
    <t>咾</t>
  </si>
  <si>
    <t>(láo)</t>
  </si>
  <si>
    <t>覧</t>
  </si>
  <si>
    <t>LÃM</t>
  </si>
  <si>
    <t>攬</t>
  </si>
  <si>
    <t>欖</t>
  </si>
  <si>
    <t>嬾</t>
  </si>
  <si>
    <t>LÃN</t>
  </si>
  <si>
    <t>懶</t>
  </si>
  <si>
    <t>LÃN/LẠI</t>
  </si>
  <si>
    <t>浪</t>
  </si>
  <si>
    <t>LÃNG</t>
  </si>
  <si>
    <t>朗</t>
  </si>
  <si>
    <t>ほが・らか</t>
  </si>
  <si>
    <t>冷</t>
  </si>
  <si>
    <t>LÃNH</t>
  </si>
  <si>
    <t>レイ/ リョウ</t>
  </si>
  <si>
    <t>つめ・たい</t>
  </si>
  <si>
    <t>囹</t>
  </si>
  <si>
    <t>LÃNH/LINH</t>
  </si>
  <si>
    <t>レイ</t>
  </si>
  <si>
    <t>領</t>
  </si>
  <si>
    <t>LÃNH/LĨNH</t>
  </si>
  <si>
    <t>リョウ</t>
  </si>
  <si>
    <t>LÃO</t>
  </si>
  <si>
    <t>お・いる、ふ・ける</t>
  </si>
  <si>
    <t>絡</t>
  </si>
  <si>
    <t>LẠC</t>
  </si>
  <si>
    <t>ラク</t>
  </si>
  <si>
    <t>から・む</t>
  </si>
  <si>
    <t>落</t>
  </si>
  <si>
    <t>お・ちる</t>
  </si>
  <si>
    <t>酪</t>
  </si>
  <si>
    <t>擽</t>
  </si>
  <si>
    <t>リャク/ レキ</t>
  </si>
  <si>
    <t>樂</t>
  </si>
  <si>
    <t>ラク/ ガク</t>
  </si>
  <si>
    <t>たの・しい</t>
  </si>
  <si>
    <t>洛</t>
  </si>
  <si>
    <t>楽</t>
  </si>
  <si>
    <t>LẠC/NHẠC</t>
  </si>
  <si>
    <t>瀬</t>
  </si>
  <si>
    <t>LẠI</t>
  </si>
  <si>
    <t>せ</t>
  </si>
  <si>
    <t>頼</t>
  </si>
  <si>
    <t>たの・む</t>
  </si>
  <si>
    <t>吏</t>
  </si>
  <si>
    <t>リ</t>
  </si>
  <si>
    <t>癩</t>
  </si>
  <si>
    <t>濫</t>
  </si>
  <si>
    <t>LẠM</t>
  </si>
  <si>
    <t>燗</t>
  </si>
  <si>
    <t>LẠN</t>
  </si>
  <si>
    <t>カン/ ラン</t>
  </si>
  <si>
    <t>爛</t>
  </si>
  <si>
    <t>ただ・れる</t>
  </si>
  <si>
    <t>粒</t>
  </si>
  <si>
    <t>LẠP</t>
  </si>
  <si>
    <t>リュウ</t>
  </si>
  <si>
    <t>つぶ</t>
  </si>
  <si>
    <t>拉</t>
  </si>
  <si>
    <t>ラツ/ ロウ</t>
  </si>
  <si>
    <t>ひし・ぐ</t>
  </si>
  <si>
    <t>剌</t>
  </si>
  <si>
    <t>LẠT</t>
  </si>
  <si>
    <t>ラツ/ ラチ</t>
  </si>
  <si>
    <t>辣</t>
  </si>
  <si>
    <t>喇</t>
  </si>
  <si>
    <t>ラツ</t>
  </si>
  <si>
    <t>臨</t>
  </si>
  <si>
    <t>LÂM</t>
  </si>
  <si>
    <t>臣</t>
  </si>
  <si>
    <t>リン</t>
  </si>
  <si>
    <t>のぞ・む</t>
  </si>
  <si>
    <t>林</t>
  </si>
  <si>
    <t>はやし</t>
  </si>
  <si>
    <t>痳</t>
  </si>
  <si>
    <t>淋</t>
  </si>
  <si>
    <t>さび・しい</t>
  </si>
  <si>
    <t>隣</t>
  </si>
  <si>
    <t>LÂN</t>
  </si>
  <si>
    <t>となり、とな・る</t>
  </si>
  <si>
    <t>竕</t>
  </si>
  <si>
    <t>(lân)</t>
  </si>
  <si>
    <t>デシリットル</t>
  </si>
  <si>
    <t>憐</t>
  </si>
  <si>
    <t>レン</t>
  </si>
  <si>
    <t>あわ・れむ</t>
  </si>
  <si>
    <t>燐</t>
  </si>
  <si>
    <t>楼</t>
  </si>
  <si>
    <t>LÂU</t>
  </si>
  <si>
    <t>樓</t>
  </si>
  <si>
    <t>ロウ/ ル</t>
  </si>
  <si>
    <t>瘻</t>
  </si>
  <si>
    <t>ル/ ロウ</t>
  </si>
  <si>
    <t>螻</t>
  </si>
  <si>
    <t>婁</t>
  </si>
  <si>
    <t>僂</t>
  </si>
  <si>
    <t>LÂU/LU</t>
  </si>
  <si>
    <t>懍</t>
  </si>
  <si>
    <t>LẪM</t>
  </si>
  <si>
    <t>凜</t>
  </si>
  <si>
    <t>凛</t>
  </si>
  <si>
    <t>廩</t>
  </si>
  <si>
    <t>悋</t>
  </si>
  <si>
    <t>LẬN</t>
  </si>
  <si>
    <t>吝</t>
  </si>
  <si>
    <t>やぶさ・か</t>
  </si>
  <si>
    <t>LẬP</t>
  </si>
  <si>
    <t>リツ/ リュウ</t>
  </si>
  <si>
    <t>た・つ</t>
  </si>
  <si>
    <t>竍</t>
  </si>
  <si>
    <t>(lập)</t>
  </si>
  <si>
    <t>デカリットル</t>
  </si>
  <si>
    <t>栗</t>
  </si>
  <si>
    <t>LẬT</t>
  </si>
  <si>
    <t>リツ</t>
  </si>
  <si>
    <t>くり</t>
  </si>
  <si>
    <t>慄</t>
  </si>
  <si>
    <t>おのの・く</t>
  </si>
  <si>
    <t>漏</t>
  </si>
  <si>
    <t>LẬU</t>
  </si>
  <si>
    <t>も・る、も・れる、も・らす</t>
  </si>
  <si>
    <t>陵</t>
  </si>
  <si>
    <t>LĂNG</t>
  </si>
  <si>
    <t>みささぎ</t>
  </si>
  <si>
    <t>菱</t>
  </si>
  <si>
    <t>ひし</t>
  </si>
  <si>
    <t>綾</t>
  </si>
  <si>
    <t>リョウ/ リン</t>
  </si>
  <si>
    <t>楞</t>
  </si>
  <si>
    <t>リョウ/ ロウ</t>
  </si>
  <si>
    <t>凌</t>
  </si>
  <si>
    <t>しの・ぐ</t>
  </si>
  <si>
    <t>稜</t>
  </si>
  <si>
    <t>崚</t>
  </si>
  <si>
    <t>黎</t>
  </si>
  <si>
    <t>LÊ</t>
  </si>
  <si>
    <t>黍</t>
  </si>
  <si>
    <t>レイ/ ライ</t>
  </si>
  <si>
    <t>梨</t>
  </si>
  <si>
    <t>なし</t>
  </si>
  <si>
    <t>礼</t>
  </si>
  <si>
    <t>LỄ</t>
  </si>
  <si>
    <t>ライ/ レイ</t>
  </si>
  <si>
    <t>涙</t>
  </si>
  <si>
    <t>LỆ</t>
  </si>
  <si>
    <t>ルイ</t>
  </si>
  <si>
    <t>なみだ</t>
  </si>
  <si>
    <t>隷</t>
  </si>
  <si>
    <t>隶</t>
  </si>
  <si>
    <t>麗</t>
  </si>
  <si>
    <t>うるわ・しい、うら・らか</t>
  </si>
  <si>
    <t>戻</t>
  </si>
  <si>
    <t>もど・る</t>
  </si>
  <si>
    <t>励</t>
  </si>
  <si>
    <t>はげ・ます</t>
  </si>
  <si>
    <t>捩</t>
  </si>
  <si>
    <t>レイ/ レツ</t>
  </si>
  <si>
    <t>ねじ・る</t>
  </si>
  <si>
    <t>癧</t>
  </si>
  <si>
    <t>レキ</t>
  </si>
  <si>
    <t>癘</t>
  </si>
  <si>
    <t>儷</t>
  </si>
  <si>
    <t>勵</t>
  </si>
  <si>
    <t>唳</t>
  </si>
  <si>
    <t>棣</t>
  </si>
  <si>
    <t>LỆ/ĐẠI/THẾ</t>
  </si>
  <si>
    <t>テイ/ タイ</t>
  </si>
  <si>
    <t>令</t>
  </si>
  <si>
    <t>LỆNH</t>
  </si>
  <si>
    <t>廉</t>
  </si>
  <si>
    <t>LIÊM</t>
  </si>
  <si>
    <t>かど</t>
  </si>
  <si>
    <t>鎌</t>
  </si>
  <si>
    <t>奩</t>
  </si>
  <si>
    <t>簾</t>
  </si>
  <si>
    <t>す、すだれ</t>
  </si>
  <si>
    <t>匳</t>
  </si>
  <si>
    <t>連</t>
  </si>
  <si>
    <t>LIÊN</t>
  </si>
  <si>
    <t>つら・なる、つ・れる</t>
  </si>
  <si>
    <t>竏</t>
  </si>
  <si>
    <t>(liên)</t>
  </si>
  <si>
    <t>キロリットル</t>
  </si>
  <si>
    <t>蓮</t>
  </si>
  <si>
    <t>はす</t>
  </si>
  <si>
    <t>聯</t>
  </si>
  <si>
    <t>嗹</t>
  </si>
  <si>
    <t>僚</t>
  </si>
  <si>
    <t>LIÊU</t>
  </si>
  <si>
    <t>寮</t>
  </si>
  <si>
    <t>遼</t>
  </si>
  <si>
    <t>撩</t>
  </si>
  <si>
    <t>廖</t>
  </si>
  <si>
    <t>寥</t>
  </si>
  <si>
    <t>歛</t>
  </si>
  <si>
    <t>LIỄM</t>
  </si>
  <si>
    <t>斂</t>
  </si>
  <si>
    <t>LIỄM/LIỆM</t>
  </si>
  <si>
    <t>了</t>
  </si>
  <si>
    <t>LIỄU</t>
  </si>
  <si>
    <t>柳</t>
  </si>
  <si>
    <t>やなぎ</t>
  </si>
  <si>
    <t>猟</t>
  </si>
  <si>
    <t>LIỆP</t>
  </si>
  <si>
    <t>烈</t>
  </si>
  <si>
    <t>LIỆT</t>
  </si>
  <si>
    <t>裂</t>
  </si>
  <si>
    <t>レツ</t>
  </si>
  <si>
    <t>さ・ける</t>
  </si>
  <si>
    <t>例</t>
  </si>
  <si>
    <t>たと・え、ためし</t>
  </si>
  <si>
    <t>劣</t>
  </si>
  <si>
    <t>おと・る</t>
  </si>
  <si>
    <t>列</t>
  </si>
  <si>
    <t>つら・なる</t>
  </si>
  <si>
    <t>洌</t>
  </si>
  <si>
    <t>冽</t>
  </si>
  <si>
    <t>埓</t>
  </si>
  <si>
    <t>LIỆT/LẠT</t>
  </si>
  <si>
    <t>ラチ/ ラツ/ レツ</t>
  </si>
  <si>
    <t>埒</t>
  </si>
  <si>
    <t>療</t>
  </si>
  <si>
    <t>LIỆU</t>
  </si>
  <si>
    <t>料</t>
  </si>
  <si>
    <t>鈴</t>
  </si>
  <si>
    <t>LINH</t>
  </si>
  <si>
    <t>リン/ レイ</t>
  </si>
  <si>
    <t>すず</t>
  </si>
  <si>
    <t>零</t>
  </si>
  <si>
    <t>ぜろ</t>
  </si>
  <si>
    <t>霊</t>
  </si>
  <si>
    <t>齢</t>
  </si>
  <si>
    <t>歯</t>
  </si>
  <si>
    <t>よわい</t>
  </si>
  <si>
    <t>伶</t>
  </si>
  <si>
    <t>怜</t>
  </si>
  <si>
    <t>玲</t>
  </si>
  <si>
    <t>櫺</t>
  </si>
  <si>
    <t>蛉</t>
  </si>
  <si>
    <t>齡</t>
  </si>
  <si>
    <t>嶺</t>
  </si>
  <si>
    <r>
      <t>L</t>
    </r>
    <r>
      <rPr>
        <sz val="11"/>
        <rFont val="ＭＳ Ｐゴシック"/>
        <family val="3"/>
        <charset val="128"/>
      </rPr>
      <t>Ĩ</t>
    </r>
    <r>
      <rPr>
        <sz val="11"/>
        <rFont val="Arial"/>
        <family val="2"/>
      </rPr>
      <t>NH</t>
    </r>
  </si>
  <si>
    <t>みね</t>
  </si>
  <si>
    <t>暦</t>
  </si>
  <si>
    <t>LỊCH</t>
  </si>
  <si>
    <t>こよみ</t>
  </si>
  <si>
    <t>歴</t>
  </si>
  <si>
    <t>櫟</t>
  </si>
  <si>
    <t>櫪</t>
  </si>
  <si>
    <t>轢</t>
  </si>
  <si>
    <t>礫</t>
  </si>
  <si>
    <t>螺</t>
  </si>
  <si>
    <t>LOA</t>
  </si>
  <si>
    <t>瘰</t>
  </si>
  <si>
    <t>湾</t>
  </si>
  <si>
    <t>LOAN</t>
  </si>
  <si>
    <t>ワン</t>
  </si>
  <si>
    <t>攣</t>
  </si>
  <si>
    <t>欒</t>
  </si>
  <si>
    <t>鸞</t>
  </si>
  <si>
    <t>灣</t>
  </si>
  <si>
    <t>巒</t>
  </si>
  <si>
    <t>弯</t>
  </si>
  <si>
    <t>彎</t>
  </si>
  <si>
    <t>刷</t>
  </si>
  <si>
    <t>LOÁT</t>
  </si>
  <si>
    <t>サツ</t>
  </si>
  <si>
    <t>す・る、は・く</t>
  </si>
  <si>
    <t>類</t>
  </si>
  <si>
    <t>LOẠI</t>
  </si>
  <si>
    <t>たぐい</t>
  </si>
  <si>
    <t>乱</t>
  </si>
  <si>
    <t>LOẠN</t>
  </si>
  <si>
    <t>みだ・れる</t>
  </si>
  <si>
    <t>亂</t>
  </si>
  <si>
    <t>隆</t>
  </si>
  <si>
    <t>LONG</t>
  </si>
  <si>
    <t>竜</t>
  </si>
  <si>
    <t>リュウ/ リョウ/ ロウ</t>
  </si>
  <si>
    <t>たつ</t>
  </si>
  <si>
    <t>嶐</t>
  </si>
  <si>
    <t>LONG/SỦNG</t>
  </si>
  <si>
    <t>夥</t>
  </si>
  <si>
    <t>LÕA</t>
  </si>
  <si>
    <t>おびただ・しい</t>
  </si>
  <si>
    <t>炉</t>
  </si>
  <si>
    <t>LÔ</t>
  </si>
  <si>
    <t>ロ</t>
  </si>
  <si>
    <t>櫨</t>
  </si>
  <si>
    <t>はぜ</t>
  </si>
  <si>
    <t>蘆</t>
  </si>
  <si>
    <t>瀘</t>
  </si>
  <si>
    <t>鑢</t>
  </si>
  <si>
    <t>リョ/ ロ</t>
  </si>
  <si>
    <t>やすり</t>
  </si>
  <si>
    <t>雷</t>
  </si>
  <si>
    <t>LÔI</t>
  </si>
  <si>
    <t>かみなり、いかずち</t>
  </si>
  <si>
    <t>擂</t>
  </si>
  <si>
    <t>虜</t>
  </si>
  <si>
    <t>LỖ</t>
  </si>
  <si>
    <t>リョ</t>
  </si>
  <si>
    <t>とりこ</t>
  </si>
  <si>
    <t>櫓</t>
  </si>
  <si>
    <t>やぐら</t>
  </si>
  <si>
    <t>鹵</t>
  </si>
  <si>
    <t>儡</t>
  </si>
  <si>
    <t>LỖI</t>
  </si>
  <si>
    <t>路</t>
  </si>
  <si>
    <t>LỘ</t>
  </si>
  <si>
    <t>じ、みち</t>
  </si>
  <si>
    <t>露</t>
  </si>
  <si>
    <t>つゆ</t>
  </si>
  <si>
    <t>蕗</t>
  </si>
  <si>
    <t>ふき</t>
  </si>
  <si>
    <t>鷺</t>
  </si>
  <si>
    <t>さぎ</t>
  </si>
  <si>
    <t>禄</t>
  </si>
  <si>
    <t>LỘC</t>
  </si>
  <si>
    <t>ロク</t>
  </si>
  <si>
    <t>しか</t>
  </si>
  <si>
    <t>麓</t>
  </si>
  <si>
    <t>ふもと</t>
  </si>
  <si>
    <t>哢</t>
  </si>
  <si>
    <t>LỘNG</t>
  </si>
  <si>
    <t>弄</t>
  </si>
  <si>
    <t>もてあそ・ぶ</t>
  </si>
  <si>
    <t>利</t>
  </si>
  <si>
    <t>LỢI</t>
  </si>
  <si>
    <t>き・く、とし</t>
  </si>
  <si>
    <t>悧</t>
  </si>
  <si>
    <t>俐</t>
  </si>
  <si>
    <t>輪</t>
  </si>
  <si>
    <t>LUÂN</t>
  </si>
  <si>
    <t>わ</t>
  </si>
  <si>
    <t>倫</t>
  </si>
  <si>
    <t>侖</t>
  </si>
  <si>
    <t>ロン</t>
  </si>
  <si>
    <t>崘</t>
  </si>
  <si>
    <t>崙</t>
  </si>
  <si>
    <t>論</t>
  </si>
  <si>
    <t>LUẬN</t>
  </si>
  <si>
    <t>あげつら・う</t>
  </si>
  <si>
    <t>律</t>
  </si>
  <si>
    <t>LUẬT</t>
  </si>
  <si>
    <t>リチ/ リツ</t>
  </si>
  <si>
    <t>瓏</t>
  </si>
  <si>
    <t>LUNG</t>
  </si>
  <si>
    <t>聾</t>
  </si>
  <si>
    <t>籠</t>
  </si>
  <si>
    <t>かご、こもる</t>
  </si>
  <si>
    <t>羸</t>
  </si>
  <si>
    <t>LUY</t>
  </si>
  <si>
    <t>恋</t>
  </si>
  <si>
    <t>LUYẾN</t>
  </si>
  <si>
    <t>こい、こ・う</t>
  </si>
  <si>
    <t>戀</t>
  </si>
  <si>
    <t>練</t>
  </si>
  <si>
    <t>LUYỆN</t>
  </si>
  <si>
    <t>ね・る</t>
  </si>
  <si>
    <t>錬</t>
  </si>
  <si>
    <t>楝</t>
  </si>
  <si>
    <t>煉</t>
  </si>
  <si>
    <t>屡</t>
  </si>
  <si>
    <r>
      <t>L</t>
    </r>
    <r>
      <rPr>
        <sz val="11"/>
        <rFont val="ＭＳ Ｐゴシック"/>
        <family val="3"/>
        <charset val="128"/>
      </rPr>
      <t>Ũ</t>
    </r>
  </si>
  <si>
    <t>ル</t>
  </si>
  <si>
    <t>しばしば</t>
  </si>
  <si>
    <t>壟</t>
  </si>
  <si>
    <r>
      <t>L</t>
    </r>
    <r>
      <rPr>
        <sz val="11"/>
        <rFont val="ＭＳ Ｐゴシック"/>
        <family val="3"/>
        <charset val="128"/>
      </rPr>
      <t>Ũ</t>
    </r>
    <r>
      <rPr>
        <sz val="11"/>
        <rFont val="Arial"/>
        <family val="2"/>
      </rPr>
      <t>NG</t>
    </r>
  </si>
  <si>
    <t>ロウ/ リョウ</t>
  </si>
  <si>
    <t>累</t>
  </si>
  <si>
    <r>
      <t>L</t>
    </r>
    <r>
      <rPr>
        <sz val="11"/>
        <rFont val="ＭＳ Ｐゴシック"/>
        <family val="3"/>
        <charset val="128"/>
      </rPr>
      <t>Ũ</t>
    </r>
    <r>
      <rPr>
        <sz val="11"/>
        <rFont val="Arial"/>
        <family val="2"/>
      </rPr>
      <t>Y</t>
    </r>
  </si>
  <si>
    <t>塁</t>
  </si>
  <si>
    <t>六</t>
  </si>
  <si>
    <t>LỤC</t>
  </si>
  <si>
    <t>ロク/ リク</t>
  </si>
  <si>
    <t>む・つ</t>
  </si>
  <si>
    <t>緑</t>
  </si>
  <si>
    <t>リョク/ ロク</t>
  </si>
  <si>
    <t>みどり</t>
  </si>
  <si>
    <t>録</t>
  </si>
  <si>
    <t>陸</t>
  </si>
  <si>
    <t>リク</t>
  </si>
  <si>
    <t>戮</t>
  </si>
  <si>
    <t>勠</t>
  </si>
  <si>
    <t>枦</t>
  </si>
  <si>
    <t>LƯ</t>
  </si>
  <si>
    <t>櫚</t>
  </si>
  <si>
    <t>驢</t>
  </si>
  <si>
    <t>顱</t>
  </si>
  <si>
    <t>廬</t>
  </si>
  <si>
    <t>涼</t>
  </si>
  <si>
    <t>LƯƠNG</t>
  </si>
  <si>
    <t>すず・しい</t>
  </si>
  <si>
    <t>良</t>
  </si>
  <si>
    <t>艮</t>
  </si>
  <si>
    <t>よ・い</t>
  </si>
  <si>
    <t>梁</t>
  </si>
  <si>
    <t>はり、やな</t>
  </si>
  <si>
    <t>凉</t>
  </si>
  <si>
    <t>倆</t>
  </si>
  <si>
    <t>LƯỠNG</t>
  </si>
  <si>
    <t>両</t>
  </si>
  <si>
    <t>LƯỠNG/LƯỢNG</t>
  </si>
  <si>
    <t>兩</t>
  </si>
  <si>
    <t>略</t>
  </si>
  <si>
    <t>LƯỢC</t>
  </si>
  <si>
    <t>リャク</t>
  </si>
  <si>
    <t>掠</t>
  </si>
  <si>
    <t>かす・める</t>
  </si>
  <si>
    <t>糧</t>
  </si>
  <si>
    <t>LƯỢNG</t>
  </si>
  <si>
    <t>かて</t>
  </si>
  <si>
    <t>量</t>
  </si>
  <si>
    <t>かさ</t>
  </si>
  <si>
    <t>諒</t>
  </si>
  <si>
    <t>亮</t>
  </si>
  <si>
    <t>魎</t>
  </si>
  <si>
    <t>喨</t>
  </si>
  <si>
    <t>流</t>
  </si>
  <si>
    <t>LƯU</t>
  </si>
  <si>
    <t>リュウ/ ル</t>
  </si>
  <si>
    <t>なが・す</t>
  </si>
  <si>
    <t>留</t>
  </si>
  <si>
    <t>硫</t>
  </si>
  <si>
    <t>劉</t>
  </si>
  <si>
    <t>瑠</t>
  </si>
  <si>
    <t>旒</t>
  </si>
  <si>
    <t>琉</t>
  </si>
  <si>
    <t>嚠</t>
  </si>
  <si>
    <t>旅</t>
  </si>
  <si>
    <t>LỮ</t>
  </si>
  <si>
    <t>呂</t>
  </si>
  <si>
    <t>梠</t>
  </si>
  <si>
    <t>侶</t>
  </si>
  <si>
    <t>慮</t>
  </si>
  <si>
    <t>LỰ</t>
  </si>
  <si>
    <t>おもんぱか・る</t>
  </si>
  <si>
    <t>濾</t>
  </si>
  <si>
    <t>こ・す</t>
  </si>
  <si>
    <t>LỰC</t>
  </si>
  <si>
    <t>リキ/ リョク</t>
  </si>
  <si>
    <t>ちから</t>
  </si>
  <si>
    <t>溜</t>
  </si>
  <si>
    <t>LỰU</t>
  </si>
  <si>
    <t>ため、た・める</t>
  </si>
  <si>
    <t>榴</t>
  </si>
  <si>
    <t>瘤</t>
  </si>
  <si>
    <t>こぶ</t>
  </si>
  <si>
    <t>離</t>
  </si>
  <si>
    <t>LY</t>
  </si>
  <si>
    <t>はな・れる</t>
  </si>
  <si>
    <t>竰</t>
  </si>
  <si>
    <t>(ly)</t>
  </si>
  <si>
    <t>センチリットル</t>
  </si>
  <si>
    <t>璃</t>
  </si>
  <si>
    <t>罹</t>
  </si>
  <si>
    <t>かか・る</t>
  </si>
  <si>
    <t>狸</t>
  </si>
  <si>
    <t>たぬき</t>
  </si>
  <si>
    <t>釐</t>
  </si>
  <si>
    <t>LY/HY</t>
  </si>
  <si>
    <t>厘</t>
  </si>
  <si>
    <t>LY/LI</t>
  </si>
  <si>
    <t>籬</t>
  </si>
  <si>
    <t>漓</t>
  </si>
  <si>
    <t>理</t>
  </si>
  <si>
    <t>LÝ</t>
  </si>
  <si>
    <t>裏</t>
  </si>
  <si>
    <t>うら</t>
  </si>
  <si>
    <t>さと</t>
  </si>
  <si>
    <t>履</t>
  </si>
  <si>
    <t>は・く</t>
  </si>
  <si>
    <t>鯉</t>
  </si>
  <si>
    <t>こい</t>
  </si>
  <si>
    <t>李</t>
  </si>
  <si>
    <t>俚</t>
  </si>
  <si>
    <t>哩</t>
  </si>
  <si>
    <t>裡</t>
  </si>
  <si>
    <t>浬</t>
  </si>
  <si>
    <t>LÝ/LÍ</t>
  </si>
  <si>
    <t>かいり</t>
  </si>
  <si>
    <t>痢</t>
  </si>
  <si>
    <t>LỴ</t>
  </si>
  <si>
    <t>莉</t>
  </si>
  <si>
    <t>リ/ レイ</t>
  </si>
  <si>
    <t>蜊</t>
  </si>
  <si>
    <t>LỴ/LỊ</t>
  </si>
  <si>
    <t>鯏</t>
  </si>
  <si>
    <t>うぐい</t>
  </si>
  <si>
    <t>詈</t>
  </si>
  <si>
    <t>麻</t>
  </si>
  <si>
    <t>MA</t>
  </si>
  <si>
    <t>マ</t>
  </si>
  <si>
    <t>あさ</t>
  </si>
  <si>
    <t>摩</t>
  </si>
  <si>
    <t>磨</t>
  </si>
  <si>
    <t>みが・く、と・ぐ</t>
  </si>
  <si>
    <t>魔</t>
  </si>
  <si>
    <t>麿</t>
  </si>
  <si>
    <t>まろ</t>
  </si>
  <si>
    <t>痲</t>
  </si>
  <si>
    <t>マ/ バ</t>
  </si>
  <si>
    <t>嘛</t>
  </si>
  <si>
    <t>埋</t>
  </si>
  <si>
    <t>MAI</t>
  </si>
  <si>
    <t>マイ</t>
  </si>
  <si>
    <t>う・める</t>
  </si>
  <si>
    <t>枚</t>
  </si>
  <si>
    <t>マイ/ バイ</t>
  </si>
  <si>
    <t>梅</t>
  </si>
  <si>
    <t>うめ</t>
  </si>
  <si>
    <t>蛮</t>
  </si>
  <si>
    <t>MAN</t>
  </si>
  <si>
    <t>バン</t>
  </si>
  <si>
    <t>曼</t>
  </si>
  <si>
    <t>マン</t>
  </si>
  <si>
    <t>鰻</t>
  </si>
  <si>
    <t>マン/ バン</t>
  </si>
  <si>
    <t>うなぎ</t>
  </si>
  <si>
    <t>忙</t>
  </si>
  <si>
    <t>MANG</t>
  </si>
  <si>
    <t>ボウ/ モウ</t>
  </si>
  <si>
    <t>いそが・しい</t>
  </si>
  <si>
    <t>茫</t>
  </si>
  <si>
    <t>厖</t>
  </si>
  <si>
    <t>尨</t>
  </si>
  <si>
    <t>MANG/MÔNG</t>
  </si>
  <si>
    <t>尢</t>
  </si>
  <si>
    <t>盲</t>
  </si>
  <si>
    <t>MANH</t>
  </si>
  <si>
    <t>モウ</t>
  </si>
  <si>
    <t>めくら</t>
  </si>
  <si>
    <t>萌</t>
  </si>
  <si>
    <t>も・える、きざ・し</t>
  </si>
  <si>
    <t>氓</t>
  </si>
  <si>
    <t>MAO</t>
  </si>
  <si>
    <t>モウ/ ボウ</t>
  </si>
  <si>
    <t>け</t>
  </si>
  <si>
    <t>粍</t>
  </si>
  <si>
    <t>(mao)</t>
  </si>
  <si>
    <t>ミリメートル</t>
  </si>
  <si>
    <t>旄</t>
  </si>
  <si>
    <t>茅</t>
  </si>
  <si>
    <t>かや</t>
  </si>
  <si>
    <t>媽</t>
  </si>
  <si>
    <t>MÁ</t>
  </si>
  <si>
    <t>ボ/ モ</t>
  </si>
  <si>
    <t>粨</t>
  </si>
  <si>
    <t>(mách)</t>
  </si>
  <si>
    <t>ヘクトメートル</t>
  </si>
  <si>
    <t>MÃ</t>
  </si>
  <si>
    <t>バ/ マ/ メ</t>
  </si>
  <si>
    <t>うま、ま</t>
  </si>
  <si>
    <t>買</t>
  </si>
  <si>
    <t>MÃI</t>
  </si>
  <si>
    <t>か・う</t>
  </si>
  <si>
    <t>満</t>
  </si>
  <si>
    <t>MÃN</t>
  </si>
  <si>
    <t>み・たす、み・ちる</t>
  </si>
  <si>
    <t>蟒</t>
  </si>
  <si>
    <t>MÃNG</t>
  </si>
  <si>
    <t>猛</t>
  </si>
  <si>
    <t>MÃNH</t>
  </si>
  <si>
    <t>たけし、</t>
  </si>
  <si>
    <t>ベイ/ ミョウ</t>
  </si>
  <si>
    <t>さら</t>
  </si>
  <si>
    <t>黽</t>
  </si>
  <si>
    <t>MÃNH/MẪN</t>
  </si>
  <si>
    <t>ビン/ ベン/ ボウ</t>
  </si>
  <si>
    <t>卯</t>
  </si>
  <si>
    <t>MÃO</t>
  </si>
  <si>
    <t>う</t>
  </si>
  <si>
    <t>昴</t>
  </si>
  <si>
    <t>すばる</t>
  </si>
  <si>
    <t>夘</t>
  </si>
  <si>
    <t>罵</t>
  </si>
  <si>
    <t>MẠ</t>
  </si>
  <si>
    <t>ののし・る</t>
  </si>
  <si>
    <t>漠</t>
  </si>
  <si>
    <t>MẠC</t>
  </si>
  <si>
    <t>幕</t>
  </si>
  <si>
    <t>バク/ マク</t>
  </si>
  <si>
    <t>寞</t>
  </si>
  <si>
    <t>脈</t>
  </si>
  <si>
    <t>MẠCH</t>
  </si>
  <si>
    <t>ミャク</t>
  </si>
  <si>
    <t>麦</t>
  </si>
  <si>
    <t>むぎ</t>
  </si>
  <si>
    <t>売</t>
  </si>
  <si>
    <t>MẠI</t>
  </si>
  <si>
    <t>う・る</t>
  </si>
  <si>
    <t>邁</t>
  </si>
  <si>
    <t>賣</t>
  </si>
  <si>
    <t>慢</t>
  </si>
  <si>
    <t>MẠN</t>
  </si>
  <si>
    <t>マン/ バン/ メン</t>
  </si>
  <si>
    <t>蔓</t>
  </si>
  <si>
    <t>バン/ マン</t>
  </si>
  <si>
    <t>幔</t>
  </si>
  <si>
    <t>漫</t>
  </si>
  <si>
    <t>MẠN/MAN</t>
  </si>
  <si>
    <t>孟</t>
  </si>
  <si>
    <t>MẠNH</t>
  </si>
  <si>
    <t>帽</t>
  </si>
  <si>
    <t>MẠO</t>
  </si>
  <si>
    <t>貌</t>
  </si>
  <si>
    <t>ボウ/ ミョウ</t>
  </si>
  <si>
    <t>耄</t>
  </si>
  <si>
    <t>冒</t>
  </si>
  <si>
    <t>MẠO/MẶC</t>
  </si>
  <si>
    <t>おか・す</t>
  </si>
  <si>
    <t>抹</t>
  </si>
  <si>
    <t>MẠT</t>
  </si>
  <si>
    <t>マツ/ バツ</t>
  </si>
  <si>
    <t>末</t>
  </si>
  <si>
    <t>茉</t>
  </si>
  <si>
    <t>沫</t>
  </si>
  <si>
    <t>あわ</t>
  </si>
  <si>
    <t>岷</t>
  </si>
  <si>
    <t>MÂN</t>
  </si>
  <si>
    <t>ビン/ ミン</t>
  </si>
  <si>
    <t>矛</t>
  </si>
  <si>
    <t>MÂU</t>
  </si>
  <si>
    <t>ム/ ボウ</t>
  </si>
  <si>
    <t>ほこ</t>
  </si>
  <si>
    <t>眸</t>
  </si>
  <si>
    <t>牟</t>
  </si>
  <si>
    <t>ボウ/ ム</t>
  </si>
  <si>
    <t>敏</t>
  </si>
  <si>
    <t>MẪN</t>
  </si>
  <si>
    <t>ビン</t>
  </si>
  <si>
    <t>さと・い</t>
  </si>
  <si>
    <t>旻</t>
  </si>
  <si>
    <t>愍</t>
  </si>
  <si>
    <t>憫</t>
  </si>
  <si>
    <t>泯</t>
  </si>
  <si>
    <t>MẪN/DÂN/MIẾN</t>
  </si>
  <si>
    <t>母</t>
  </si>
  <si>
    <t>MẪU</t>
  </si>
  <si>
    <t>ボ/ ボウ/ ム</t>
  </si>
  <si>
    <t>はは</t>
  </si>
  <si>
    <t>畝</t>
  </si>
  <si>
    <t>ホ/ ボウ</t>
  </si>
  <si>
    <t>せ、うね</t>
  </si>
  <si>
    <t>牡</t>
  </si>
  <si>
    <t>ボウ/ ボ</t>
  </si>
  <si>
    <t>おす</t>
  </si>
  <si>
    <t>拇</t>
  </si>
  <si>
    <t>ボ/ ボウ</t>
  </si>
  <si>
    <t>姆</t>
  </si>
  <si>
    <t>ボ</t>
  </si>
  <si>
    <t>籵</t>
  </si>
  <si>
    <t>(mập)</t>
  </si>
  <si>
    <t>デカメートル</t>
  </si>
  <si>
    <t>密</t>
  </si>
  <si>
    <t>MẬT</t>
  </si>
  <si>
    <t>ミツ</t>
  </si>
  <si>
    <t>ひそ・か</t>
  </si>
  <si>
    <t>蜜</t>
  </si>
  <si>
    <t>茂</t>
  </si>
  <si>
    <t>MẬU</t>
  </si>
  <si>
    <t>モ/ ボウ</t>
  </si>
  <si>
    <t>しげ・る</t>
  </si>
  <si>
    <t>貿</t>
  </si>
  <si>
    <t>戊</t>
  </si>
  <si>
    <t>つちのえ</t>
  </si>
  <si>
    <t>懋</t>
  </si>
  <si>
    <t>袤</t>
  </si>
  <si>
    <t>楙</t>
  </si>
  <si>
    <t>黙</t>
  </si>
  <si>
    <t>MẶC</t>
  </si>
  <si>
    <t>モク/ ボク</t>
  </si>
  <si>
    <t>だま・る</t>
  </si>
  <si>
    <t>墨</t>
  </si>
  <si>
    <t>すみ</t>
  </si>
  <si>
    <t>默</t>
  </si>
  <si>
    <t>迷</t>
  </si>
  <si>
    <t>MÊ</t>
  </si>
  <si>
    <t>メイ</t>
  </si>
  <si>
    <t>まよ・う</t>
  </si>
  <si>
    <t>謎</t>
  </si>
  <si>
    <t>なぞ</t>
  </si>
  <si>
    <t>〆</t>
  </si>
  <si>
    <t>(mê)</t>
  </si>
  <si>
    <t>MỄ</t>
  </si>
  <si>
    <t>ベイ/ マイ</t>
  </si>
  <si>
    <t>こめ</t>
  </si>
  <si>
    <t>命</t>
  </si>
  <si>
    <t>MỆNH</t>
  </si>
  <si>
    <t>ミョウ/ メイ</t>
  </si>
  <si>
    <t>いのち</t>
  </si>
  <si>
    <t>眉</t>
  </si>
  <si>
    <t>MI</t>
  </si>
  <si>
    <t>嵋</t>
  </si>
  <si>
    <t>麼</t>
  </si>
  <si>
    <t>モ/ バ</t>
  </si>
  <si>
    <t>麋</t>
  </si>
  <si>
    <t>おおじか</t>
  </si>
  <si>
    <t>眠</t>
  </si>
  <si>
    <t>MIÊN</t>
  </si>
  <si>
    <t>ミン/ ベン/ メン</t>
  </si>
  <si>
    <t>ねむ・る</t>
  </si>
  <si>
    <t>綿</t>
  </si>
  <si>
    <t>わた</t>
  </si>
  <si>
    <t>粁</t>
  </si>
  <si>
    <t>(miên)</t>
  </si>
  <si>
    <t>キロメートル</t>
  </si>
  <si>
    <t>棉</t>
  </si>
  <si>
    <t>ベン/ メン</t>
  </si>
  <si>
    <t>猫</t>
  </si>
  <si>
    <t>MIÊU</t>
  </si>
  <si>
    <t>ビョウ/ ミョウ</t>
  </si>
  <si>
    <t>ねこ</t>
  </si>
  <si>
    <t>苗</t>
  </si>
  <si>
    <t>なえ</t>
  </si>
  <si>
    <t>描</t>
  </si>
  <si>
    <t>錨</t>
  </si>
  <si>
    <t>いかり</t>
  </si>
  <si>
    <t>麺</t>
  </si>
  <si>
    <t>MIẾN</t>
  </si>
  <si>
    <t>麥</t>
  </si>
  <si>
    <t>緬</t>
  </si>
  <si>
    <t>鼈</t>
  </si>
  <si>
    <t>MIẾT</t>
  </si>
  <si>
    <t>すっぽん</t>
  </si>
  <si>
    <t>廟</t>
  </si>
  <si>
    <t>MIẾU</t>
  </si>
  <si>
    <t>秒</t>
  </si>
  <si>
    <t>MIỂU</t>
  </si>
  <si>
    <t>杪</t>
  </si>
  <si>
    <t>勉</t>
  </si>
  <si>
    <t>MIỄN</t>
  </si>
  <si>
    <t>免</t>
  </si>
  <si>
    <t>メン</t>
  </si>
  <si>
    <t>まぬか・れる</t>
  </si>
  <si>
    <t>俛</t>
  </si>
  <si>
    <t>娩</t>
  </si>
  <si>
    <t>冕</t>
  </si>
  <si>
    <t>MIỆN</t>
  </si>
  <si>
    <t>盟</t>
  </si>
  <si>
    <t>MINH</t>
  </si>
  <si>
    <t>銘</t>
  </si>
  <si>
    <t>鳴</t>
  </si>
  <si>
    <t>明</t>
  </si>
  <si>
    <t>あか・るい、あき・らか</t>
  </si>
  <si>
    <t>暝</t>
  </si>
  <si>
    <t>螟</t>
  </si>
  <si>
    <t>ベイ/ ミョウ/ メイ</t>
  </si>
  <si>
    <t>冥</t>
  </si>
  <si>
    <t>魅</t>
  </si>
  <si>
    <t>MỊ</t>
  </si>
  <si>
    <t>ミ</t>
  </si>
  <si>
    <t>み・する</t>
  </si>
  <si>
    <t>黴</t>
  </si>
  <si>
    <t>かび</t>
  </si>
  <si>
    <t>靡</t>
  </si>
  <si>
    <t>非</t>
  </si>
  <si>
    <t>なび・く</t>
  </si>
  <si>
    <t>媚</t>
  </si>
  <si>
    <t>こ・びる</t>
  </si>
  <si>
    <t>寐</t>
  </si>
  <si>
    <t>MỊCH</t>
  </si>
  <si>
    <t>いと</t>
  </si>
  <si>
    <t>ベキ</t>
  </si>
  <si>
    <t>冪</t>
  </si>
  <si>
    <t>汨</t>
  </si>
  <si>
    <t>MỊCH/CỐT</t>
  </si>
  <si>
    <t>ベキ/ ゴ</t>
  </si>
  <si>
    <t>膜</t>
  </si>
  <si>
    <t>MÔ</t>
  </si>
  <si>
    <t>マク/ バク</t>
  </si>
  <si>
    <t>模</t>
  </si>
  <si>
    <t>モ/ ボ</t>
  </si>
  <si>
    <t>蟇</t>
  </si>
  <si>
    <t>バ/ マ</t>
  </si>
  <si>
    <t>蟆</t>
  </si>
  <si>
    <t>摸</t>
  </si>
  <si>
    <t>バク/ ボ/ マク/ モ</t>
  </si>
  <si>
    <t>媒</t>
  </si>
  <si>
    <t>MÔI</t>
  </si>
  <si>
    <t>MÔN</t>
  </si>
  <si>
    <t>モン</t>
  </si>
  <si>
    <t>捫</t>
  </si>
  <si>
    <t>們</t>
  </si>
  <si>
    <t>曚</t>
  </si>
  <si>
    <t>MÔNG</t>
  </si>
  <si>
    <t>蒙</t>
  </si>
  <si>
    <t>檬</t>
  </si>
  <si>
    <t>某</t>
  </si>
  <si>
    <t>MỖ</t>
  </si>
  <si>
    <t>なにがし、それがし</t>
  </si>
  <si>
    <t>毎</t>
  </si>
  <si>
    <t>MỖI</t>
  </si>
  <si>
    <t>ごと</t>
  </si>
  <si>
    <t>募</t>
  </si>
  <si>
    <t>MỘ</t>
  </si>
  <si>
    <t>つの・る</t>
  </si>
  <si>
    <t>墓</t>
  </si>
  <si>
    <t>はか</t>
  </si>
  <si>
    <t>慕</t>
  </si>
  <si>
    <t>した・う</t>
  </si>
  <si>
    <t>暮</t>
  </si>
  <si>
    <t>くれ、く・れる</t>
  </si>
  <si>
    <t>MỘC</t>
  </si>
  <si>
    <t>ボク/ モク</t>
  </si>
  <si>
    <t>杢</t>
  </si>
  <si>
    <t>もく</t>
  </si>
  <si>
    <t>沐</t>
  </si>
  <si>
    <t>夢</t>
  </si>
  <si>
    <t>MỘNG</t>
  </si>
  <si>
    <t>ム</t>
  </si>
  <si>
    <t>ゆめ</t>
  </si>
  <si>
    <t>梦</t>
  </si>
  <si>
    <t>ホウ/ ム</t>
  </si>
  <si>
    <t>儚</t>
  </si>
  <si>
    <t>はかな・い</t>
  </si>
  <si>
    <t>没</t>
  </si>
  <si>
    <t>MỘT</t>
  </si>
  <si>
    <t>ボツ/ モツ</t>
  </si>
  <si>
    <t>歿</t>
  </si>
  <si>
    <t>沒</t>
  </si>
  <si>
    <t>妹</t>
  </si>
  <si>
    <t>MUỘI</t>
  </si>
  <si>
    <t>いもうと</t>
  </si>
  <si>
    <t>昧</t>
  </si>
  <si>
    <t>悶</t>
  </si>
  <si>
    <t>MUỘN</t>
  </si>
  <si>
    <t>ボン/ モン</t>
  </si>
  <si>
    <t>もだ・える</t>
  </si>
  <si>
    <t>懣</t>
  </si>
  <si>
    <t>バン/ ボン</t>
  </si>
  <si>
    <t>匂</t>
  </si>
  <si>
    <t>(mùi)</t>
  </si>
  <si>
    <t>にお・い</t>
  </si>
  <si>
    <t>姥</t>
  </si>
  <si>
    <t>MỤ</t>
  </si>
  <si>
    <t>うば</t>
  </si>
  <si>
    <t>牧</t>
  </si>
  <si>
    <t>MỤC</t>
  </si>
  <si>
    <t>まき</t>
  </si>
  <si>
    <t>め</t>
  </si>
  <si>
    <t>睦</t>
  </si>
  <si>
    <t>むつ・む、むつ・まじい</t>
  </si>
  <si>
    <t>謀</t>
  </si>
  <si>
    <t>MƯU</t>
  </si>
  <si>
    <t>美</t>
  </si>
  <si>
    <t>MỸ</t>
  </si>
  <si>
    <t>うつく・しい</t>
  </si>
  <si>
    <t>那</t>
  </si>
  <si>
    <t>NA</t>
  </si>
  <si>
    <t>ナ/ ダ</t>
  </si>
  <si>
    <t>梛</t>
  </si>
  <si>
    <t>儺</t>
  </si>
  <si>
    <t>娜</t>
  </si>
  <si>
    <t>ダ/ ナ</t>
  </si>
  <si>
    <t>男</t>
  </si>
  <si>
    <t>NAM</t>
  </si>
  <si>
    <t>ダン・ナン</t>
  </si>
  <si>
    <t>おとこ</t>
  </si>
  <si>
    <t>南</t>
  </si>
  <si>
    <t>ナ/ ナン</t>
  </si>
  <si>
    <t>みなみ</t>
  </si>
  <si>
    <t>喃</t>
  </si>
  <si>
    <t>ナン</t>
  </si>
  <si>
    <t>のう</t>
  </si>
  <si>
    <t>楠</t>
  </si>
  <si>
    <t>ナン/ ダン</t>
  </si>
  <si>
    <t>くすのき</t>
  </si>
  <si>
    <t>娚</t>
  </si>
  <si>
    <t>嚢</t>
  </si>
  <si>
    <t>NANG</t>
  </si>
  <si>
    <t>ノウ</t>
  </si>
  <si>
    <t>呶</t>
  </si>
  <si>
    <t>NAO</t>
  </si>
  <si>
    <t>ド/ トウ/ ニョウ</t>
  </si>
  <si>
    <t>捏</t>
  </si>
  <si>
    <t>NÁT</t>
  </si>
  <si>
    <t>ネツ/ デツ</t>
  </si>
  <si>
    <t>拏</t>
  </si>
  <si>
    <t>NÃ</t>
  </si>
  <si>
    <t>拿</t>
  </si>
  <si>
    <t>廼</t>
  </si>
  <si>
    <t>NÃI</t>
  </si>
  <si>
    <t>ダイ/ ナイ</t>
  </si>
  <si>
    <t>迺</t>
  </si>
  <si>
    <t>乃</t>
  </si>
  <si>
    <t>NÃI/ÁI</t>
  </si>
  <si>
    <t>脳</t>
  </si>
  <si>
    <t>NÃO</t>
  </si>
  <si>
    <t>悩</t>
  </si>
  <si>
    <t>なや・む</t>
  </si>
  <si>
    <t>惱</t>
  </si>
  <si>
    <t>耐</t>
  </si>
  <si>
    <t>NẠI</t>
  </si>
  <si>
    <t>而</t>
  </si>
  <si>
    <t>た・える</t>
  </si>
  <si>
    <t>奈</t>
  </si>
  <si>
    <t>ナ/ ダイ</t>
  </si>
  <si>
    <t>捺</t>
  </si>
  <si>
    <t>ナツ</t>
  </si>
  <si>
    <t>難</t>
  </si>
  <si>
    <t>NẠN/NAN</t>
  </si>
  <si>
    <t>ナン/ ダン/ ダ</t>
  </si>
  <si>
    <t>かた・い、むずか・しい</t>
  </si>
  <si>
    <t>撓</t>
  </si>
  <si>
    <t>NẠO</t>
  </si>
  <si>
    <t>たわ・む</t>
  </si>
  <si>
    <t>納</t>
  </si>
  <si>
    <t>NẠP</t>
  </si>
  <si>
    <t>ノウ/ ナ/ トウ</t>
  </si>
  <si>
    <t>おさ・める</t>
  </si>
  <si>
    <t>能</t>
  </si>
  <si>
    <t>NĂNG</t>
  </si>
  <si>
    <t>よ・く</t>
  </si>
  <si>
    <t>曩</t>
  </si>
  <si>
    <t>NẴNG</t>
  </si>
  <si>
    <t>諾</t>
  </si>
  <si>
    <t>NẶC</t>
  </si>
  <si>
    <t>ダク</t>
  </si>
  <si>
    <t>うべな・う</t>
  </si>
  <si>
    <t>匿</t>
  </si>
  <si>
    <t>かくま・う</t>
  </si>
  <si>
    <t>慝</t>
  </si>
  <si>
    <t>昵</t>
  </si>
  <si>
    <t>ジツ</t>
  </si>
  <si>
    <t>泥</t>
  </si>
  <si>
    <t>NÊ</t>
  </si>
  <si>
    <t>デイ</t>
  </si>
  <si>
    <t>どろ、なず・む</t>
  </si>
  <si>
    <t>嶬</t>
  </si>
  <si>
    <t>NGA</t>
  </si>
  <si>
    <t>俄</t>
  </si>
  <si>
    <t>ガ</t>
  </si>
  <si>
    <t>にわか</t>
  </si>
  <si>
    <t>哦</t>
  </si>
  <si>
    <t>娥</t>
  </si>
  <si>
    <t>峩</t>
  </si>
  <si>
    <t>峨</t>
  </si>
  <si>
    <t>蛾</t>
  </si>
  <si>
    <t>NGA/NGHĨ</t>
  </si>
  <si>
    <t>昮</t>
  </si>
  <si>
    <t>NGANG</t>
  </si>
  <si>
    <t>昂</t>
  </si>
  <si>
    <t>瓱</t>
  </si>
  <si>
    <t>(ngao)</t>
  </si>
  <si>
    <t>ミリグラム</t>
  </si>
  <si>
    <t>鼇</t>
  </si>
  <si>
    <t>NGAO</t>
  </si>
  <si>
    <t>螯</t>
  </si>
  <si>
    <t>嗷</t>
  </si>
  <si>
    <t>敖</t>
  </si>
  <si>
    <t>NGAO/NGẠO</t>
  </si>
  <si>
    <t>瓸</t>
  </si>
  <si>
    <t>(ngách)</t>
  </si>
  <si>
    <t>冴</t>
  </si>
  <si>
    <t>NGÀ</t>
  </si>
  <si>
    <t>さ・える</t>
  </si>
  <si>
    <t>刈</t>
  </si>
  <si>
    <t>NGẢI</t>
  </si>
  <si>
    <t>カイ/ ガイ/ ゲ</t>
  </si>
  <si>
    <t>か・る</t>
  </si>
  <si>
    <t>我</t>
  </si>
  <si>
    <t>NGÃ</t>
  </si>
  <si>
    <t>われ</t>
  </si>
  <si>
    <t>餓</t>
  </si>
  <si>
    <t>NGẠ</t>
  </si>
  <si>
    <t>愕</t>
  </si>
  <si>
    <t>NGẠC</t>
  </si>
  <si>
    <t>鰐</t>
  </si>
  <si>
    <t>わに</t>
  </si>
  <si>
    <t>顎</t>
  </si>
  <si>
    <t>あご</t>
  </si>
  <si>
    <t>齶</t>
  </si>
  <si>
    <t>諤</t>
  </si>
  <si>
    <t>咢</t>
  </si>
  <si>
    <t>額</t>
  </si>
  <si>
    <t>NGẠCH</t>
  </si>
  <si>
    <t>ひたい、ぬか・ずく</t>
  </si>
  <si>
    <t>岸</t>
  </si>
  <si>
    <t>NGẠN</t>
  </si>
  <si>
    <t>きし</t>
  </si>
  <si>
    <t>諺</t>
  </si>
  <si>
    <t>ことわざ</t>
  </si>
  <si>
    <t>彦</t>
  </si>
  <si>
    <t>ひこ</t>
  </si>
  <si>
    <t>偐</t>
  </si>
  <si>
    <t>ガン/ ゲン</t>
  </si>
  <si>
    <t>硬</t>
  </si>
  <si>
    <t>NGẠNH</t>
  </si>
  <si>
    <t>梗</t>
  </si>
  <si>
    <t>傲</t>
  </si>
  <si>
    <t>NGẠO</t>
  </si>
  <si>
    <t>NGẠT/ĐÃI</t>
  </si>
  <si>
    <t>ガツ/ ガチ</t>
  </si>
  <si>
    <t>吟</t>
  </si>
  <si>
    <t>NGÂM</t>
  </si>
  <si>
    <t>ギン</t>
  </si>
  <si>
    <t>銀</t>
  </si>
  <si>
    <t>NGÂN</t>
  </si>
  <si>
    <t>しろがね</t>
  </si>
  <si>
    <t>瓰</t>
  </si>
  <si>
    <t>(ngân)</t>
  </si>
  <si>
    <t>デシグラム</t>
  </si>
  <si>
    <t>痕</t>
  </si>
  <si>
    <t>齦</t>
  </si>
  <si>
    <t>NGÂN/KHẨN</t>
  </si>
  <si>
    <t>ギン/ ゴン</t>
  </si>
  <si>
    <t>垠</t>
  </si>
  <si>
    <t>NGẦN</t>
  </si>
  <si>
    <t>偶</t>
  </si>
  <si>
    <t>NGẪU</t>
  </si>
  <si>
    <t>グウ/ グ/ ゴ</t>
  </si>
  <si>
    <t>憖</t>
  </si>
  <si>
    <t>NGẬN</t>
  </si>
  <si>
    <t>瓧</t>
  </si>
  <si>
    <t>(ngập)</t>
  </si>
  <si>
    <t>デカグラム</t>
  </si>
  <si>
    <t>岌</t>
  </si>
  <si>
    <t>NGẬP</t>
  </si>
  <si>
    <t>屹</t>
  </si>
  <si>
    <t>NGẬT</t>
  </si>
  <si>
    <t>吃</t>
  </si>
  <si>
    <t>NGẬT/CẬT</t>
  </si>
  <si>
    <t>ども・る</t>
  </si>
  <si>
    <t>猊</t>
  </si>
  <si>
    <t>NGHÊ</t>
  </si>
  <si>
    <t>倪</t>
  </si>
  <si>
    <t>迎</t>
  </si>
  <si>
    <t>NGHÊNH/NGHINH</t>
  </si>
  <si>
    <t>むか・える</t>
  </si>
  <si>
    <t>芸</t>
  </si>
  <si>
    <t>NGHỆ</t>
  </si>
  <si>
    <t>乂</t>
  </si>
  <si>
    <t>囈</t>
  </si>
  <si>
    <t>詣</t>
  </si>
  <si>
    <t>もう・でる</t>
  </si>
  <si>
    <t>儀</t>
  </si>
  <si>
    <t>NGHI</t>
  </si>
  <si>
    <t>疑</t>
  </si>
  <si>
    <t>疋</t>
  </si>
  <si>
    <t>うたが・う</t>
  </si>
  <si>
    <t>宜</t>
  </si>
  <si>
    <t>よろ・しい</t>
  </si>
  <si>
    <t>嶷</t>
  </si>
  <si>
    <t>ギ/ ギョウ</t>
  </si>
  <si>
    <t>沂</t>
  </si>
  <si>
    <t>NGHI/NGÂN</t>
  </si>
  <si>
    <t>厳</t>
  </si>
  <si>
    <t>NGHIÊM</t>
  </si>
  <si>
    <t>ゲン/ ゴン</t>
  </si>
  <si>
    <t>おごそ・か、きび・しい、いかめ・しい、いか・つい</t>
  </si>
  <si>
    <t>嚴</t>
  </si>
  <si>
    <t>研</t>
  </si>
  <si>
    <t>NGHIÊN</t>
  </si>
  <si>
    <t>と・ぐ</t>
  </si>
  <si>
    <t>瓩</t>
  </si>
  <si>
    <t>(nghiên)</t>
  </si>
  <si>
    <t>キログラム</t>
  </si>
  <si>
    <t>妍</t>
  </si>
  <si>
    <t>尭</t>
  </si>
  <si>
    <t>NGHIÊU</t>
  </si>
  <si>
    <t>たかし（名前）</t>
  </si>
  <si>
    <t>僥</t>
  </si>
  <si>
    <t>堯</t>
  </si>
  <si>
    <t>嶢</t>
  </si>
  <si>
    <t>儼</t>
  </si>
  <si>
    <t>NGHIỄM</t>
  </si>
  <si>
    <t>験</t>
  </si>
  <si>
    <t>NGHIỆM</t>
  </si>
  <si>
    <t>ため・す、しるし、げん</t>
  </si>
  <si>
    <t>業</t>
  </si>
  <si>
    <t>NGHIỆP</t>
  </si>
  <si>
    <t>ギョウ/ ゴウ</t>
  </si>
  <si>
    <t>擬</t>
  </si>
  <si>
    <r>
      <t>NGH</t>
    </r>
    <r>
      <rPr>
        <sz val="11"/>
        <rFont val="ＭＳ Ｐゴシック"/>
        <family val="3"/>
        <charset val="128"/>
      </rPr>
      <t>Ĩ</t>
    </r>
  </si>
  <si>
    <t>義</t>
  </si>
  <si>
    <r>
      <t>NGH</t>
    </r>
    <r>
      <rPr>
        <sz val="11"/>
        <rFont val="ＭＳ Ｐゴシック"/>
        <family val="3"/>
        <charset val="128"/>
      </rPr>
      <t>Ĩ</t>
    </r>
    <r>
      <rPr>
        <sz val="11"/>
        <rFont val="Arial"/>
        <family val="2"/>
      </rPr>
      <t>A</t>
    </r>
  </si>
  <si>
    <t>議</t>
  </si>
  <si>
    <t>NGHỊ</t>
  </si>
  <si>
    <t>誼</t>
  </si>
  <si>
    <t>よしみ</t>
  </si>
  <si>
    <t>毅</t>
  </si>
  <si>
    <t>（名前）たけし、たけ、つよし</t>
  </si>
  <si>
    <t>蟻</t>
  </si>
  <si>
    <t>あり</t>
  </si>
  <si>
    <t>逆</t>
  </si>
  <si>
    <t>NGHỊCH</t>
  </si>
  <si>
    <t>ギャク</t>
  </si>
  <si>
    <t>さか・らう</t>
  </si>
  <si>
    <t>靴</t>
  </si>
  <si>
    <t>NGOA</t>
  </si>
  <si>
    <t>頑</t>
  </si>
  <si>
    <t>NGOAN</t>
  </si>
  <si>
    <t>かたく・な</t>
  </si>
  <si>
    <t>外</t>
  </si>
  <si>
    <t>NGOẠI</t>
  </si>
  <si>
    <t>ガイ/ ゲ</t>
  </si>
  <si>
    <t>そと、はず・す、ほか</t>
  </si>
  <si>
    <t>玩</t>
  </si>
  <si>
    <t>NGOẠN</t>
  </si>
  <si>
    <t>甅</t>
  </si>
  <si>
    <t>(ngoi)</t>
  </si>
  <si>
    <t>センチグラム</t>
  </si>
  <si>
    <t>吽</t>
  </si>
  <si>
    <t>(ngỏ)</t>
  </si>
  <si>
    <t>NGÕA</t>
  </si>
  <si>
    <t>かわら、グラム</t>
  </si>
  <si>
    <t>午</t>
  </si>
  <si>
    <t>NGỌ</t>
  </si>
  <si>
    <t>うま</t>
  </si>
  <si>
    <t>臥</t>
  </si>
  <si>
    <t>NGỌA</t>
  </si>
  <si>
    <t>ふ・す</t>
  </si>
  <si>
    <t>NGỌC</t>
  </si>
  <si>
    <t>ギョク/ ゴク</t>
  </si>
  <si>
    <t>呉</t>
  </si>
  <si>
    <t>NGÔ</t>
  </si>
  <si>
    <t>ゴ/ グ</t>
  </si>
  <si>
    <t>く・れる</t>
  </si>
  <si>
    <t>吾</t>
  </si>
  <si>
    <t>梧</t>
  </si>
  <si>
    <t>蜈</t>
  </si>
  <si>
    <t>麌</t>
  </si>
  <si>
    <t>グ/ ゴ</t>
  </si>
  <si>
    <t>鮠</t>
  </si>
  <si>
    <t>NGÔI/NGUY</t>
  </si>
  <si>
    <t>はや</t>
  </si>
  <si>
    <t>嵬</t>
  </si>
  <si>
    <t>NGÔN</t>
  </si>
  <si>
    <t>い・う、こと</t>
  </si>
  <si>
    <t>禿</t>
  </si>
  <si>
    <t>NGỐC</t>
  </si>
  <si>
    <t>はげ</t>
  </si>
  <si>
    <t>呆</t>
  </si>
  <si>
    <t>NGỐC/NGAI</t>
  </si>
  <si>
    <t>あき・れる</t>
  </si>
  <si>
    <t>忤</t>
  </si>
  <si>
    <t>NGỖ</t>
  </si>
  <si>
    <t>誤</t>
  </si>
  <si>
    <t>NGỘ</t>
  </si>
  <si>
    <t>あやま・る</t>
  </si>
  <si>
    <t>遇</t>
  </si>
  <si>
    <t>グウ/ グ</t>
  </si>
  <si>
    <t>悟</t>
  </si>
  <si>
    <t>さと・る</t>
  </si>
  <si>
    <t>晤</t>
  </si>
  <si>
    <t>唔</t>
  </si>
  <si>
    <t>寤</t>
  </si>
  <si>
    <t>兀</t>
  </si>
  <si>
    <t>NGỘT</t>
  </si>
  <si>
    <t>ゴツ/ コツ</t>
  </si>
  <si>
    <t>虞</t>
  </si>
  <si>
    <t>NGU</t>
  </si>
  <si>
    <t>娯</t>
  </si>
  <si>
    <t>愚</t>
  </si>
  <si>
    <t>おろ・か</t>
  </si>
  <si>
    <t>嵎</t>
  </si>
  <si>
    <t>NGUNG/NGU</t>
  </si>
  <si>
    <t>グ/ グウ</t>
  </si>
  <si>
    <t>危</t>
  </si>
  <si>
    <t>NGUY</t>
  </si>
  <si>
    <t>あや・うい、あぶ・ない</t>
  </si>
  <si>
    <t>巍</t>
  </si>
  <si>
    <t>源</t>
  </si>
  <si>
    <t>NGUYÊN</t>
  </si>
  <si>
    <t>みなもと</t>
  </si>
  <si>
    <t>元</t>
  </si>
  <si>
    <t>ゲン/ ガン</t>
  </si>
  <si>
    <t>原</t>
  </si>
  <si>
    <t>はら</t>
  </si>
  <si>
    <t>阮</t>
  </si>
  <si>
    <t>NGUYỄN</t>
  </si>
  <si>
    <t>願</t>
  </si>
  <si>
    <t>NGUYỆN</t>
  </si>
  <si>
    <t>ねが・う</t>
  </si>
  <si>
    <t>愿</t>
  </si>
  <si>
    <t>NGUYỆT</t>
  </si>
  <si>
    <t>ゲツ/ ガツ</t>
  </si>
  <si>
    <t>つき</t>
  </si>
  <si>
    <t>五</t>
  </si>
  <si>
    <r>
      <t>NG</t>
    </r>
    <r>
      <rPr>
        <sz val="11"/>
        <rFont val="ＭＳ Ｐゴシック"/>
        <family val="3"/>
        <charset val="128"/>
      </rPr>
      <t>Ũ</t>
    </r>
  </si>
  <si>
    <t>いつ・つ</t>
  </si>
  <si>
    <t>伍</t>
  </si>
  <si>
    <t>寓</t>
  </si>
  <si>
    <t>NGỤ</t>
  </si>
  <si>
    <t>獄</t>
  </si>
  <si>
    <t>NGỤC</t>
  </si>
  <si>
    <t>ゴク</t>
  </si>
  <si>
    <t>偽</t>
  </si>
  <si>
    <t>NGỤY</t>
  </si>
  <si>
    <t>いつわ・る</t>
  </si>
  <si>
    <t>魏</t>
  </si>
  <si>
    <t>僞</t>
  </si>
  <si>
    <t>詭</t>
  </si>
  <si>
    <t>漁</t>
  </si>
  <si>
    <t>NGƯ</t>
  </si>
  <si>
    <t>ギョ/ リョウ</t>
  </si>
  <si>
    <t>あさ・る</t>
  </si>
  <si>
    <t>さかな、うお</t>
  </si>
  <si>
    <t>凝</t>
  </si>
  <si>
    <t>NGƯNG</t>
  </si>
  <si>
    <t>こ・る</t>
  </si>
  <si>
    <t>仰</t>
  </si>
  <si>
    <t>NGƯỠNG</t>
  </si>
  <si>
    <t>あお・ぐ、おお・せ</t>
  </si>
  <si>
    <t>虐</t>
  </si>
  <si>
    <t>NGƯỢC</t>
  </si>
  <si>
    <t>しいた・げる</t>
  </si>
  <si>
    <t>瘧</t>
  </si>
  <si>
    <t>NGƯU</t>
  </si>
  <si>
    <t>ギュウ</t>
  </si>
  <si>
    <t>うし</t>
  </si>
  <si>
    <t>語</t>
  </si>
  <si>
    <t>NGỮ</t>
  </si>
  <si>
    <t>ゴ/ ギョ</t>
  </si>
  <si>
    <t>かた・る</t>
  </si>
  <si>
    <t>齬</t>
  </si>
  <si>
    <t>圄</t>
  </si>
  <si>
    <t>ギョ/ ゴ</t>
  </si>
  <si>
    <t>御</t>
  </si>
  <si>
    <t>NGỰ</t>
  </si>
  <si>
    <t>お、おん</t>
  </si>
  <si>
    <t>芽</t>
  </si>
  <si>
    <t>NHA</t>
  </si>
  <si>
    <t>衙</t>
  </si>
  <si>
    <t>椏</t>
  </si>
  <si>
    <t>牙</t>
  </si>
  <si>
    <t>ガ/ ゲ</t>
  </si>
  <si>
    <t>きば</t>
  </si>
  <si>
    <t>呀</t>
  </si>
  <si>
    <t>涯</t>
  </si>
  <si>
    <t>NHAI</t>
  </si>
  <si>
    <t>街</t>
  </si>
  <si>
    <t>啀</t>
  </si>
  <si>
    <t>崖</t>
  </si>
  <si>
    <t>がけ</t>
  </si>
  <si>
    <t>崕</t>
  </si>
  <si>
    <t>岩</t>
  </si>
  <si>
    <t>NHAM</t>
  </si>
  <si>
    <t>いわ</t>
  </si>
  <si>
    <t>巌</t>
  </si>
  <si>
    <t>いわお、いわ</t>
  </si>
  <si>
    <t>癌</t>
  </si>
  <si>
    <t>嵒</t>
  </si>
  <si>
    <t>巖</t>
  </si>
  <si>
    <t>顔</t>
  </si>
  <si>
    <t>NHAN</t>
  </si>
  <si>
    <t>かお、ひたい、かんばせ</t>
  </si>
  <si>
    <t>閑</t>
  </si>
  <si>
    <t>NHÀN</t>
  </si>
  <si>
    <t>カン/ ゲン</t>
  </si>
  <si>
    <t>癇</t>
  </si>
  <si>
    <t>嫻</t>
  </si>
  <si>
    <t>嫺</t>
  </si>
  <si>
    <t>雅</t>
  </si>
  <si>
    <t>NHÃ</t>
  </si>
  <si>
    <t>みやび</t>
  </si>
  <si>
    <t>眼</t>
  </si>
  <si>
    <t>NHÃN</t>
  </si>
  <si>
    <t>ガン/ ケン</t>
  </si>
  <si>
    <t>め、まなこ</t>
  </si>
  <si>
    <t>岳</t>
  </si>
  <si>
    <t>NHẠC</t>
  </si>
  <si>
    <t>たけ</t>
  </si>
  <si>
    <t>嶽</t>
  </si>
  <si>
    <t>鴈</t>
  </si>
  <si>
    <t>NHẠN</t>
  </si>
  <si>
    <t>かり、かりがね</t>
  </si>
  <si>
    <t>贋</t>
  </si>
  <si>
    <t>にせ</t>
  </si>
  <si>
    <t>雁</t>
  </si>
  <si>
    <t>妊</t>
  </si>
  <si>
    <t>NHÂM</t>
  </si>
  <si>
    <t>ニン/ ジン</t>
  </si>
  <si>
    <t>壬</t>
  </si>
  <si>
    <t>ジン</t>
  </si>
  <si>
    <t>みずのえ</t>
  </si>
  <si>
    <t>姙</t>
  </si>
  <si>
    <t>NHÂN</t>
  </si>
  <si>
    <t>ジン/ ニン</t>
  </si>
  <si>
    <t>ひと</t>
  </si>
  <si>
    <t>仁</t>
  </si>
  <si>
    <t>因</t>
  </si>
  <si>
    <t>よ・る、ちな・みに</t>
  </si>
  <si>
    <t>姻</t>
  </si>
  <si>
    <t>氤</t>
  </si>
  <si>
    <t>NHẤT</t>
  </si>
  <si>
    <t>イチ/ イツ</t>
  </si>
  <si>
    <t>ひと・つ</t>
  </si>
  <si>
    <t>壱</t>
  </si>
  <si>
    <t>壹</t>
  </si>
  <si>
    <t>弌</t>
  </si>
  <si>
    <t>賃</t>
  </si>
  <si>
    <t>NHẪM</t>
  </si>
  <si>
    <t>稔</t>
  </si>
  <si>
    <t>ジン/ ニン/ ネン</t>
  </si>
  <si>
    <t>みの・る</t>
  </si>
  <si>
    <t>忍</t>
  </si>
  <si>
    <t>NHẪN</t>
  </si>
  <si>
    <t>しの・ぶ</t>
  </si>
  <si>
    <t>恁</t>
  </si>
  <si>
    <t>NHẬM</t>
  </si>
  <si>
    <t>認</t>
  </si>
  <si>
    <t>NHẬN</t>
  </si>
  <si>
    <t>ニン</t>
  </si>
  <si>
    <t>みと・める</t>
  </si>
  <si>
    <t>刃</t>
  </si>
  <si>
    <t>仞</t>
  </si>
  <si>
    <t>仭</t>
  </si>
  <si>
    <t>刄</t>
  </si>
  <si>
    <t>込</t>
  </si>
  <si>
    <t>(nhập)</t>
  </si>
  <si>
    <t>こ・む、こめ・る</t>
  </si>
  <si>
    <t>NHẬP</t>
  </si>
  <si>
    <t>ニュウ/ ジュ/ ジュウ</t>
  </si>
  <si>
    <t>い・れる、はい・る</t>
  </si>
  <si>
    <t>圦</t>
  </si>
  <si>
    <t>いり</t>
  </si>
  <si>
    <t>NHẬT</t>
  </si>
  <si>
    <t>ジツ/ ニチ</t>
  </si>
  <si>
    <t>喰</t>
  </si>
  <si>
    <t>(nhậu)</t>
  </si>
  <si>
    <t>く・う</t>
  </si>
  <si>
    <t>児</t>
  </si>
  <si>
    <t>NHI</t>
  </si>
  <si>
    <t>ジ/ ニ</t>
  </si>
  <si>
    <t>こ</t>
  </si>
  <si>
    <t>然</t>
  </si>
  <si>
    <t>NHIÊN</t>
  </si>
  <si>
    <t>ゼン/ ネン</t>
  </si>
  <si>
    <t>しか・り</t>
  </si>
  <si>
    <t>燃</t>
  </si>
  <si>
    <t>ネン/ ゼン</t>
  </si>
  <si>
    <t>も・える</t>
  </si>
  <si>
    <t>撚</t>
  </si>
  <si>
    <t>デン/ ネン</t>
  </si>
  <si>
    <t>橈</t>
  </si>
  <si>
    <t>NHIÊU</t>
  </si>
  <si>
    <t>摂</t>
  </si>
  <si>
    <t>NHIẾP</t>
  </si>
  <si>
    <t>セツ/ ショウ</t>
  </si>
  <si>
    <t>慴</t>
  </si>
  <si>
    <t>懾</t>
  </si>
  <si>
    <t>攝</t>
  </si>
  <si>
    <t>囁</t>
  </si>
  <si>
    <t>ささやく</t>
  </si>
  <si>
    <t>咽</t>
  </si>
  <si>
    <t>NHIẾT/YẾN/YẾT</t>
  </si>
  <si>
    <t>染</t>
  </si>
  <si>
    <t>NHIỄM</t>
  </si>
  <si>
    <t>セン/ ゼン</t>
  </si>
  <si>
    <t>そ・める、し・みる</t>
  </si>
  <si>
    <t>冉</t>
  </si>
  <si>
    <t>ゼン</t>
  </si>
  <si>
    <t>擾</t>
  </si>
  <si>
    <t>NHIỄU</t>
  </si>
  <si>
    <t>任</t>
  </si>
  <si>
    <t>NHIỆM</t>
  </si>
  <si>
    <t>まか・す</t>
  </si>
  <si>
    <t>熱</t>
  </si>
  <si>
    <t>NHIỆT</t>
  </si>
  <si>
    <t>ネツ</t>
  </si>
  <si>
    <r>
      <t>NH</t>
    </r>
    <r>
      <rPr>
        <sz val="11"/>
        <rFont val="ＭＳ Ｐゴシック"/>
        <family val="3"/>
        <charset val="128"/>
      </rPr>
      <t>Ĩ</t>
    </r>
  </si>
  <si>
    <t>みみ</t>
  </si>
  <si>
    <t>爾</t>
  </si>
  <si>
    <t>爻</t>
  </si>
  <si>
    <t>尓</t>
  </si>
  <si>
    <t>NHỊ</t>
  </si>
  <si>
    <t>ニ/ ジ</t>
  </si>
  <si>
    <t>ふた・つ</t>
  </si>
  <si>
    <t>弐</t>
  </si>
  <si>
    <t>ふたつ</t>
  </si>
  <si>
    <t>蕊</t>
  </si>
  <si>
    <t>ズイ</t>
  </si>
  <si>
    <t>しべ</t>
  </si>
  <si>
    <t>蘂</t>
  </si>
  <si>
    <t>弍</t>
  </si>
  <si>
    <t>貳</t>
  </si>
  <si>
    <t>弭</t>
  </si>
  <si>
    <t>柔</t>
  </si>
  <si>
    <t>NHU</t>
  </si>
  <si>
    <t>ジュウ/ ニュウ</t>
  </si>
  <si>
    <t>やわ・らか</t>
  </si>
  <si>
    <t>需</t>
  </si>
  <si>
    <t>ジュ</t>
  </si>
  <si>
    <t>儒</t>
  </si>
  <si>
    <t>懦</t>
  </si>
  <si>
    <t>ダ/ ジュ</t>
  </si>
  <si>
    <t>揉</t>
  </si>
  <si>
    <t>ジュウ</t>
  </si>
  <si>
    <t>も・む</t>
  </si>
  <si>
    <t>濡</t>
  </si>
  <si>
    <t>ぬ・れる</t>
  </si>
  <si>
    <t>嬬</t>
  </si>
  <si>
    <t>潤</t>
  </si>
  <si>
    <t>NHUẬN</t>
  </si>
  <si>
    <t>うるお・う</t>
  </si>
  <si>
    <t>閏</t>
  </si>
  <si>
    <t>うるう</t>
  </si>
  <si>
    <t>蚋</t>
  </si>
  <si>
    <t>NHUẾ</t>
  </si>
  <si>
    <t>ゼイ</t>
  </si>
  <si>
    <t>ぶよ</t>
  </si>
  <si>
    <t>鋭</t>
  </si>
  <si>
    <t>NHUỆ/DUỆ</t>
  </si>
  <si>
    <t>するど・い</t>
  </si>
  <si>
    <t>戎</t>
  </si>
  <si>
    <t>NHUNG</t>
  </si>
  <si>
    <t>軟</t>
  </si>
  <si>
    <t>NHUYỄN</t>
  </si>
  <si>
    <t>乳</t>
  </si>
  <si>
    <r>
      <t>NH</t>
    </r>
    <r>
      <rPr>
        <sz val="11"/>
        <rFont val="ＭＳ Ｐゴシック"/>
        <family val="3"/>
        <charset val="128"/>
      </rPr>
      <t>Ũ</t>
    </r>
  </si>
  <si>
    <t>ニュウ</t>
  </si>
  <si>
    <t>ちち、ち</t>
  </si>
  <si>
    <t>冗</t>
  </si>
  <si>
    <r>
      <t>NH</t>
    </r>
    <r>
      <rPr>
        <sz val="11"/>
        <rFont val="ＭＳ Ｐゴシック"/>
        <family val="3"/>
        <charset val="128"/>
      </rPr>
      <t>Ũ</t>
    </r>
    <r>
      <rPr>
        <sz val="11"/>
        <rFont val="Arial"/>
        <family val="2"/>
      </rPr>
      <t>NG</t>
    </r>
  </si>
  <si>
    <t>孺</t>
  </si>
  <si>
    <t>NHỤ</t>
  </si>
  <si>
    <t>NHỤC</t>
  </si>
  <si>
    <t>ニク</t>
  </si>
  <si>
    <t>しし</t>
  </si>
  <si>
    <t>辱</t>
  </si>
  <si>
    <t>辰</t>
  </si>
  <si>
    <t>ジョク</t>
  </si>
  <si>
    <t>はずかし・める</t>
  </si>
  <si>
    <t>褥</t>
  </si>
  <si>
    <t>しとね</t>
  </si>
  <si>
    <t>宍</t>
  </si>
  <si>
    <t>ジク/ ニク</t>
  </si>
  <si>
    <t>如</t>
  </si>
  <si>
    <t>NHƯ</t>
  </si>
  <si>
    <t>ジョ・ニョ</t>
  </si>
  <si>
    <t>ごと・く、し・く</t>
  </si>
  <si>
    <t>洳</t>
  </si>
  <si>
    <t>ジョ/ ニョ</t>
  </si>
  <si>
    <t>仍</t>
  </si>
  <si>
    <t>NHƯNG</t>
  </si>
  <si>
    <t>ジョウ/ ニョウ</t>
  </si>
  <si>
    <t>穣</t>
  </si>
  <si>
    <t>NHƯƠNG</t>
  </si>
  <si>
    <t>みのる、ゆたか</t>
  </si>
  <si>
    <t>醸</t>
  </si>
  <si>
    <t>NHƯỠNG</t>
  </si>
  <si>
    <t>かも・す</t>
  </si>
  <si>
    <t>壌</t>
  </si>
  <si>
    <t>攘</t>
  </si>
  <si>
    <t>壤</t>
  </si>
  <si>
    <t>若</t>
  </si>
  <si>
    <t>NHƯỢC</t>
  </si>
  <si>
    <t>ジャク/ ニャク</t>
  </si>
  <si>
    <t>わか・い、も・し</t>
  </si>
  <si>
    <t>弱</t>
  </si>
  <si>
    <t>ジャク</t>
  </si>
  <si>
    <t>よわ・い</t>
  </si>
  <si>
    <t>嫋</t>
  </si>
  <si>
    <t>搦</t>
  </si>
  <si>
    <t>ダク/ ニャク</t>
  </si>
  <si>
    <t>譲</t>
  </si>
  <si>
    <t>NHƯỢNG</t>
  </si>
  <si>
    <t>ゆず・る</t>
  </si>
  <si>
    <t>汝</t>
  </si>
  <si>
    <t>NHỮ</t>
  </si>
  <si>
    <t>なんじ</t>
  </si>
  <si>
    <t>尼</t>
  </si>
  <si>
    <t>NI</t>
  </si>
  <si>
    <t>粘</t>
  </si>
  <si>
    <t>NIÊM</t>
  </si>
  <si>
    <t>ネン/ デン</t>
  </si>
  <si>
    <t>ねば・る</t>
  </si>
  <si>
    <t>鮎</t>
  </si>
  <si>
    <t>あゆ</t>
  </si>
  <si>
    <t>拈</t>
  </si>
  <si>
    <t>NIÊM/CHIÊM</t>
  </si>
  <si>
    <t>ネン/ テン</t>
  </si>
  <si>
    <t>年</t>
  </si>
  <si>
    <t>NIÊN</t>
  </si>
  <si>
    <t>ネン</t>
  </si>
  <si>
    <t>とし、とせ</t>
  </si>
  <si>
    <t>涅</t>
  </si>
  <si>
    <t>NIẾT</t>
  </si>
  <si>
    <t>デツ/ ネ</t>
  </si>
  <si>
    <t>念</t>
  </si>
  <si>
    <t>NIỆM</t>
  </si>
  <si>
    <t>棯</t>
  </si>
  <si>
    <t>ネン/ ジン</t>
  </si>
  <si>
    <t>祷</t>
  </si>
  <si>
    <t>niệm</t>
  </si>
  <si>
    <t>唸</t>
  </si>
  <si>
    <t>うな・る</t>
  </si>
  <si>
    <t>捻</t>
  </si>
  <si>
    <t>NIỆM/NIỆP</t>
  </si>
  <si>
    <t>ネン/ デン/ ニョウ</t>
  </si>
  <si>
    <t>ひね・る、ねじ・る</t>
  </si>
  <si>
    <t>尿</t>
  </si>
  <si>
    <t>NIỆU</t>
  </si>
  <si>
    <t>ニョウ</t>
  </si>
  <si>
    <t>寧</t>
  </si>
  <si>
    <t>NINH</t>
  </si>
  <si>
    <t>ネイ/ デイ</t>
  </si>
  <si>
    <t>むし・ろ</t>
  </si>
  <si>
    <t>檸</t>
  </si>
  <si>
    <t>嚀</t>
  </si>
  <si>
    <t>溺</t>
  </si>
  <si>
    <t>NỊCH</t>
  </si>
  <si>
    <t>デキ</t>
  </si>
  <si>
    <t>おぼ・れる</t>
  </si>
  <si>
    <t>侫</t>
  </si>
  <si>
    <t>NỊNH</t>
  </si>
  <si>
    <t>ネイ</t>
  </si>
  <si>
    <t>佞</t>
  </si>
  <si>
    <t>孥</t>
  </si>
  <si>
    <t>NOA</t>
  </si>
  <si>
    <t>ド/ ヌ</t>
  </si>
  <si>
    <t>卵</t>
  </si>
  <si>
    <t>NOÃN</t>
  </si>
  <si>
    <t>たまご</t>
  </si>
  <si>
    <t>暖</t>
  </si>
  <si>
    <t>あたた・か</t>
  </si>
  <si>
    <t>奴</t>
  </si>
  <si>
    <t>NÔ</t>
  </si>
  <si>
    <t>やっこ</t>
  </si>
  <si>
    <t>帑</t>
  </si>
  <si>
    <t>農</t>
  </si>
  <si>
    <t>NÔNG</t>
  </si>
  <si>
    <t>膿</t>
  </si>
  <si>
    <t>NỒNG</t>
  </si>
  <si>
    <t>うみ、う・む</t>
  </si>
  <si>
    <t>濃</t>
  </si>
  <si>
    <t>NỒNG/NÙNG</t>
  </si>
  <si>
    <t>こ・い</t>
  </si>
  <si>
    <t>努</t>
  </si>
  <si>
    <t>NỖ</t>
  </si>
  <si>
    <t>弩</t>
  </si>
  <si>
    <t>怒</t>
  </si>
  <si>
    <t>NỘ</t>
  </si>
  <si>
    <t>ド/ タ</t>
  </si>
  <si>
    <t>いか・る、おこ・る</t>
  </si>
  <si>
    <t>内</t>
  </si>
  <si>
    <t>NỘI</t>
  </si>
  <si>
    <t>ナイ/ ダイ</t>
  </si>
  <si>
    <t>うち</t>
  </si>
  <si>
    <t>嫩</t>
  </si>
  <si>
    <t>NỘN</t>
  </si>
  <si>
    <t>ドン/ ノン</t>
  </si>
  <si>
    <t>吶</t>
  </si>
  <si>
    <t>NỘT</t>
  </si>
  <si>
    <t>痿</t>
  </si>
  <si>
    <t>NUY</t>
  </si>
  <si>
    <t>イ/ ズイ/ ヌイ</t>
  </si>
  <si>
    <t>儂</t>
  </si>
  <si>
    <t>NÙNG</t>
  </si>
  <si>
    <t>娘</t>
  </si>
  <si>
    <t>NƯƠNG</t>
  </si>
  <si>
    <t>むすめ</t>
  </si>
  <si>
    <t>嬢</t>
  </si>
  <si>
    <t>孃</t>
  </si>
  <si>
    <t>NỮ</t>
  </si>
  <si>
    <t>おんな、め</t>
  </si>
  <si>
    <t>紐</t>
  </si>
  <si>
    <t>NỮU</t>
  </si>
  <si>
    <t>ひも</t>
  </si>
  <si>
    <t>忸</t>
  </si>
  <si>
    <t>ジク</t>
  </si>
  <si>
    <t>怩</t>
  </si>
  <si>
    <t>NY</t>
  </si>
  <si>
    <t>ジ</t>
  </si>
  <si>
    <t>渦</t>
  </si>
  <si>
    <t>OA</t>
  </si>
  <si>
    <t>うず</t>
  </si>
  <si>
    <t>鍋</t>
  </si>
  <si>
    <t>なべ</t>
  </si>
  <si>
    <t>窪</t>
  </si>
  <si>
    <t>くぼ</t>
  </si>
  <si>
    <t>蛙</t>
  </si>
  <si>
    <t>ア/ ワ</t>
  </si>
  <si>
    <t>かえる</t>
  </si>
  <si>
    <t>蝸</t>
  </si>
  <si>
    <t>かたつむり</t>
  </si>
  <si>
    <t>哇</t>
  </si>
  <si>
    <t>娃</t>
  </si>
  <si>
    <t>ア/ アイ</t>
  </si>
  <si>
    <t>歪</t>
  </si>
  <si>
    <t>OAI</t>
  </si>
  <si>
    <t>ゆが・む、ひず・む</t>
  </si>
  <si>
    <t>寃</t>
  </si>
  <si>
    <t>OAN</t>
  </si>
  <si>
    <t>冤</t>
  </si>
  <si>
    <t>鶯</t>
  </si>
  <si>
    <t>OANH</t>
  </si>
  <si>
    <t>うぐいす</t>
  </si>
  <si>
    <t>轟</t>
  </si>
  <si>
    <t>とどろ・く</t>
  </si>
  <si>
    <t>怨</t>
  </si>
  <si>
    <t>OÁN</t>
  </si>
  <si>
    <t>エン/ オン</t>
  </si>
  <si>
    <t>斡</t>
  </si>
  <si>
    <t>OÁT/QUẢN</t>
  </si>
  <si>
    <t>アツ/ ワチ</t>
  </si>
  <si>
    <t>倭</t>
  </si>
  <si>
    <t>OẢI/NỤY</t>
  </si>
  <si>
    <t>ワ</t>
  </si>
  <si>
    <t>腕</t>
  </si>
  <si>
    <t>OẢN</t>
  </si>
  <si>
    <t>うで</t>
  </si>
  <si>
    <t>椀</t>
  </si>
  <si>
    <t>汚</t>
  </si>
  <si>
    <t>Ô</t>
  </si>
  <si>
    <t>オ</t>
  </si>
  <si>
    <t>けが・す、けが・れる、けが・らわしい、よご・す、きたな・い</t>
  </si>
  <si>
    <t>烏</t>
  </si>
  <si>
    <t>ウ/ オ</t>
  </si>
  <si>
    <t>からす</t>
  </si>
  <si>
    <t>嗚</t>
  </si>
  <si>
    <t>隅</t>
  </si>
  <si>
    <t>ÔI</t>
  </si>
  <si>
    <t>温</t>
  </si>
  <si>
    <t>ÔN</t>
  </si>
  <si>
    <t>あたた・か、あたた・かい、あたた・まる、ぬく・い</t>
  </si>
  <si>
    <t>饂</t>
  </si>
  <si>
    <t>ウン</t>
  </si>
  <si>
    <t>慍</t>
  </si>
  <si>
    <t>ウン/ オン</t>
  </si>
  <si>
    <t>瘟</t>
  </si>
  <si>
    <t>翁</t>
  </si>
  <si>
    <t>ÔNG</t>
  </si>
  <si>
    <t>おきな</t>
  </si>
  <si>
    <t>屋</t>
  </si>
  <si>
    <t>ỐC</t>
  </si>
  <si>
    <t>ヤ/ オク</t>
  </si>
  <si>
    <t>沃</t>
  </si>
  <si>
    <t>幄</t>
  </si>
  <si>
    <t>榲</t>
  </si>
  <si>
    <t>ỐT</t>
  </si>
  <si>
    <t>塢</t>
  </si>
  <si>
    <t>Ổ</t>
  </si>
  <si>
    <t>オ/ ウ</t>
  </si>
  <si>
    <t>猥</t>
  </si>
  <si>
    <t>ỔI</t>
  </si>
  <si>
    <t>穏</t>
  </si>
  <si>
    <t>ỔN</t>
  </si>
  <si>
    <t>おだ・やか</t>
  </si>
  <si>
    <t>玻</t>
  </si>
  <si>
    <t>PHA</t>
  </si>
  <si>
    <t>坡</t>
  </si>
  <si>
    <t>潘</t>
  </si>
  <si>
    <t>PHAN</t>
  </si>
  <si>
    <t>攀</t>
  </si>
  <si>
    <t>よ・じる</t>
  </si>
  <si>
    <t>怦</t>
  </si>
  <si>
    <t>PHANH</t>
  </si>
  <si>
    <t>ホウ/ ヒョウ</t>
  </si>
  <si>
    <t>烹</t>
  </si>
  <si>
    <t>枅</t>
  </si>
  <si>
    <t>PHANH/BÌNH</t>
  </si>
  <si>
    <t>泡</t>
  </si>
  <si>
    <t>PHAO/BÀO</t>
  </si>
  <si>
    <t>破</t>
  </si>
  <si>
    <t>PHÁ</t>
  </si>
  <si>
    <t>やぶ・る</t>
  </si>
  <si>
    <t>朴</t>
  </si>
  <si>
    <t>PHÁC</t>
  </si>
  <si>
    <t>ボク/ ホク</t>
  </si>
  <si>
    <t>樸</t>
  </si>
  <si>
    <t>ボク/ ホク/ ハク</t>
  </si>
  <si>
    <t>撲</t>
  </si>
  <si>
    <t>PHÁC/BẠC</t>
  </si>
  <si>
    <t>拍</t>
  </si>
  <si>
    <t>PHÁCH</t>
  </si>
  <si>
    <t>擘</t>
  </si>
  <si>
    <t>ハク/ ヘキ</t>
  </si>
  <si>
    <t>襞</t>
  </si>
  <si>
    <t>ひだ</t>
  </si>
  <si>
    <t>劈</t>
  </si>
  <si>
    <t>つんざ・く</t>
  </si>
  <si>
    <t>派</t>
  </si>
  <si>
    <t>PHÁI</t>
  </si>
  <si>
    <t>沛</t>
  </si>
  <si>
    <t>PHÁI/BÁI</t>
  </si>
  <si>
    <t>判</t>
  </si>
  <si>
    <t>PHÁN</t>
  </si>
  <si>
    <t>わか・る</t>
  </si>
  <si>
    <t>砲</t>
  </si>
  <si>
    <t>PHÁO</t>
  </si>
  <si>
    <t>法</t>
  </si>
  <si>
    <t>PHÁP</t>
  </si>
  <si>
    <t>のり、のっと・る</t>
  </si>
  <si>
    <t>発</t>
  </si>
  <si>
    <t>PHÁT</t>
  </si>
  <si>
    <t>ハツ/ ホツ</t>
  </si>
  <si>
    <t>あば・く</t>
  </si>
  <si>
    <t>髪</t>
  </si>
  <si>
    <t>凡</t>
  </si>
  <si>
    <t>PHÀM</t>
  </si>
  <si>
    <t>ボン/ ハン</t>
  </si>
  <si>
    <t>およ・そ</t>
  </si>
  <si>
    <t>帆</t>
  </si>
  <si>
    <t>ハン/ ボン</t>
  </si>
  <si>
    <t>ほ</t>
  </si>
  <si>
    <t>樊</t>
  </si>
  <si>
    <t>PHÀN</t>
  </si>
  <si>
    <t>版</t>
  </si>
  <si>
    <t>PHẢN</t>
  </si>
  <si>
    <t>返</t>
  </si>
  <si>
    <t>ヘン/ ハン</t>
  </si>
  <si>
    <t>かえ・す</t>
  </si>
  <si>
    <t>反</t>
  </si>
  <si>
    <t>ハン/ ヘン/ ホン</t>
  </si>
  <si>
    <t>かえ・す、そ・る</t>
  </si>
  <si>
    <t>坂</t>
  </si>
  <si>
    <t>さか</t>
  </si>
  <si>
    <t>阪</t>
  </si>
  <si>
    <t>叛</t>
  </si>
  <si>
    <t>ハン/ ホン</t>
  </si>
  <si>
    <t>そむ・く</t>
  </si>
  <si>
    <t>怕</t>
  </si>
  <si>
    <t>PHẠ</t>
  </si>
  <si>
    <t>犯</t>
  </si>
  <si>
    <t>PHẠM</t>
  </si>
  <si>
    <t>範</t>
  </si>
  <si>
    <t>范</t>
  </si>
  <si>
    <t>飯</t>
  </si>
  <si>
    <t>PHẠN</t>
  </si>
  <si>
    <t>めし</t>
  </si>
  <si>
    <t>梵</t>
  </si>
  <si>
    <t>乏</t>
  </si>
  <si>
    <t>PHẠP</t>
  </si>
  <si>
    <t>とぼ・しい</t>
  </si>
  <si>
    <t>罰</t>
  </si>
  <si>
    <t>PHẠT</t>
  </si>
  <si>
    <t>罕-干</t>
  </si>
  <si>
    <t>バツ/ バチ/ ハツ</t>
  </si>
  <si>
    <t>伐</t>
  </si>
  <si>
    <t>紛</t>
  </si>
  <si>
    <t>PHÂN</t>
  </si>
  <si>
    <t>まぎ・れる</t>
  </si>
  <si>
    <t>雰</t>
  </si>
  <si>
    <t>分</t>
  </si>
  <si>
    <t>フン/ ブン</t>
  </si>
  <si>
    <t>わ・ける</t>
  </si>
  <si>
    <t>氛</t>
  </si>
  <si>
    <t>吩</t>
  </si>
  <si>
    <t>フン/ ホン</t>
  </si>
  <si>
    <t>粉</t>
  </si>
  <si>
    <t>PHẤN</t>
  </si>
  <si>
    <t>こな、こ</t>
  </si>
  <si>
    <t>奮</t>
  </si>
  <si>
    <t>ふる・う</t>
  </si>
  <si>
    <t>払</t>
  </si>
  <si>
    <t>PHẤT</t>
  </si>
  <si>
    <t>フツ/ ホツ</t>
  </si>
  <si>
    <t>はら・う</t>
  </si>
  <si>
    <t>弗</t>
  </si>
  <si>
    <t>フツ</t>
  </si>
  <si>
    <t>怫</t>
  </si>
  <si>
    <t>拂</t>
  </si>
  <si>
    <t>黻</t>
  </si>
  <si>
    <t>ひざかけ</t>
  </si>
  <si>
    <t>彿</t>
  </si>
  <si>
    <t>墳</t>
  </si>
  <si>
    <t>PHẦN</t>
  </si>
  <si>
    <t>つか</t>
  </si>
  <si>
    <t>枌</t>
  </si>
  <si>
    <t>汾</t>
  </si>
  <si>
    <t>抔</t>
  </si>
  <si>
    <t>PHẦU</t>
  </si>
  <si>
    <t>品</t>
  </si>
  <si>
    <t>PHẨM</t>
  </si>
  <si>
    <t>ヒン/ ホン</t>
  </si>
  <si>
    <t>糞</t>
  </si>
  <si>
    <t>PHẨN</t>
  </si>
  <si>
    <t>くそ</t>
  </si>
  <si>
    <t>憤</t>
  </si>
  <si>
    <t>PHẪN</t>
  </si>
  <si>
    <t>いきどお・る</t>
  </si>
  <si>
    <t>忿</t>
  </si>
  <si>
    <t>扮</t>
  </si>
  <si>
    <t>PHẪN/BAN/BÁN</t>
  </si>
  <si>
    <t>フン/ ハン/ ヘン</t>
  </si>
  <si>
    <t>剖</t>
  </si>
  <si>
    <t>PHẪU</t>
  </si>
  <si>
    <t>仏</t>
  </si>
  <si>
    <t>PHẬT</t>
  </si>
  <si>
    <t>ブツ/ フツ</t>
  </si>
  <si>
    <t>ほとけ</t>
  </si>
  <si>
    <t>佛</t>
  </si>
  <si>
    <t>批</t>
  </si>
  <si>
    <t>PHÊ</t>
  </si>
  <si>
    <t>ヒ/ ヘイ</t>
  </si>
  <si>
    <t>砒</t>
  </si>
  <si>
    <t>PHÊ/TỲ</t>
  </si>
  <si>
    <t>肺</t>
  </si>
  <si>
    <t>PHẾ</t>
  </si>
  <si>
    <t>廃</t>
  </si>
  <si>
    <t>すた・る</t>
  </si>
  <si>
    <t>癈</t>
  </si>
  <si>
    <t>廢</t>
  </si>
  <si>
    <t>吠</t>
  </si>
  <si>
    <t>PHỆ</t>
  </si>
  <si>
    <t>ハイ/ ベイ</t>
  </si>
  <si>
    <t>噬</t>
  </si>
  <si>
    <t>セイ/ ゼイ</t>
  </si>
  <si>
    <t>PHI</t>
  </si>
  <si>
    <t>飛</t>
  </si>
  <si>
    <t>と・ぶ</t>
  </si>
  <si>
    <t>妃</t>
  </si>
  <si>
    <t>きさき</t>
  </si>
  <si>
    <t>扉</t>
  </si>
  <si>
    <t>とびら</t>
  </si>
  <si>
    <t>披</t>
  </si>
  <si>
    <t>ひら・く</t>
  </si>
  <si>
    <t>緋</t>
  </si>
  <si>
    <t>丕</t>
  </si>
  <si>
    <t>翻</t>
  </si>
  <si>
    <t>PHIÊN</t>
  </si>
  <si>
    <t>ホン/ ハン</t>
  </si>
  <si>
    <t>ひるがえ・る</t>
  </si>
  <si>
    <t>藩</t>
  </si>
  <si>
    <t>番</t>
  </si>
  <si>
    <t>幡</t>
  </si>
  <si>
    <t>翩</t>
  </si>
  <si>
    <t>漂</t>
  </si>
  <si>
    <t>PHIÊU</t>
  </si>
  <si>
    <t>ただよ・う</t>
  </si>
  <si>
    <t>慓</t>
  </si>
  <si>
    <t>剽</t>
  </si>
  <si>
    <t>嫖</t>
  </si>
  <si>
    <t>汎</t>
  </si>
  <si>
    <t>PHIẾM</t>
  </si>
  <si>
    <t>泛</t>
  </si>
  <si>
    <t>氾</t>
  </si>
  <si>
    <t>PHIẾN</t>
  </si>
  <si>
    <t>販</t>
  </si>
  <si>
    <t>扇</t>
  </si>
  <si>
    <t>おうぎ、あお・ぐ</t>
  </si>
  <si>
    <t>旙</t>
  </si>
  <si>
    <t>バン/ ハン</t>
  </si>
  <si>
    <t>旛</t>
  </si>
  <si>
    <t>標</t>
  </si>
  <si>
    <t>PHIẾU</t>
  </si>
  <si>
    <t>票</t>
  </si>
  <si>
    <t>PHIẾU/TIÊU/PHIÊU</t>
  </si>
  <si>
    <t>煩</t>
  </si>
  <si>
    <t>PHIỀN</t>
  </si>
  <si>
    <t>蕃</t>
  </si>
  <si>
    <t>閥</t>
  </si>
  <si>
    <t>PHIỆT</t>
  </si>
  <si>
    <t>ヘツ/ ヘチ</t>
  </si>
  <si>
    <t>娉</t>
  </si>
  <si>
    <t>PHINH</t>
  </si>
  <si>
    <t>費</t>
  </si>
  <si>
    <t>PHÍ</t>
  </si>
  <si>
    <t>つい・やす</t>
  </si>
  <si>
    <t>沸</t>
  </si>
  <si>
    <t>PHÍ/PHẤT</t>
  </si>
  <si>
    <t>癖</t>
  </si>
  <si>
    <t>PHÍCH</t>
  </si>
  <si>
    <t>くせ</t>
  </si>
  <si>
    <t>肥</t>
  </si>
  <si>
    <t>PHÌ</t>
  </si>
  <si>
    <t>こえ・る</t>
  </si>
  <si>
    <t>斐</t>
  </si>
  <si>
    <t>PHỈ</t>
  </si>
  <si>
    <t>榧</t>
  </si>
  <si>
    <t>翡</t>
  </si>
  <si>
    <t>匪</t>
  </si>
  <si>
    <t>誹</t>
  </si>
  <si>
    <t>豊</t>
  </si>
  <si>
    <t>PHONG</t>
  </si>
  <si>
    <t>ホウ/ ブ</t>
  </si>
  <si>
    <t>ゆた・か、とよ</t>
  </si>
  <si>
    <t>風</t>
  </si>
  <si>
    <t>フウ</t>
  </si>
  <si>
    <t>かぜ</t>
  </si>
  <si>
    <t>封</t>
  </si>
  <si>
    <t>フウ/ ホウ</t>
  </si>
  <si>
    <t>峰</t>
  </si>
  <si>
    <t>楓</t>
  </si>
  <si>
    <t>かえで</t>
  </si>
  <si>
    <t>蜂</t>
  </si>
  <si>
    <t>はち</t>
  </si>
  <si>
    <t>瘋</t>
  </si>
  <si>
    <t>峯</t>
  </si>
  <si>
    <t>赴</t>
  </si>
  <si>
    <t>PHÓ</t>
  </si>
  <si>
    <t>おもむ・く</t>
  </si>
  <si>
    <t>付</t>
  </si>
  <si>
    <t>副</t>
  </si>
  <si>
    <t>傅</t>
  </si>
  <si>
    <t>咐</t>
  </si>
  <si>
    <t>仆</t>
  </si>
  <si>
    <t>PHÓ/BỘC</t>
  </si>
  <si>
    <t>放</t>
  </si>
  <si>
    <t>PHÓNG</t>
  </si>
  <si>
    <t>はな・す、ほう・る</t>
  </si>
  <si>
    <t>抛</t>
  </si>
  <si>
    <t>なげう・つ、ほう・る</t>
  </si>
  <si>
    <t>防</t>
  </si>
  <si>
    <t>PHÒNG</t>
  </si>
  <si>
    <t>ふせ・ぐ</t>
  </si>
  <si>
    <t>房</t>
  </si>
  <si>
    <t>PHÒNG/BÀNG</t>
  </si>
  <si>
    <t>ふさ</t>
  </si>
  <si>
    <t>訪</t>
  </si>
  <si>
    <t>PHỎNG/PHÓNG</t>
  </si>
  <si>
    <t>おとず・れる、たず・ねる</t>
  </si>
  <si>
    <t>倣</t>
  </si>
  <si>
    <t>なら・う</t>
  </si>
  <si>
    <t>舗</t>
  </si>
  <si>
    <t>PHỐ</t>
  </si>
  <si>
    <t>圃</t>
  </si>
  <si>
    <t>フ/ ホ</t>
  </si>
  <si>
    <t>埔</t>
  </si>
  <si>
    <t>配</t>
  </si>
  <si>
    <t>PHỐI</t>
  </si>
  <si>
    <t>くば・る</t>
  </si>
  <si>
    <t>繁</t>
  </si>
  <si>
    <t>PHỒN</t>
  </si>
  <si>
    <t>浦</t>
  </si>
  <si>
    <t>PHỔ</t>
  </si>
  <si>
    <t>譜</t>
  </si>
  <si>
    <t>普</t>
  </si>
  <si>
    <t>あまね・く</t>
  </si>
  <si>
    <t>PHỘC</t>
  </si>
  <si>
    <t>膚</t>
  </si>
  <si>
    <t>PHU</t>
  </si>
  <si>
    <t>夫</t>
  </si>
  <si>
    <t>フ/ フウ/ ブ</t>
  </si>
  <si>
    <t>おっと、そ・れ</t>
  </si>
  <si>
    <t>敷</t>
  </si>
  <si>
    <t>し・く</t>
  </si>
  <si>
    <t>麩</t>
  </si>
  <si>
    <t>孵</t>
  </si>
  <si>
    <t>かえ・る、かえ・す</t>
  </si>
  <si>
    <t>孚</t>
  </si>
  <si>
    <t>枹</t>
  </si>
  <si>
    <t>PHU/PHÙ/BAO</t>
  </si>
  <si>
    <t>賦</t>
  </si>
  <si>
    <t>PHÚ</t>
  </si>
  <si>
    <t>富</t>
  </si>
  <si>
    <t>フ/ フウ</t>
  </si>
  <si>
    <t>とみ、と・む</t>
  </si>
  <si>
    <t>冨</t>
  </si>
  <si>
    <t>福</t>
  </si>
  <si>
    <t>PHÚC</t>
  </si>
  <si>
    <t>覆</t>
  </si>
  <si>
    <t>フク/ フウ</t>
  </si>
  <si>
    <t>おお・う、くつがえ・す</t>
  </si>
  <si>
    <t>幅</t>
  </si>
  <si>
    <t>蝮</t>
  </si>
  <si>
    <t>まむし</t>
  </si>
  <si>
    <t>腹</t>
  </si>
  <si>
    <t>PHÚC/PHỤC</t>
  </si>
  <si>
    <t>噴</t>
  </si>
  <si>
    <t>PHÚN</t>
  </si>
  <si>
    <t>ふ・く、は・く</t>
  </si>
  <si>
    <t>諷</t>
  </si>
  <si>
    <t>PHÚNG</t>
  </si>
  <si>
    <t>浮</t>
  </si>
  <si>
    <t>PHÙ</t>
  </si>
  <si>
    <t>う・かぶ</t>
  </si>
  <si>
    <t>符</t>
  </si>
  <si>
    <t>扶</t>
  </si>
  <si>
    <t>芙</t>
  </si>
  <si>
    <t>桴</t>
  </si>
  <si>
    <t>榑</t>
  </si>
  <si>
    <t>蜉</t>
  </si>
  <si>
    <t>俘</t>
  </si>
  <si>
    <t>縫</t>
  </si>
  <si>
    <t>PHÙNG</t>
  </si>
  <si>
    <t>ぬ・う</t>
  </si>
  <si>
    <t>逢</t>
  </si>
  <si>
    <t>否</t>
  </si>
  <si>
    <t>PHỦ</t>
  </si>
  <si>
    <t>いな</t>
  </si>
  <si>
    <t>府</t>
  </si>
  <si>
    <t>釜</t>
  </si>
  <si>
    <t>甫</t>
  </si>
  <si>
    <t>拊</t>
  </si>
  <si>
    <t>柎</t>
  </si>
  <si>
    <t>黼</t>
  </si>
  <si>
    <t>腑</t>
  </si>
  <si>
    <t>俯</t>
  </si>
  <si>
    <t>斧</t>
  </si>
  <si>
    <t>おの</t>
  </si>
  <si>
    <t>撫</t>
  </si>
  <si>
    <t>ブ</t>
  </si>
  <si>
    <t>な・でる</t>
  </si>
  <si>
    <t>PHỤ</t>
  </si>
  <si>
    <t>フ/ ブ/ ホ</t>
  </si>
  <si>
    <t>ちち</t>
  </si>
  <si>
    <t>負</t>
  </si>
  <si>
    <t>お・う、まけ・る</t>
  </si>
  <si>
    <t>附</t>
  </si>
  <si>
    <t>婦</t>
  </si>
  <si>
    <t>埠</t>
  </si>
  <si>
    <t>輔</t>
  </si>
  <si>
    <t>坿</t>
  </si>
  <si>
    <t>服</t>
  </si>
  <si>
    <t>PHỤC</t>
  </si>
  <si>
    <t>伏</t>
  </si>
  <si>
    <t>ふ・せる</t>
  </si>
  <si>
    <t>復</t>
  </si>
  <si>
    <t>奉</t>
  </si>
  <si>
    <t>PHỤNG</t>
  </si>
  <si>
    <t>たてまつ・る</t>
  </si>
  <si>
    <t>鳳</t>
  </si>
  <si>
    <t>おおとり</t>
  </si>
  <si>
    <t>肪</t>
  </si>
  <si>
    <t>PHƯƠNG</t>
  </si>
  <si>
    <t>芳</t>
  </si>
  <si>
    <t>かんば・しい</t>
  </si>
  <si>
    <t>妨</t>
  </si>
  <si>
    <t>また・げる</t>
  </si>
  <si>
    <t>枋</t>
  </si>
  <si>
    <t>坊</t>
  </si>
  <si>
    <t>PHƯỜNG</t>
  </si>
  <si>
    <t>紡</t>
  </si>
  <si>
    <t>PHƯỞNG</t>
  </si>
  <si>
    <t>つむ・ぐ</t>
  </si>
  <si>
    <t>縛</t>
  </si>
  <si>
    <t>PHƯỢC/PHỌC</t>
  </si>
  <si>
    <t>しば・る</t>
  </si>
  <si>
    <t>複</t>
  </si>
  <si>
    <t>PHỨC</t>
  </si>
  <si>
    <t>愎</t>
  </si>
  <si>
    <t>フク/ ヒョク</t>
  </si>
  <si>
    <t>馥</t>
  </si>
  <si>
    <t>PHỨC/PHỐC</t>
  </si>
  <si>
    <t>QUA</t>
  </si>
  <si>
    <t>柧</t>
  </si>
  <si>
    <t>うり</t>
  </si>
  <si>
    <t>咼</t>
  </si>
  <si>
    <t>堝</t>
  </si>
  <si>
    <t>るつぼ</t>
  </si>
  <si>
    <t>乖</t>
  </si>
  <si>
    <t>QUAI</t>
  </si>
  <si>
    <t>観</t>
  </si>
  <si>
    <t>QUAN</t>
  </si>
  <si>
    <t>関</t>
  </si>
  <si>
    <t>官</t>
  </si>
  <si>
    <t>棺</t>
  </si>
  <si>
    <t>冠</t>
  </si>
  <si>
    <t>QUAN/QUÁN</t>
  </si>
  <si>
    <t>かんむり</t>
  </si>
  <si>
    <t>光</t>
  </si>
  <si>
    <t>QUANG</t>
  </si>
  <si>
    <t>ひかり、ひか・る</t>
  </si>
  <si>
    <t>洸</t>
  </si>
  <si>
    <t>昿</t>
  </si>
  <si>
    <t>過</t>
  </si>
  <si>
    <t>QUÁ</t>
  </si>
  <si>
    <t>あやま・ち、す・ぎる</t>
  </si>
  <si>
    <t>郭</t>
  </si>
  <si>
    <t>QUÁCH</t>
  </si>
  <si>
    <t>槨</t>
  </si>
  <si>
    <t>椁</t>
  </si>
  <si>
    <t>怪</t>
  </si>
  <si>
    <t>QUÁI</t>
  </si>
  <si>
    <t>あや・しい、あや・しむ</t>
  </si>
  <si>
    <t>卦</t>
  </si>
  <si>
    <t>うらない</t>
  </si>
  <si>
    <t>恠</t>
  </si>
  <si>
    <t>夬</t>
  </si>
  <si>
    <t>貫</t>
  </si>
  <si>
    <t>QUÁN</t>
  </si>
  <si>
    <t>つらぬ・く</t>
  </si>
  <si>
    <t>館</t>
  </si>
  <si>
    <t>たち、たて、やかた</t>
  </si>
  <si>
    <t>慣</t>
  </si>
  <si>
    <t>な・れる、ならわ・し</t>
  </si>
  <si>
    <t>丱</t>
  </si>
  <si>
    <t>舘</t>
  </si>
  <si>
    <t>舌</t>
  </si>
  <si>
    <t>串</t>
  </si>
  <si>
    <t>QUÁN/XUYẾN</t>
  </si>
  <si>
    <t>くし</t>
  </si>
  <si>
    <t>括</t>
  </si>
  <si>
    <t>QUÁT</t>
  </si>
  <si>
    <t>くく・る</t>
  </si>
  <si>
    <t>菓</t>
  </si>
  <si>
    <t>QUẢ</t>
  </si>
  <si>
    <t>果</t>
  </si>
  <si>
    <t>は・たす</t>
  </si>
  <si>
    <t>寡</t>
  </si>
  <si>
    <t>すくな・い、やもめ</t>
  </si>
  <si>
    <t>拐</t>
  </si>
  <si>
    <t>QUẢI</t>
  </si>
  <si>
    <t>掛</t>
  </si>
  <si>
    <t>挂</t>
  </si>
  <si>
    <t>枴</t>
  </si>
  <si>
    <t>罫</t>
  </si>
  <si>
    <t>QUẢI/QUÁI</t>
  </si>
  <si>
    <t>管</t>
  </si>
  <si>
    <t>QUẢN</t>
  </si>
  <si>
    <t>くだ</t>
  </si>
  <si>
    <t>広</t>
  </si>
  <si>
    <t>QUẢNG</t>
  </si>
  <si>
    <t>ひろ・い</t>
  </si>
  <si>
    <t>廣</t>
  </si>
  <si>
    <t>軍</t>
  </si>
  <si>
    <t>QUÂN</t>
  </si>
  <si>
    <t>グン/ クン</t>
  </si>
  <si>
    <t>いくさ</t>
  </si>
  <si>
    <t>君</t>
  </si>
  <si>
    <t>きみ</t>
  </si>
  <si>
    <t>均</t>
  </si>
  <si>
    <t>桾</t>
  </si>
  <si>
    <t>皸</t>
  </si>
  <si>
    <t>ひび、あかぎれ</t>
  </si>
  <si>
    <t>皹</t>
  </si>
  <si>
    <t>橘</t>
  </si>
  <si>
    <t>QUẤT</t>
  </si>
  <si>
    <t>たちばな</t>
  </si>
  <si>
    <t>桔</t>
  </si>
  <si>
    <t>QUẤT/CÁT</t>
  </si>
  <si>
    <t>群</t>
  </si>
  <si>
    <t>QUẦN</t>
  </si>
  <si>
    <t>グン</t>
  </si>
  <si>
    <t>むら、む・れる</t>
  </si>
  <si>
    <t>麕</t>
  </si>
  <si>
    <t>キン/ クン</t>
  </si>
  <si>
    <t>のろ</t>
  </si>
  <si>
    <t>郡</t>
  </si>
  <si>
    <t>QUẬN</t>
  </si>
  <si>
    <t>堀</t>
  </si>
  <si>
    <t>QUẬT</t>
  </si>
  <si>
    <t>掘</t>
  </si>
  <si>
    <t>倔</t>
  </si>
  <si>
    <t>窟</t>
  </si>
  <si>
    <t>クツ/ コツ</t>
  </si>
  <si>
    <t>崛</t>
  </si>
  <si>
    <t>肱</t>
  </si>
  <si>
    <t>QUĂNG</t>
  </si>
  <si>
    <t>ひじ</t>
  </si>
  <si>
    <t>掴</t>
  </si>
  <si>
    <t>QUẮC</t>
  </si>
  <si>
    <t>つか・む</t>
  </si>
  <si>
    <t>攫</t>
  </si>
  <si>
    <t>矍</t>
  </si>
  <si>
    <t>幗</t>
  </si>
  <si>
    <t>カク/ カイ</t>
  </si>
  <si>
    <t>桂</t>
  </si>
  <si>
    <t>QUẾ</t>
  </si>
  <si>
    <t>かつら</t>
  </si>
  <si>
    <t>国</t>
  </si>
  <si>
    <t>QUỐC</t>
  </si>
  <si>
    <t>國</t>
  </si>
  <si>
    <t>圀</t>
  </si>
  <si>
    <t>規</t>
  </si>
  <si>
    <t>QUY/QUI</t>
  </si>
  <si>
    <t>帰</t>
  </si>
  <si>
    <t>かえ・る</t>
  </si>
  <si>
    <t>亀</t>
  </si>
  <si>
    <t>かめ</t>
  </si>
  <si>
    <t>歸</t>
  </si>
  <si>
    <t>龜</t>
  </si>
  <si>
    <t>QUY/QUI/CƯU/QUÂN</t>
  </si>
  <si>
    <t>絹</t>
  </si>
  <si>
    <t>QUYÊN</t>
  </si>
  <si>
    <t>きぬ</t>
  </si>
  <si>
    <t>悁</t>
  </si>
  <si>
    <t>捐</t>
  </si>
  <si>
    <t>涓</t>
  </si>
  <si>
    <t>娟</t>
  </si>
  <si>
    <t>ケン/ エン</t>
  </si>
  <si>
    <t>決</t>
  </si>
  <si>
    <t>QUYẾT</t>
  </si>
  <si>
    <t>き・める</t>
  </si>
  <si>
    <t>抉</t>
  </si>
  <si>
    <t>えぐ・る</t>
  </si>
  <si>
    <t>孑</t>
  </si>
  <si>
    <t>ゲツ/ ケツ</t>
  </si>
  <si>
    <t>决</t>
  </si>
  <si>
    <t>刔</t>
  </si>
  <si>
    <t>ケツ/ ケチ</t>
  </si>
  <si>
    <t>厥</t>
  </si>
  <si>
    <t>圏</t>
  </si>
  <si>
    <t>QUYỀN</t>
  </si>
  <si>
    <t>権</t>
  </si>
  <si>
    <t>ケン/ ゴン</t>
  </si>
  <si>
    <t>拳</t>
  </si>
  <si>
    <t>こぶし</t>
  </si>
  <si>
    <t>權</t>
  </si>
  <si>
    <t>惓</t>
  </si>
  <si>
    <t>蜷</t>
  </si>
  <si>
    <t>にな</t>
  </si>
  <si>
    <t>圈</t>
  </si>
  <si>
    <t>捲</t>
  </si>
  <si>
    <t>QUYỂN</t>
  </si>
  <si>
    <t>卷</t>
  </si>
  <si>
    <t>ま、く</t>
  </si>
  <si>
    <t>巻</t>
  </si>
  <si>
    <t>QUYỂN/QUYỀN</t>
  </si>
  <si>
    <t>倦</t>
  </si>
  <si>
    <t>QUYỆN</t>
  </si>
  <si>
    <t>う・む</t>
  </si>
  <si>
    <t>QUYNH</t>
  </si>
  <si>
    <t>夐</t>
  </si>
  <si>
    <t>夊</t>
  </si>
  <si>
    <t>貴</t>
  </si>
  <si>
    <t>QUÝ/QUÍ</t>
  </si>
  <si>
    <t>たっと・い、とうと・い</t>
  </si>
  <si>
    <t>癸</t>
  </si>
  <si>
    <t>みずのと</t>
  </si>
  <si>
    <t>悸</t>
  </si>
  <si>
    <t>葵</t>
  </si>
  <si>
    <t>QUỲ/QUÌ</t>
  </si>
  <si>
    <t>あおい</t>
  </si>
  <si>
    <t>QUỶ/QUỈ</t>
  </si>
  <si>
    <t>おに</t>
  </si>
  <si>
    <t>愧</t>
  </si>
  <si>
    <t>饋</t>
  </si>
  <si>
    <t>QUỸ</t>
  </si>
  <si>
    <t>軌</t>
  </si>
  <si>
    <t>QUỸ/QUĨ</t>
  </si>
  <si>
    <t>揆</t>
  </si>
  <si>
    <t>櫃</t>
  </si>
  <si>
    <t>ひつ</t>
  </si>
  <si>
    <t>匱</t>
  </si>
  <si>
    <t>砂</t>
  </si>
  <si>
    <t>SA</t>
  </si>
  <si>
    <t>サ/ シャ</t>
  </si>
  <si>
    <t>すな</t>
  </si>
  <si>
    <t>紗</t>
  </si>
  <si>
    <t>沙</t>
  </si>
  <si>
    <t>娑</t>
  </si>
  <si>
    <t>差</t>
  </si>
  <si>
    <t>SAI</t>
  </si>
  <si>
    <t>さ・す</t>
  </si>
  <si>
    <t>搓</t>
  </si>
  <si>
    <t>嵯</t>
  </si>
  <si>
    <t>嵳</t>
  </si>
  <si>
    <t>SAM</t>
  </si>
  <si>
    <t>サン/ セン</t>
  </si>
  <si>
    <t>杉</t>
  </si>
  <si>
    <t>SAM/SOAN</t>
  </si>
  <si>
    <t>サン</t>
  </si>
  <si>
    <t>すぎ</t>
  </si>
  <si>
    <t>刊</t>
  </si>
  <si>
    <t>SAN</t>
  </si>
  <si>
    <t>餐</t>
  </si>
  <si>
    <t>刋</t>
  </si>
  <si>
    <t>刪</t>
  </si>
  <si>
    <t>瘡</t>
  </si>
  <si>
    <t>SANG</t>
  </si>
  <si>
    <t>ソウ</t>
  </si>
  <si>
    <t>搶</t>
  </si>
  <si>
    <t>SANG/THƯƠNG</t>
  </si>
  <si>
    <t>抄</t>
  </si>
  <si>
    <t>SAO</t>
  </si>
  <si>
    <t>ショウ/ ソウ</t>
  </si>
  <si>
    <t>蛸</t>
  </si>
  <si>
    <t>梢</t>
  </si>
  <si>
    <t>SAO/TIÊU</t>
  </si>
  <si>
    <t>こずえ</t>
  </si>
  <si>
    <t>侘</t>
  </si>
  <si>
    <t>SÁ</t>
  </si>
  <si>
    <t>わ・びる、わび・しい</t>
  </si>
  <si>
    <t>策</t>
  </si>
  <si>
    <t>SÁCH</t>
  </si>
  <si>
    <t>サク</t>
  </si>
  <si>
    <t>冊</t>
  </si>
  <si>
    <t>サツ/ サク/ シャク</t>
  </si>
  <si>
    <t>拆</t>
  </si>
  <si>
    <t>タク</t>
  </si>
  <si>
    <t>柵</t>
  </si>
  <si>
    <t>サク/ サン</t>
  </si>
  <si>
    <t>册</t>
  </si>
  <si>
    <t>テキ/ チャク</t>
  </si>
  <si>
    <t>索</t>
  </si>
  <si>
    <t>SÁCH/TÁC</t>
  </si>
  <si>
    <t>懴</t>
  </si>
  <si>
    <t>SÁM</t>
  </si>
  <si>
    <t>懺</t>
  </si>
  <si>
    <t>疝</t>
  </si>
  <si>
    <t>SÁN</t>
  </si>
  <si>
    <t>汕</t>
  </si>
  <si>
    <t>創</t>
  </si>
  <si>
    <t>SÁNG</t>
  </si>
  <si>
    <t>套</t>
  </si>
  <si>
    <t>SÁO</t>
  </si>
  <si>
    <t>渋</t>
  </si>
  <si>
    <t>SÁP</t>
  </si>
  <si>
    <t>しぶ・い、しぶ</t>
  </si>
  <si>
    <t>歃</t>
  </si>
  <si>
    <t>ソウ/ ショウ</t>
  </si>
  <si>
    <t>插</t>
  </si>
  <si>
    <t>SÁP/THÁP</t>
  </si>
  <si>
    <t>察</t>
  </si>
  <si>
    <t>SÁT</t>
  </si>
  <si>
    <t>擦</t>
  </si>
  <si>
    <t>す・る、こす・る</t>
  </si>
  <si>
    <t>殺</t>
  </si>
  <si>
    <t>サイ/ サツ/ セツ</t>
  </si>
  <si>
    <t>ころ・す</t>
  </si>
  <si>
    <t>刹</t>
  </si>
  <si>
    <t>柴</t>
  </si>
  <si>
    <t>SÀI</t>
  </si>
  <si>
    <t>サイ</t>
  </si>
  <si>
    <t>巉</t>
  </si>
  <si>
    <t>SÀM</t>
  </si>
  <si>
    <t>讒</t>
  </si>
  <si>
    <t>孱</t>
  </si>
  <si>
    <t>SÀN</t>
  </si>
  <si>
    <t>セン/ サン</t>
  </si>
  <si>
    <t>床</t>
  </si>
  <si>
    <t>SÀNG</t>
  </si>
  <si>
    <t>ゆか、とこ</t>
  </si>
  <si>
    <t>牀</t>
  </si>
  <si>
    <t>爿</t>
  </si>
  <si>
    <t>巣</t>
  </si>
  <si>
    <t>SÀO</t>
  </si>
  <si>
    <t>捨</t>
  </si>
  <si>
    <t>SẢ</t>
  </si>
  <si>
    <t>す・てる</t>
  </si>
  <si>
    <t>産</t>
  </si>
  <si>
    <t>SẢN</t>
  </si>
  <si>
    <t>うぶ、う・まれる</t>
  </si>
  <si>
    <t>爽</t>
  </si>
  <si>
    <t>SẢNG</t>
  </si>
  <si>
    <t>さわ・やか</t>
  </si>
  <si>
    <t>庁</t>
  </si>
  <si>
    <t>SẢNH</t>
  </si>
  <si>
    <t>廰</t>
  </si>
  <si>
    <t>SẢNH/THINH</t>
  </si>
  <si>
    <t>廳</t>
  </si>
  <si>
    <t>乍</t>
  </si>
  <si>
    <t>SẠ/TÁC</t>
  </si>
  <si>
    <t>サ/ ジャ</t>
  </si>
  <si>
    <t>なが・ら</t>
  </si>
  <si>
    <t>桟</t>
  </si>
  <si>
    <t>SẠN</t>
  </si>
  <si>
    <t>サン/ ゼン/ セン</t>
  </si>
  <si>
    <t>さん、かけはし</t>
  </si>
  <si>
    <t>棧</t>
  </si>
  <si>
    <t>サン/ セン/ ゼン</t>
  </si>
  <si>
    <t>さん</t>
  </si>
  <si>
    <t>森</t>
  </si>
  <si>
    <t>SÂM</t>
  </si>
  <si>
    <t>槙</t>
  </si>
  <si>
    <t>SÂN</t>
  </si>
  <si>
    <t>齔</t>
  </si>
  <si>
    <t>SẤN</t>
  </si>
  <si>
    <t>叱</t>
  </si>
  <si>
    <t>SẤT</t>
  </si>
  <si>
    <t>しか・る</t>
  </si>
  <si>
    <t>痩</t>
  </si>
  <si>
    <t>SẤU</t>
  </si>
  <si>
    <t>や・せる</t>
  </si>
  <si>
    <t>嗽</t>
  </si>
  <si>
    <t>ソウ/ ソク</t>
  </si>
  <si>
    <t>岑</t>
  </si>
  <si>
    <t>SẦM</t>
  </si>
  <si>
    <t>愁</t>
  </si>
  <si>
    <t>SẦU</t>
  </si>
  <si>
    <t>うれ・い</t>
  </si>
  <si>
    <t>笹</t>
  </si>
  <si>
    <t>(sậy)</t>
  </si>
  <si>
    <t>ささ</t>
  </si>
  <si>
    <t>SẮC</t>
  </si>
  <si>
    <t>いろ</t>
  </si>
  <si>
    <t>勅</t>
  </si>
  <si>
    <t>敕</t>
  </si>
  <si>
    <t>嗇</t>
  </si>
  <si>
    <t>虱</t>
  </si>
  <si>
    <t>SẮT</t>
  </si>
  <si>
    <t>しらみ</t>
  </si>
  <si>
    <t>蝨</t>
  </si>
  <si>
    <t>痴</t>
  </si>
  <si>
    <t>SI</t>
  </si>
  <si>
    <t>し・れる</t>
  </si>
  <si>
    <t>癡</t>
  </si>
  <si>
    <t>魑</t>
  </si>
  <si>
    <t>嗤</t>
  </si>
  <si>
    <t>徙</t>
  </si>
  <si>
    <t>SI/TỶ</t>
  </si>
  <si>
    <t>超</t>
  </si>
  <si>
    <t>SIÊU</t>
  </si>
  <si>
    <t>こ・える</t>
  </si>
  <si>
    <t>牲</t>
  </si>
  <si>
    <t>SINH</t>
  </si>
  <si>
    <t>い・きる、なま</t>
  </si>
  <si>
    <t>翅</t>
  </si>
  <si>
    <t>SÍ</t>
  </si>
  <si>
    <t>廁</t>
  </si>
  <si>
    <t>かわや</t>
  </si>
  <si>
    <t>恥</t>
  </si>
  <si>
    <t>SỈ</t>
  </si>
  <si>
    <t>はじ、は・じる、は・ずかしい</t>
  </si>
  <si>
    <t>仕</t>
  </si>
  <si>
    <r>
      <t>S</t>
    </r>
    <r>
      <rPr>
        <sz val="11"/>
        <rFont val="ＭＳ Ｐゴシック"/>
        <family val="3"/>
        <charset val="128"/>
      </rPr>
      <t>Ĩ</t>
    </r>
  </si>
  <si>
    <t>つか・える</t>
  </si>
  <si>
    <t>俟</t>
  </si>
  <si>
    <t>シ/ ジ</t>
  </si>
  <si>
    <t>蓑</t>
  </si>
  <si>
    <t>SOA/THOA</t>
  </si>
  <si>
    <t>みの</t>
  </si>
  <si>
    <t>簒</t>
  </si>
  <si>
    <t>SOÁN</t>
  </si>
  <si>
    <t>撰</t>
  </si>
  <si>
    <t>SOẠN</t>
  </si>
  <si>
    <t>えら・ぶ</t>
  </si>
  <si>
    <t>窓</t>
  </si>
  <si>
    <t>SONG</t>
  </si>
  <si>
    <t>まど</t>
  </si>
  <si>
    <t>双</t>
  </si>
  <si>
    <t>ふた</t>
  </si>
  <si>
    <t>雙</t>
  </si>
  <si>
    <t>槊</t>
  </si>
  <si>
    <t>SÓC/SÁO</t>
  </si>
  <si>
    <t>皺</t>
  </si>
  <si>
    <t>SÔ</t>
  </si>
  <si>
    <t>しわ</t>
  </si>
  <si>
    <t>芻</t>
  </si>
  <si>
    <t>シュ/ ス/ スウ</t>
  </si>
  <si>
    <t>数</t>
  </si>
  <si>
    <t>SỐ</t>
  </si>
  <si>
    <t>スウ/ ス</t>
  </si>
  <si>
    <t>かず、かぞ・える</t>
  </si>
  <si>
    <t>數</t>
  </si>
  <si>
    <t>スウ</t>
  </si>
  <si>
    <t>雛</t>
  </si>
  <si>
    <t>SỒ</t>
  </si>
  <si>
    <t>ひよこ、ひな</t>
  </si>
  <si>
    <t>疎</t>
  </si>
  <si>
    <t>SƠ</t>
  </si>
  <si>
    <t>うと・い</t>
  </si>
  <si>
    <t>初</t>
  </si>
  <si>
    <t>ショ/ ソ</t>
  </si>
  <si>
    <t>はじ・め、はじ・めて、そ・める、はつ、うい、うぶ</t>
  </si>
  <si>
    <t>梳</t>
  </si>
  <si>
    <t>くしけず・る</t>
  </si>
  <si>
    <t>SƠN/SAN</t>
  </si>
  <si>
    <t>やま</t>
  </si>
  <si>
    <t>礎</t>
  </si>
  <si>
    <t>SỞ</t>
  </si>
  <si>
    <t>いしずえ</t>
  </si>
  <si>
    <t>所</t>
  </si>
  <si>
    <t>ところ</t>
  </si>
  <si>
    <t>楚</t>
  </si>
  <si>
    <t>充</t>
  </si>
  <si>
    <t>SUNG</t>
  </si>
  <si>
    <t>あ・てる、み・ちる</t>
  </si>
  <si>
    <t>迚</t>
  </si>
  <si>
    <t>(sung)</t>
  </si>
  <si>
    <t>とて・も</t>
  </si>
  <si>
    <t>憧</t>
  </si>
  <si>
    <t>ショウ/ ドウ</t>
  </si>
  <si>
    <t>衰</t>
  </si>
  <si>
    <t>SUY</t>
  </si>
  <si>
    <t>スイ</t>
  </si>
  <si>
    <t>おとろ・える</t>
  </si>
  <si>
    <t>榱</t>
  </si>
  <si>
    <t>推</t>
  </si>
  <si>
    <t>SUY/THÔI</t>
  </si>
  <si>
    <t>スイ/ タイ</t>
  </si>
  <si>
    <t>喘</t>
  </si>
  <si>
    <t>SUYỄN</t>
  </si>
  <si>
    <t>あえ・ぐ</t>
  </si>
  <si>
    <t>畜</t>
  </si>
  <si>
    <t>SÚC</t>
  </si>
  <si>
    <t>チク</t>
  </si>
  <si>
    <t>縮</t>
  </si>
  <si>
    <t>ちぢ・む</t>
  </si>
  <si>
    <t>蓄</t>
  </si>
  <si>
    <t>たくわ・える</t>
  </si>
  <si>
    <t>矗</t>
  </si>
  <si>
    <t>チョク/ チク</t>
  </si>
  <si>
    <t>銃</t>
  </si>
  <si>
    <t>SÚNG</t>
  </si>
  <si>
    <t>ジュウ/ シュ/ シュウ</t>
  </si>
  <si>
    <t>帥</t>
  </si>
  <si>
    <t>SÚY/SOÁI/SUẤT</t>
  </si>
  <si>
    <t>崇</t>
  </si>
  <si>
    <t>SÙNG</t>
  </si>
  <si>
    <t>スウ/ ス/ シュウ/ シュ</t>
  </si>
  <si>
    <t>寵</t>
  </si>
  <si>
    <t>SỦNG</t>
  </si>
  <si>
    <t>揣</t>
  </si>
  <si>
    <t>SỦY</t>
  </si>
  <si>
    <t>シ/ スイ</t>
  </si>
  <si>
    <t>師</t>
  </si>
  <si>
    <t>SƯ</t>
  </si>
  <si>
    <t>獅</t>
  </si>
  <si>
    <t>霜</t>
  </si>
  <si>
    <t>SƯƠNG</t>
  </si>
  <si>
    <t>しも</t>
  </si>
  <si>
    <t>孀</t>
  </si>
  <si>
    <t>廂</t>
  </si>
  <si>
    <t>ひさし</t>
  </si>
  <si>
    <t>暢</t>
  </si>
  <si>
    <t>SƯỚNG</t>
  </si>
  <si>
    <t>昶</t>
  </si>
  <si>
    <t>SƯỞNG</t>
  </si>
  <si>
    <t>チョウ/ ショウ</t>
  </si>
  <si>
    <t>敞</t>
  </si>
  <si>
    <t>捜</t>
  </si>
  <si>
    <t>SƯU</t>
  </si>
  <si>
    <t>さが・す</t>
  </si>
  <si>
    <t>搜</t>
  </si>
  <si>
    <t>飾</t>
  </si>
  <si>
    <t>SỨC</t>
  </si>
  <si>
    <t>かざ・る</t>
  </si>
  <si>
    <t>鋤</t>
  </si>
  <si>
    <t>SỪ</t>
  </si>
  <si>
    <t>ジョ/ ショ</t>
  </si>
  <si>
    <t>すき</t>
  </si>
  <si>
    <t>史</t>
  </si>
  <si>
    <t>SỬ</t>
  </si>
  <si>
    <t>ふみ</t>
  </si>
  <si>
    <t>使</t>
  </si>
  <si>
    <t>SỬ/SỨ</t>
  </si>
  <si>
    <t>つか・う</t>
  </si>
  <si>
    <t>丑</t>
  </si>
  <si>
    <t>SỬU</t>
  </si>
  <si>
    <t>事</t>
  </si>
  <si>
    <t>SỰ</t>
  </si>
  <si>
    <t>ジ/ シ/ ズ</t>
  </si>
  <si>
    <t>些</t>
  </si>
  <si>
    <t>TA</t>
  </si>
  <si>
    <t>いささ・か</t>
  </si>
  <si>
    <t>嗟</t>
  </si>
  <si>
    <t>災</t>
  </si>
  <si>
    <t>TAI</t>
  </si>
  <si>
    <t>わざわ・い</t>
  </si>
  <si>
    <t>哉</t>
  </si>
  <si>
    <t>かな、や</t>
  </si>
  <si>
    <t>三</t>
  </si>
  <si>
    <t>TAM</t>
  </si>
  <si>
    <t>み、みっ・つ</t>
  </si>
  <si>
    <t>桑</t>
  </si>
  <si>
    <t>TANG</t>
  </si>
  <si>
    <t>くわ</t>
  </si>
  <si>
    <t>喪</t>
  </si>
  <si>
    <t>TANG/TÁNG</t>
  </si>
  <si>
    <t>も、うしな・う</t>
  </si>
  <si>
    <t>遭</t>
  </si>
  <si>
    <t>TAO</t>
  </si>
  <si>
    <t>騒</t>
  </si>
  <si>
    <t>さわ・ぐ、さわ・がしい</t>
  </si>
  <si>
    <t>掻</t>
  </si>
  <si>
    <t>か・く</t>
  </si>
  <si>
    <t>繰</t>
  </si>
  <si>
    <t>TAO/TÀO</t>
  </si>
  <si>
    <t>く・る</t>
  </si>
  <si>
    <t>佐</t>
  </si>
  <si>
    <t>TÁ</t>
  </si>
  <si>
    <t>たすけ</t>
  </si>
  <si>
    <t>借</t>
  </si>
  <si>
    <t>か・りる</t>
  </si>
  <si>
    <t>卸</t>
  </si>
  <si>
    <t>おろ・す</t>
  </si>
  <si>
    <t>作</t>
  </si>
  <si>
    <t>TÁC</t>
  </si>
  <si>
    <t>サ/ サク</t>
  </si>
  <si>
    <t>つく・る</t>
  </si>
  <si>
    <t>再</t>
  </si>
  <si>
    <t>TÁI</t>
  </si>
  <si>
    <t>ふたた・び</t>
  </si>
  <si>
    <t>賽</t>
  </si>
  <si>
    <t>賛</t>
  </si>
  <si>
    <t>TÁN</t>
  </si>
  <si>
    <t>散</t>
  </si>
  <si>
    <t>ち・る</t>
  </si>
  <si>
    <t>攅</t>
  </si>
  <si>
    <t>葬</t>
  </si>
  <si>
    <t>TÁNG</t>
  </si>
  <si>
    <t>蔵</t>
  </si>
  <si>
    <t>ゾウ</t>
  </si>
  <si>
    <t>燥</t>
  </si>
  <si>
    <t>TÁO</t>
  </si>
  <si>
    <t>躁</t>
  </si>
  <si>
    <t>噪</t>
  </si>
  <si>
    <t>匝</t>
  </si>
  <si>
    <t>TÁP</t>
  </si>
  <si>
    <t>撒</t>
  </si>
  <si>
    <t>TÁT</t>
  </si>
  <si>
    <t>サツ/ サン</t>
  </si>
  <si>
    <t>邪</t>
  </si>
  <si>
    <t>TÀ</t>
  </si>
  <si>
    <t>ジャ</t>
  </si>
  <si>
    <t>斜</t>
  </si>
  <si>
    <t>なな・め</t>
  </si>
  <si>
    <t>才</t>
  </si>
  <si>
    <t>TÀI</t>
  </si>
  <si>
    <t>サイ/ ザイ</t>
  </si>
  <si>
    <t>財</t>
  </si>
  <si>
    <t>ザイ</t>
  </si>
  <si>
    <t>裁</t>
  </si>
  <si>
    <t>さば・く、た・つ</t>
  </si>
  <si>
    <t>材</t>
  </si>
  <si>
    <t>ザイ/ サイ</t>
  </si>
  <si>
    <t>截</t>
  </si>
  <si>
    <t>栽</t>
  </si>
  <si>
    <t>TÀI/TẢI</t>
  </si>
  <si>
    <t>戝</t>
  </si>
  <si>
    <t>TÀI/TẶC</t>
  </si>
  <si>
    <t>慚</t>
  </si>
  <si>
    <t>TÀM</t>
  </si>
  <si>
    <t>サン/ ザン</t>
  </si>
  <si>
    <t>はじ、はじる</t>
  </si>
  <si>
    <t>慙</t>
  </si>
  <si>
    <t>蠶</t>
  </si>
  <si>
    <t>かいこ</t>
  </si>
  <si>
    <t>残</t>
  </si>
  <si>
    <t>TÀN</t>
  </si>
  <si>
    <t>ザン</t>
  </si>
  <si>
    <t>のこ・る</t>
  </si>
  <si>
    <t>殘</t>
  </si>
  <si>
    <t>曹</t>
  </si>
  <si>
    <t>TÀO</t>
  </si>
  <si>
    <t>槽</t>
  </si>
  <si>
    <t>写</t>
  </si>
  <si>
    <t>TẢ</t>
  </si>
  <si>
    <t>うつ・す</t>
  </si>
  <si>
    <t>左</t>
  </si>
  <si>
    <t>ひだり</t>
  </si>
  <si>
    <t>冩</t>
  </si>
  <si>
    <t>寫</t>
  </si>
  <si>
    <t>載</t>
  </si>
  <si>
    <t>TẢI/TÁI</t>
  </si>
  <si>
    <t>の・せる</t>
  </si>
  <si>
    <t>傘</t>
  </si>
  <si>
    <t>TẢN</t>
  </si>
  <si>
    <t>霰</t>
  </si>
  <si>
    <t>あられ</t>
  </si>
  <si>
    <t>藻</t>
  </si>
  <si>
    <t>TẢO</t>
  </si>
  <si>
    <t>も</t>
  </si>
  <si>
    <t>掃</t>
  </si>
  <si>
    <t>早</t>
  </si>
  <si>
    <t>はや・い</t>
  </si>
  <si>
    <t>棗</t>
  </si>
  <si>
    <t>なつめ</t>
  </si>
  <si>
    <t>蚤</t>
  </si>
  <si>
    <t>のみ</t>
  </si>
  <si>
    <t>漕</t>
  </si>
  <si>
    <t>こ・ぐ</t>
  </si>
  <si>
    <t>謝</t>
  </si>
  <si>
    <t>TẠ</t>
  </si>
  <si>
    <t>酢</t>
  </si>
  <si>
    <t>TẠC</t>
  </si>
  <si>
    <t>昨</t>
  </si>
  <si>
    <t>炸</t>
  </si>
  <si>
    <t>サク/ サ</t>
  </si>
  <si>
    <t>柞</t>
  </si>
  <si>
    <t>TẠC/TRÁCH</t>
  </si>
  <si>
    <t>在</t>
  </si>
  <si>
    <t>TẠI</t>
  </si>
  <si>
    <t>暫</t>
  </si>
  <si>
    <t>TẠM</t>
  </si>
  <si>
    <t>しばら・く</t>
  </si>
  <si>
    <t>槧</t>
  </si>
  <si>
    <t>TẠM/THIỄM</t>
  </si>
  <si>
    <t>臓</t>
  </si>
  <si>
    <t>TẠNG</t>
  </si>
  <si>
    <t>臟</t>
  </si>
  <si>
    <t>造</t>
  </si>
  <si>
    <t>TẠO/THÁO</t>
  </si>
  <si>
    <t>雑</t>
  </si>
  <si>
    <t>TẠP</t>
  </si>
  <si>
    <t>ザツ/ ゾウ</t>
  </si>
  <si>
    <t>ま・じる、ま・ぜる</t>
  </si>
  <si>
    <t>囃</t>
  </si>
  <si>
    <t>はや・し</t>
  </si>
  <si>
    <t>卅</t>
  </si>
  <si>
    <t>TẠP/NẪM</t>
  </si>
  <si>
    <t>さんじゅう</t>
  </si>
  <si>
    <t>拶</t>
  </si>
  <si>
    <t>TẠT/TÁN</t>
  </si>
  <si>
    <t>TÂM</t>
  </si>
  <si>
    <t>こころ</t>
  </si>
  <si>
    <t>津</t>
  </si>
  <si>
    <t>TÂN</t>
  </si>
  <si>
    <t>薪</t>
  </si>
  <si>
    <t>たきぎ</t>
  </si>
  <si>
    <t>から・い、つら・い</t>
  </si>
  <si>
    <t>賓</t>
  </si>
  <si>
    <t>新</t>
  </si>
  <si>
    <t>あたら・しい、あら・た、にい</t>
  </si>
  <si>
    <t>檳</t>
  </si>
  <si>
    <t>ビン/ ヒン</t>
  </si>
  <si>
    <t>梹</t>
  </si>
  <si>
    <t>浜</t>
  </si>
  <si>
    <t>TÂN/BANH</t>
  </si>
  <si>
    <t>はま</t>
  </si>
  <si>
    <t>西</t>
  </si>
  <si>
    <t>TÂY</t>
  </si>
  <si>
    <t>サイ/ セイ</t>
  </si>
  <si>
    <t>にし</t>
  </si>
  <si>
    <t>迅</t>
  </si>
  <si>
    <t>TẤN</t>
  </si>
  <si>
    <t>ジン/ シン</t>
  </si>
  <si>
    <t>晋</t>
  </si>
  <si>
    <t>（名前）すすむ</t>
  </si>
  <si>
    <t>擯</t>
  </si>
  <si>
    <t>晉</t>
  </si>
  <si>
    <t>殯</t>
  </si>
  <si>
    <t>TẤN/THẤN</t>
  </si>
  <si>
    <t>漆</t>
  </si>
  <si>
    <t>TẤT</t>
  </si>
  <si>
    <t>うるし</t>
  </si>
  <si>
    <t>必</t>
  </si>
  <si>
    <t>かなら・ず</t>
  </si>
  <si>
    <t>膝</t>
  </si>
  <si>
    <t>ひざ</t>
  </si>
  <si>
    <t>蟋</t>
  </si>
  <si>
    <t>奏</t>
  </si>
  <si>
    <t>TẤU</t>
  </si>
  <si>
    <t>かな・でる</t>
  </si>
  <si>
    <t>尋</t>
  </si>
  <si>
    <t>TẦM</t>
  </si>
  <si>
    <t>たず・ねる、ひろ</t>
  </si>
  <si>
    <t>蕁</t>
  </si>
  <si>
    <t>頻</t>
  </si>
  <si>
    <t>TẦN</t>
  </si>
  <si>
    <t>しき・り</t>
  </si>
  <si>
    <t>秦</t>
  </si>
  <si>
    <t>顰</t>
  </si>
  <si>
    <t>ひそ・める、しか・める</t>
  </si>
  <si>
    <t>瀕</t>
  </si>
  <si>
    <t>嬪</t>
  </si>
  <si>
    <t>層</t>
  </si>
  <si>
    <t>TẦNG/TẰNG</t>
  </si>
  <si>
    <t>浸</t>
  </si>
  <si>
    <t>TẨM</t>
  </si>
  <si>
    <t>ひた・す</t>
  </si>
  <si>
    <t>寝</t>
  </si>
  <si>
    <t>寢</t>
  </si>
  <si>
    <t>TẨU</t>
  </si>
  <si>
    <t>はし・る</t>
  </si>
  <si>
    <t>薮</t>
  </si>
  <si>
    <t>やぶ</t>
  </si>
  <si>
    <t>叟</t>
  </si>
  <si>
    <t>ス/ ソウ</t>
  </si>
  <si>
    <t>嗾</t>
  </si>
  <si>
    <t>嫂</t>
  </si>
  <si>
    <t>あによめ</t>
  </si>
  <si>
    <t>洗</t>
  </si>
  <si>
    <t>TẨY</t>
  </si>
  <si>
    <t>あら・う</t>
  </si>
  <si>
    <t>晒</t>
  </si>
  <si>
    <t>サイ/ セ</t>
  </si>
  <si>
    <t>洒</t>
  </si>
  <si>
    <t>牝</t>
  </si>
  <si>
    <t>TẪN</t>
  </si>
  <si>
    <t>めす</t>
  </si>
  <si>
    <t>尽</t>
  </si>
  <si>
    <t>TẬN</t>
  </si>
  <si>
    <t>つ・くす</t>
  </si>
  <si>
    <t>儘</t>
  </si>
  <si>
    <t>まま</t>
  </si>
  <si>
    <t>侭</t>
  </si>
  <si>
    <t>習</t>
  </si>
  <si>
    <t>TẬP</t>
  </si>
  <si>
    <t>集</t>
  </si>
  <si>
    <t>あつ・める</t>
  </si>
  <si>
    <t>襲</t>
  </si>
  <si>
    <t>おそ・う</t>
  </si>
  <si>
    <t>葺</t>
  </si>
  <si>
    <t>ふ・く</t>
  </si>
  <si>
    <t>疾</t>
  </si>
  <si>
    <t>TẬT</t>
  </si>
  <si>
    <t>嫉</t>
  </si>
  <si>
    <t>僧</t>
  </si>
  <si>
    <t>TĂNG</t>
  </si>
  <si>
    <t>増</t>
  </si>
  <si>
    <t>ゾウ/ ソウ</t>
  </si>
  <si>
    <t>ふ・える、ま・す</t>
  </si>
  <si>
    <t>憎</t>
  </si>
  <si>
    <t>にく・む</t>
  </si>
  <si>
    <t>囎</t>
  </si>
  <si>
    <t>そ</t>
  </si>
  <si>
    <t>則</t>
  </si>
  <si>
    <t>TẮC</t>
  </si>
  <si>
    <t>ソク</t>
  </si>
  <si>
    <t>塞</t>
  </si>
  <si>
    <t>TẮC/TÁI</t>
  </si>
  <si>
    <t>ソク/ サイ</t>
  </si>
  <si>
    <t>ふさ・ぐ</t>
  </si>
  <si>
    <t>蚕</t>
  </si>
  <si>
    <t>TẰM</t>
  </si>
  <si>
    <t>曽</t>
  </si>
  <si>
    <t>TẰNG</t>
  </si>
  <si>
    <t>ソ/ ゾ/ ソウ/ ゾウ</t>
  </si>
  <si>
    <t>曾</t>
  </si>
  <si>
    <t>噌</t>
  </si>
  <si>
    <t>ショウ/ ソ/ ソウ</t>
  </si>
  <si>
    <t>賊</t>
  </si>
  <si>
    <t>TẶC</t>
  </si>
  <si>
    <t>ゾク</t>
  </si>
  <si>
    <t>贈</t>
  </si>
  <si>
    <t>TẶNG</t>
  </si>
  <si>
    <t>おく・る</t>
  </si>
  <si>
    <t>痺</t>
  </si>
  <si>
    <t>TÊ</t>
  </si>
  <si>
    <t>しび・れる</t>
  </si>
  <si>
    <t>齎</t>
  </si>
  <si>
    <t>斉</t>
  </si>
  <si>
    <t>サイ/ シ</t>
  </si>
  <si>
    <t>もたら・す</t>
  </si>
  <si>
    <t>厮</t>
  </si>
  <si>
    <t>嘶</t>
  </si>
  <si>
    <t>サイ/ シ/ セイ</t>
  </si>
  <si>
    <t>いなな・く</t>
  </si>
  <si>
    <t>犀</t>
  </si>
  <si>
    <t>撕</t>
  </si>
  <si>
    <t>TÊ/TY</t>
  </si>
  <si>
    <t>シ/ サイ/ セイ</t>
  </si>
  <si>
    <t>済</t>
  </si>
  <si>
    <t>TẾ</t>
  </si>
  <si>
    <t>す・む</t>
  </si>
  <si>
    <t>祭</t>
  </si>
  <si>
    <t>まつり、まつ・る</t>
  </si>
  <si>
    <t>細</t>
  </si>
  <si>
    <t>ほそ・い、こま・かい</t>
  </si>
  <si>
    <t>際</t>
  </si>
  <si>
    <t>きわ</t>
  </si>
  <si>
    <t>婿</t>
  </si>
  <si>
    <t>むこ</t>
  </si>
  <si>
    <t>蔽</t>
  </si>
  <si>
    <t>ヘイ/ フツ</t>
  </si>
  <si>
    <t>壻</t>
  </si>
  <si>
    <t>TỀ</t>
  </si>
  <si>
    <t>ひと・しい</t>
  </si>
  <si>
    <t>儕</t>
  </si>
  <si>
    <t>宰</t>
  </si>
  <si>
    <t>TỂ</t>
  </si>
  <si>
    <t>仔</t>
  </si>
  <si>
    <t>擠</t>
  </si>
  <si>
    <t>TỂ/TÊ</t>
  </si>
  <si>
    <t>セイ/ サイ</t>
  </si>
  <si>
    <t>剤</t>
  </si>
  <si>
    <t>TỄ</t>
  </si>
  <si>
    <t>劑</t>
  </si>
  <si>
    <t>幣</t>
  </si>
  <si>
    <t>TỆ</t>
  </si>
  <si>
    <t>ぬさ</t>
  </si>
  <si>
    <t>弊</t>
  </si>
  <si>
    <t>敝</t>
  </si>
  <si>
    <t>斃</t>
  </si>
  <si>
    <t>幤</t>
  </si>
  <si>
    <t>他</t>
  </si>
  <si>
    <t>THA</t>
  </si>
  <si>
    <t>ほか</t>
  </si>
  <si>
    <t>它</t>
  </si>
  <si>
    <t>胎</t>
  </si>
  <si>
    <t>THAI</t>
  </si>
  <si>
    <t>貪</t>
  </si>
  <si>
    <t>THAM</t>
  </si>
  <si>
    <t>タン/ トン</t>
  </si>
  <si>
    <t>むさぼ・る</t>
  </si>
  <si>
    <t>参</t>
  </si>
  <si>
    <t>THAM/SÂM</t>
  </si>
  <si>
    <t>まい・る</t>
  </si>
  <si>
    <t>參</t>
  </si>
  <si>
    <t>攤</t>
  </si>
  <si>
    <t>THAN</t>
  </si>
  <si>
    <t>湯</t>
  </si>
  <si>
    <t>THANG</t>
  </si>
  <si>
    <t>ゆ</t>
  </si>
  <si>
    <t>清</t>
  </si>
  <si>
    <t>THANH</t>
  </si>
  <si>
    <t>きよ・い</t>
  </si>
  <si>
    <t>青</t>
  </si>
  <si>
    <t>あお、あお・い</t>
  </si>
  <si>
    <t>声</t>
  </si>
  <si>
    <t>こえ、こわ</t>
  </si>
  <si>
    <t>懆</t>
  </si>
  <si>
    <t>THAO</t>
  </si>
  <si>
    <t>叨</t>
  </si>
  <si>
    <t>操</t>
  </si>
  <si>
    <t>THAO/THÁO</t>
  </si>
  <si>
    <t>あやつ・る、みさお</t>
  </si>
  <si>
    <t>託</t>
  </si>
  <si>
    <t>THÁC</t>
  </si>
  <si>
    <t>錯</t>
  </si>
  <si>
    <t>拓</t>
  </si>
  <si>
    <t>タク/ セキ</t>
  </si>
  <si>
    <t>托</t>
  </si>
  <si>
    <t>柝</t>
  </si>
  <si>
    <t>泰</t>
  </si>
  <si>
    <t>THÁI</t>
  </si>
  <si>
    <t>菜</t>
  </si>
  <si>
    <t>太</t>
  </si>
  <si>
    <t>タ/ タイ</t>
  </si>
  <si>
    <t>ふと・い</t>
  </si>
  <si>
    <t>態</t>
  </si>
  <si>
    <t>わざ・と</t>
  </si>
  <si>
    <t>彩</t>
  </si>
  <si>
    <t>THÁI/THẢI</t>
  </si>
  <si>
    <t>いろど・る</t>
  </si>
  <si>
    <t>汰</t>
  </si>
  <si>
    <t>探</t>
  </si>
  <si>
    <t>THÁM</t>
  </si>
  <si>
    <t>さぐ・る、さが・す</t>
  </si>
  <si>
    <t>嘆</t>
  </si>
  <si>
    <t>THÁN</t>
  </si>
  <si>
    <t>なげ・く</t>
  </si>
  <si>
    <t>炭</t>
  </si>
  <si>
    <t>歎</t>
  </si>
  <si>
    <t>聖</t>
  </si>
  <si>
    <t>THÁNH</t>
  </si>
  <si>
    <t>ひじり</t>
  </si>
  <si>
    <t>慥</t>
  </si>
  <si>
    <t>THÁO</t>
  </si>
  <si>
    <t>塔</t>
  </si>
  <si>
    <t>THÁP</t>
  </si>
  <si>
    <t>挿</t>
  </si>
  <si>
    <t>搨</t>
  </si>
  <si>
    <t>榻</t>
  </si>
  <si>
    <t>誠</t>
  </si>
  <si>
    <t>THÀNH</t>
  </si>
  <si>
    <t>まこと</t>
  </si>
  <si>
    <t>城</t>
  </si>
  <si>
    <t>ジョウ/ セイ</t>
  </si>
  <si>
    <t>しろ</t>
  </si>
  <si>
    <t>成</t>
  </si>
  <si>
    <t>な・す</t>
  </si>
  <si>
    <t>晟</t>
  </si>
  <si>
    <t>且</t>
  </si>
  <si>
    <t>THẢ</t>
  </si>
  <si>
    <t>か・つ</t>
  </si>
  <si>
    <t>貸</t>
  </si>
  <si>
    <t>THẢI</t>
  </si>
  <si>
    <t>か・す</t>
  </si>
  <si>
    <t>岱</t>
  </si>
  <si>
    <t>採</t>
  </si>
  <si>
    <t>THẢI/THÁI</t>
  </si>
  <si>
    <t>采</t>
  </si>
  <si>
    <t>爪</t>
  </si>
  <si>
    <t>惨</t>
  </si>
  <si>
    <t>THẢM</t>
  </si>
  <si>
    <t>みじ・め、むご・い</t>
  </si>
  <si>
    <t>慘</t>
  </si>
  <si>
    <t>毯</t>
  </si>
  <si>
    <t>坦</t>
  </si>
  <si>
    <t>THẢN</t>
  </si>
  <si>
    <t>草</t>
  </si>
  <si>
    <t>THẢO</t>
  </si>
  <si>
    <t>くさ</t>
  </si>
  <si>
    <t>討</t>
  </si>
  <si>
    <t>THẠCH</t>
  </si>
  <si>
    <t>セキ/ シャク/ コク</t>
  </si>
  <si>
    <t>いし</t>
  </si>
  <si>
    <t>深</t>
  </si>
  <si>
    <t>THÂM</t>
  </si>
  <si>
    <t>ふか・い、み</t>
  </si>
  <si>
    <t>紳</t>
  </si>
  <si>
    <t>THÂN</t>
  </si>
  <si>
    <t>親</t>
  </si>
  <si>
    <t>おや、した・しい</t>
  </si>
  <si>
    <t>み</t>
  </si>
  <si>
    <t>伸</t>
  </si>
  <si>
    <t>申</t>
  </si>
  <si>
    <t>もう・す、さる</t>
  </si>
  <si>
    <t>抻</t>
  </si>
  <si>
    <t>呻</t>
  </si>
  <si>
    <t>うめ・く</t>
  </si>
  <si>
    <t>輸</t>
  </si>
  <si>
    <t>THÂU</t>
  </si>
  <si>
    <t>沁</t>
  </si>
  <si>
    <t>THẤM/SẤM</t>
  </si>
  <si>
    <t>し・みる</t>
  </si>
  <si>
    <t>湿</t>
  </si>
  <si>
    <t>THẤP</t>
  </si>
  <si>
    <t>しめ・る、しめ・す</t>
  </si>
  <si>
    <t>七</t>
  </si>
  <si>
    <t>THẤT</t>
  </si>
  <si>
    <t>シチ</t>
  </si>
  <si>
    <t>なな、なな・つ</t>
  </si>
  <si>
    <t>匹</t>
  </si>
  <si>
    <t>ヒキ/ ビ</t>
  </si>
  <si>
    <t>室</t>
  </si>
  <si>
    <t>むろ</t>
  </si>
  <si>
    <t>失</t>
  </si>
  <si>
    <t>うしな・う</t>
  </si>
  <si>
    <t>透</t>
  </si>
  <si>
    <t>THẤU</t>
  </si>
  <si>
    <t>とお・る、す・ける</t>
  </si>
  <si>
    <t>忱</t>
  </si>
  <si>
    <t>THẦM</t>
  </si>
  <si>
    <t>椹</t>
  </si>
  <si>
    <t>ジン/ チン</t>
  </si>
  <si>
    <t>神</t>
  </si>
  <si>
    <t>THẦN</t>
  </si>
  <si>
    <t>かみ、かん、こう</t>
  </si>
  <si>
    <t>シン/ ジン</t>
  </si>
  <si>
    <t>おみ</t>
  </si>
  <si>
    <t>唇</t>
  </si>
  <si>
    <t>くちびる</t>
  </si>
  <si>
    <t>娠</t>
  </si>
  <si>
    <t>榊</t>
  </si>
  <si>
    <t>(thần)</t>
  </si>
  <si>
    <t>さかき</t>
  </si>
  <si>
    <t>晨</t>
  </si>
  <si>
    <t>あした</t>
  </si>
  <si>
    <t>宸</t>
  </si>
  <si>
    <t>審</t>
  </si>
  <si>
    <t>THẨM</t>
  </si>
  <si>
    <t>つまび・らか</t>
  </si>
  <si>
    <t>哂</t>
  </si>
  <si>
    <t>THẨN</t>
  </si>
  <si>
    <t>甚</t>
  </si>
  <si>
    <t>THẬM</t>
  </si>
  <si>
    <t>はなは・だ</t>
  </si>
  <si>
    <t>慎</t>
  </si>
  <si>
    <t>THẬN</t>
  </si>
  <si>
    <t>愼</t>
  </si>
  <si>
    <t>腎</t>
  </si>
  <si>
    <t>THẬP</t>
  </si>
  <si>
    <t>ジッ/ ジュウ/ シュウ</t>
  </si>
  <si>
    <t>とお</t>
  </si>
  <si>
    <t>拾</t>
  </si>
  <si>
    <t>ひろ・う</t>
  </si>
  <si>
    <t>什</t>
  </si>
  <si>
    <t>シュウ/ ジュウ</t>
  </si>
  <si>
    <t>升</t>
  </si>
  <si>
    <t>THĂNG</t>
  </si>
  <si>
    <t>ます</t>
  </si>
  <si>
    <t>昇</t>
  </si>
  <si>
    <t>勝</t>
  </si>
  <si>
    <t>THẮNG</t>
  </si>
  <si>
    <t>か・つ、まさ・る</t>
  </si>
  <si>
    <t>縄</t>
  </si>
  <si>
    <t>THẰNG</t>
  </si>
  <si>
    <t>なわ</t>
  </si>
  <si>
    <t>剰</t>
  </si>
  <si>
    <t>THẶNG</t>
  </si>
  <si>
    <t>剩</t>
  </si>
  <si>
    <t>妻</t>
  </si>
  <si>
    <t>THÊ</t>
  </si>
  <si>
    <t>つま</t>
  </si>
  <si>
    <t>悽</t>
  </si>
  <si>
    <t>棲</t>
  </si>
  <si>
    <t>栖</t>
  </si>
  <si>
    <t>梯</t>
  </si>
  <si>
    <t>凄</t>
  </si>
  <si>
    <t>すさ・まじい、すご・い</t>
  </si>
  <si>
    <t>淒</t>
  </si>
  <si>
    <t>勢</t>
  </si>
  <si>
    <t>THẾ</t>
  </si>
  <si>
    <t>いきお・い</t>
  </si>
  <si>
    <t>世</t>
  </si>
  <si>
    <t>セイ/ セ</t>
  </si>
  <si>
    <t>よ</t>
  </si>
  <si>
    <t>替</t>
  </si>
  <si>
    <t>か・える</t>
  </si>
  <si>
    <t>涕</t>
  </si>
  <si>
    <t>体</t>
  </si>
  <si>
    <t>THỂ</t>
  </si>
  <si>
    <t>からだ</t>
  </si>
  <si>
    <t>躰</t>
  </si>
  <si>
    <t>誓</t>
  </si>
  <si>
    <t>THỆ</t>
  </si>
  <si>
    <t>ちか・う</t>
  </si>
  <si>
    <t>逝</t>
  </si>
  <si>
    <t>ゆ・く</t>
  </si>
  <si>
    <t>詩</t>
  </si>
  <si>
    <t>THI</t>
  </si>
  <si>
    <t>屍</t>
  </si>
  <si>
    <t>しかばね</t>
  </si>
  <si>
    <t>施</t>
  </si>
  <si>
    <t>THI/THÍ</t>
  </si>
  <si>
    <t>シ/ セ</t>
  </si>
  <si>
    <t>ほどこ・す</t>
  </si>
  <si>
    <t>添</t>
  </si>
  <si>
    <t>THIÊM</t>
  </si>
  <si>
    <t>そ・える</t>
  </si>
  <si>
    <t>籤</t>
  </si>
  <si>
    <t>くじ</t>
  </si>
  <si>
    <t>僉</t>
  </si>
  <si>
    <t>孅</t>
  </si>
  <si>
    <t>遷</t>
  </si>
  <si>
    <t>THIÊN</t>
  </si>
  <si>
    <t>偏</t>
  </si>
  <si>
    <t>かたよ・る、ひとえ・に</t>
  </si>
  <si>
    <t>千</t>
  </si>
  <si>
    <t>天</t>
  </si>
  <si>
    <t>あま、あめ</t>
  </si>
  <si>
    <t>篇</t>
  </si>
  <si>
    <t>仟</t>
  </si>
  <si>
    <t>焼</t>
  </si>
  <si>
    <t>THIÊU</t>
  </si>
  <si>
    <t>や・く</t>
  </si>
  <si>
    <t>挑</t>
  </si>
  <si>
    <t>THIÊU/THAO</t>
  </si>
  <si>
    <t>いど・む</t>
  </si>
  <si>
    <t>茜</t>
  </si>
  <si>
    <t>THIẾN</t>
  </si>
  <si>
    <t>あかね</t>
  </si>
  <si>
    <t>倩</t>
  </si>
  <si>
    <t>妾</t>
  </si>
  <si>
    <t>THIẾP</t>
  </si>
  <si>
    <t>めかけ</t>
  </si>
  <si>
    <t>帖</t>
  </si>
  <si>
    <t>窃</t>
  </si>
  <si>
    <t>THIẾT</t>
  </si>
  <si>
    <t>設</t>
  </si>
  <si>
    <t>もう・ける</t>
  </si>
  <si>
    <t>鉄</t>
  </si>
  <si>
    <t>くろがね</t>
  </si>
  <si>
    <t>切</t>
  </si>
  <si>
    <t>セツ/ サイ</t>
  </si>
  <si>
    <t>き・る</t>
  </si>
  <si>
    <t>眺</t>
  </si>
  <si>
    <t>THIẾU</t>
  </si>
  <si>
    <t>なが・める</t>
  </si>
  <si>
    <t>少</t>
  </si>
  <si>
    <t>THIẾU/THIỂU</t>
  </si>
  <si>
    <t>すく・ない、すこ・し</t>
  </si>
  <si>
    <t>蟾</t>
  </si>
  <si>
    <t>THIỀM</t>
  </si>
  <si>
    <t>禅</t>
  </si>
  <si>
    <t>THIỀN</t>
  </si>
  <si>
    <t>忝</t>
  </si>
  <si>
    <t>THIỂM</t>
  </si>
  <si>
    <t>かたじ・けない</t>
  </si>
  <si>
    <t>浅</t>
  </si>
  <si>
    <t>THIỂN</t>
  </si>
  <si>
    <t>あさ・い</t>
  </si>
  <si>
    <t>愀</t>
  </si>
  <si>
    <t>THIỂU</t>
  </si>
  <si>
    <t>繕</t>
  </si>
  <si>
    <t>THIỆN</t>
  </si>
  <si>
    <t>つくろ・う</t>
  </si>
  <si>
    <t>善</t>
  </si>
  <si>
    <t>擅</t>
  </si>
  <si>
    <t>膳</t>
  </si>
  <si>
    <t>渉</t>
  </si>
  <si>
    <t>THIỆP</t>
  </si>
  <si>
    <t>THIỆT</t>
  </si>
  <si>
    <t>ゼツ</t>
  </si>
  <si>
    <t>した</t>
  </si>
  <si>
    <t>紹</t>
  </si>
  <si>
    <t>THIỆU</t>
  </si>
  <si>
    <t>劭</t>
  </si>
  <si>
    <t>試</t>
  </si>
  <si>
    <t>THÍ</t>
  </si>
  <si>
    <t>こころ・みる</t>
  </si>
  <si>
    <t>譬</t>
  </si>
  <si>
    <t>たとえ、たと・える</t>
  </si>
  <si>
    <t>啻</t>
  </si>
  <si>
    <t>剃</t>
  </si>
  <si>
    <t>THÍ/THẾ</t>
  </si>
  <si>
    <t>そ・る</t>
  </si>
  <si>
    <t>弑</t>
  </si>
  <si>
    <t>THÍ/THÍCH</t>
  </si>
  <si>
    <t>シイ/ シ</t>
  </si>
  <si>
    <t>適</t>
  </si>
  <si>
    <t>THÍCH</t>
  </si>
  <si>
    <t>釈</t>
  </si>
  <si>
    <t>釆</t>
  </si>
  <si>
    <t>シャク/ セキ</t>
  </si>
  <si>
    <t>刺</t>
  </si>
  <si>
    <t>さ・す、とげ</t>
  </si>
  <si>
    <t>戚</t>
  </si>
  <si>
    <t>朿</t>
  </si>
  <si>
    <t>螫</t>
  </si>
  <si>
    <t>聴</t>
  </si>
  <si>
    <t>THÍNH</t>
  </si>
  <si>
    <t>听</t>
  </si>
  <si>
    <t>塒</t>
  </si>
  <si>
    <t>THÌ</t>
  </si>
  <si>
    <t>ジ/ シ</t>
  </si>
  <si>
    <t>ねぐら</t>
  </si>
  <si>
    <t>THÌN/THẦN</t>
  </si>
  <si>
    <t>たつ、とき</t>
  </si>
  <si>
    <t>THỈ</t>
  </si>
  <si>
    <t>シ/ ヤ</t>
  </si>
  <si>
    <t>舐</t>
  </si>
  <si>
    <t>な・める</t>
  </si>
  <si>
    <t>屎</t>
  </si>
  <si>
    <t>シ/ キ</t>
  </si>
  <si>
    <t>弛</t>
  </si>
  <si>
    <t>ゆる・める</t>
  </si>
  <si>
    <t>請</t>
  </si>
  <si>
    <t>THỈNH</t>
  </si>
  <si>
    <t>う・ける、こ・う</t>
  </si>
  <si>
    <t>THỊ</t>
  </si>
  <si>
    <t>うじ</t>
  </si>
  <si>
    <t>しめ・す</t>
  </si>
  <si>
    <t>視</t>
  </si>
  <si>
    <t>市</t>
  </si>
  <si>
    <t>いち</t>
  </si>
  <si>
    <t>侍</t>
  </si>
  <si>
    <t>さむらい、はべ・る</t>
  </si>
  <si>
    <t>是</t>
  </si>
  <si>
    <t>ゼ/ シ</t>
  </si>
  <si>
    <t>この、これ</t>
  </si>
  <si>
    <t>恃</t>
  </si>
  <si>
    <t>柿</t>
  </si>
  <si>
    <t>かき</t>
  </si>
  <si>
    <t>嗜</t>
  </si>
  <si>
    <t>たしな・む</t>
  </si>
  <si>
    <t>帋</t>
  </si>
  <si>
    <t>杮</t>
  </si>
  <si>
    <t>THỊ/SĨ</t>
  </si>
  <si>
    <t>盛</t>
  </si>
  <si>
    <t>THỊNH</t>
  </si>
  <si>
    <t>さか・ん、も・る</t>
  </si>
  <si>
    <t>萩</t>
  </si>
  <si>
    <t>THO</t>
  </si>
  <si>
    <t>はぎ</t>
  </si>
  <si>
    <t>梭</t>
  </si>
  <si>
    <t>THOA</t>
  </si>
  <si>
    <t>悛</t>
  </si>
  <si>
    <t>THOAN</t>
  </si>
  <si>
    <t>シュン/ セン</t>
  </si>
  <si>
    <t>逡</t>
  </si>
  <si>
    <t>THOÁI</t>
  </si>
  <si>
    <t>シュン</t>
  </si>
  <si>
    <t>退</t>
  </si>
  <si>
    <t>THOÁI/THỐI</t>
  </si>
  <si>
    <t>タイ/ トン</t>
  </si>
  <si>
    <t>しりぞ・く</t>
  </si>
  <si>
    <t>彖</t>
  </si>
  <si>
    <t>THOÁN</t>
  </si>
  <si>
    <t>脱</t>
  </si>
  <si>
    <t>THOÁT</t>
  </si>
  <si>
    <t>ぬ・ぐ</t>
  </si>
  <si>
    <t>話</t>
  </si>
  <si>
    <t>THOẠI</t>
  </si>
  <si>
    <t>ワ/ カイ</t>
  </si>
  <si>
    <t>はなし、はな・す</t>
  </si>
  <si>
    <t>唾</t>
  </si>
  <si>
    <t>THÓA</t>
  </si>
  <si>
    <t>つば</t>
  </si>
  <si>
    <t>妥</t>
  </si>
  <si>
    <t>THỎA</t>
  </si>
  <si>
    <t>橢</t>
  </si>
  <si>
    <t>寿</t>
  </si>
  <si>
    <t>THỌ</t>
  </si>
  <si>
    <t>ことぶき</t>
  </si>
  <si>
    <t>儔</t>
  </si>
  <si>
    <t>壽</t>
  </si>
  <si>
    <t>粗</t>
  </si>
  <si>
    <t>THÔ</t>
  </si>
  <si>
    <t>あら・い</t>
  </si>
  <si>
    <t>催</t>
  </si>
  <si>
    <t>THÔI</t>
  </si>
  <si>
    <t>もよお・す</t>
  </si>
  <si>
    <t>崔</t>
  </si>
  <si>
    <t>村</t>
  </si>
  <si>
    <t>THÔN</t>
  </si>
  <si>
    <t>呑</t>
  </si>
  <si>
    <t>通</t>
  </si>
  <si>
    <t>THÔNG</t>
  </si>
  <si>
    <t>ツウ/ ツ</t>
  </si>
  <si>
    <t>かよ・う、とお・る</t>
  </si>
  <si>
    <t>聡</t>
  </si>
  <si>
    <t>愡</t>
  </si>
  <si>
    <t>葱</t>
  </si>
  <si>
    <t>ねぎ</t>
  </si>
  <si>
    <t>匆</t>
  </si>
  <si>
    <t>ソウ/ ス</t>
  </si>
  <si>
    <t>措</t>
  </si>
  <si>
    <t>THỐ</t>
  </si>
  <si>
    <t>醋</t>
  </si>
  <si>
    <t>サク/ ザク/ ス/ ソ</t>
  </si>
  <si>
    <t>兎</t>
  </si>
  <si>
    <t>うさぎ</t>
  </si>
  <si>
    <t>兔</t>
  </si>
  <si>
    <t>伜</t>
  </si>
  <si>
    <t>THỐI/TỐT</t>
  </si>
  <si>
    <t>せがれ</t>
  </si>
  <si>
    <t>倅</t>
  </si>
  <si>
    <t>THỐN</t>
  </si>
  <si>
    <t>スン/ ソン</t>
  </si>
  <si>
    <t>褪</t>
  </si>
  <si>
    <t>あ・せる、さ・める</t>
  </si>
  <si>
    <t>吋</t>
  </si>
  <si>
    <t>痛</t>
  </si>
  <si>
    <t>THỐNG</t>
  </si>
  <si>
    <t>ツウ</t>
  </si>
  <si>
    <t>いた・い</t>
  </si>
  <si>
    <t>統</t>
  </si>
  <si>
    <t>す・べる</t>
  </si>
  <si>
    <t>偬</t>
  </si>
  <si>
    <t>吐</t>
  </si>
  <si>
    <t>THỔ</t>
  </si>
  <si>
    <t>ド/ ト</t>
  </si>
  <si>
    <t>忖</t>
  </si>
  <si>
    <t>THỔN</t>
  </si>
  <si>
    <t>時</t>
  </si>
  <si>
    <t>THỜI/THÌ</t>
  </si>
  <si>
    <t>とき</t>
  </si>
  <si>
    <t>秋</t>
  </si>
  <si>
    <t>THU</t>
  </si>
  <si>
    <t>あき、とき</t>
  </si>
  <si>
    <t>收</t>
  </si>
  <si>
    <t>おさ・まる</t>
  </si>
  <si>
    <t>楸</t>
  </si>
  <si>
    <t>ひさぎ、きささげ</t>
  </si>
  <si>
    <t>啾</t>
  </si>
  <si>
    <t>収</t>
  </si>
  <si>
    <t>THU/THÂU</t>
  </si>
  <si>
    <t>瞬</t>
  </si>
  <si>
    <t>THUẤN</t>
  </si>
  <si>
    <t>またた・く</t>
  </si>
  <si>
    <t>純</t>
  </si>
  <si>
    <t>THUẦN</t>
  </si>
  <si>
    <t>淳</t>
  </si>
  <si>
    <t>鶉</t>
  </si>
  <si>
    <t>ジュン/ タン</t>
  </si>
  <si>
    <t>うずら</t>
  </si>
  <si>
    <t>馴</t>
  </si>
  <si>
    <t>な・れる</t>
  </si>
  <si>
    <t>醇</t>
  </si>
  <si>
    <t>ジュン/ シュン</t>
  </si>
  <si>
    <t>盾</t>
  </si>
  <si>
    <t>THUẪN</t>
  </si>
  <si>
    <t>ジュン/ トン</t>
  </si>
  <si>
    <t>たて</t>
  </si>
  <si>
    <t>楯</t>
  </si>
  <si>
    <t>順</t>
  </si>
  <si>
    <t>THUẬN</t>
  </si>
  <si>
    <t>述</t>
  </si>
  <si>
    <t>THUẬT</t>
  </si>
  <si>
    <t>ジュツ</t>
  </si>
  <si>
    <t>の・べる</t>
  </si>
  <si>
    <t>術</t>
  </si>
  <si>
    <t>すべ</t>
  </si>
  <si>
    <t>朮</t>
  </si>
  <si>
    <t>THUẬT/TRUẬT</t>
  </si>
  <si>
    <t>おけら</t>
  </si>
  <si>
    <t>税</t>
  </si>
  <si>
    <t>THUẾ</t>
  </si>
  <si>
    <t>ゼイ/ セイ</t>
  </si>
  <si>
    <t>毳</t>
  </si>
  <si>
    <t>THUẾ/THÚY</t>
  </si>
  <si>
    <t>属</t>
  </si>
  <si>
    <t>THUỘC</t>
  </si>
  <si>
    <t>屬</t>
  </si>
  <si>
    <t>痊</t>
  </si>
  <si>
    <t>THUYÊN</t>
  </si>
  <si>
    <t>銓</t>
  </si>
  <si>
    <t>説</t>
  </si>
  <si>
    <t>THUYẾT</t>
  </si>
  <si>
    <t>ゼイ/ セツ</t>
  </si>
  <si>
    <t>と・く</t>
  </si>
  <si>
    <t>船</t>
  </si>
  <si>
    <t>THUYỀN</t>
  </si>
  <si>
    <t>ふな、ふね</t>
  </si>
  <si>
    <t>嬋</t>
  </si>
  <si>
    <t>THUYỀN/THIỀN</t>
  </si>
  <si>
    <t>狩</t>
  </si>
  <si>
    <t>THÚ</t>
  </si>
  <si>
    <t>か・り</t>
  </si>
  <si>
    <t>獣</t>
  </si>
  <si>
    <t>けもの、けだもの</t>
  </si>
  <si>
    <t>趣</t>
  </si>
  <si>
    <t>おもむき、おもむ・く</t>
  </si>
  <si>
    <t>戍</t>
  </si>
  <si>
    <t>ジュ/ シュ</t>
  </si>
  <si>
    <t>娵</t>
  </si>
  <si>
    <t>娶</t>
  </si>
  <si>
    <t>めと・る</t>
  </si>
  <si>
    <t>束</t>
  </si>
  <si>
    <t>THÚC</t>
  </si>
  <si>
    <t>たば</t>
  </si>
  <si>
    <t>叔</t>
  </si>
  <si>
    <t>翠</t>
  </si>
  <si>
    <t>THÚY</t>
  </si>
  <si>
    <t>酬</t>
  </si>
  <si>
    <t>THÙ</t>
  </si>
  <si>
    <t>むく・いる</t>
  </si>
  <si>
    <t>殊</t>
  </si>
  <si>
    <t>こと・に</t>
  </si>
  <si>
    <t>シュ/ ズ</t>
  </si>
  <si>
    <t>讎</t>
  </si>
  <si>
    <t>讐</t>
  </si>
  <si>
    <t>洙</t>
  </si>
  <si>
    <t>THÙ/CHU</t>
  </si>
  <si>
    <t>垂</t>
  </si>
  <si>
    <t>THÙY</t>
  </si>
  <si>
    <t>た・れる</t>
  </si>
  <si>
    <t>誰</t>
  </si>
  <si>
    <t>だれ</t>
  </si>
  <si>
    <t>捶</t>
  </si>
  <si>
    <t>埀</t>
  </si>
  <si>
    <t>取</t>
  </si>
  <si>
    <t>THỦ</t>
  </si>
  <si>
    <t>首</t>
  </si>
  <si>
    <t>くび</t>
  </si>
  <si>
    <t>守</t>
  </si>
  <si>
    <t>て、た</t>
  </si>
  <si>
    <t>THỦY</t>
  </si>
  <si>
    <t>みず、みな</t>
  </si>
  <si>
    <t>始</t>
  </si>
  <si>
    <t>はじ・め</t>
  </si>
  <si>
    <t>腫</t>
  </si>
  <si>
    <r>
      <t>TH</t>
    </r>
    <r>
      <rPr>
        <sz val="11"/>
        <rFont val="ＭＳ Ｐゴシック"/>
        <family val="3"/>
        <charset val="128"/>
      </rPr>
      <t>Ũ</t>
    </r>
    <r>
      <rPr>
        <sz val="11"/>
        <rFont val="Arial"/>
        <family val="2"/>
      </rPr>
      <t>NG</t>
    </r>
  </si>
  <si>
    <t>は・れる</t>
  </si>
  <si>
    <t>樹</t>
  </si>
  <si>
    <t>THỤ</t>
  </si>
  <si>
    <t>綬</t>
  </si>
  <si>
    <t>售</t>
  </si>
  <si>
    <t>廚</t>
  </si>
  <si>
    <t>くりや</t>
  </si>
  <si>
    <t>受</t>
  </si>
  <si>
    <t>THỤ/THỌ</t>
  </si>
  <si>
    <t>う・ける</t>
  </si>
  <si>
    <t>授</t>
  </si>
  <si>
    <t>さず・ける</t>
  </si>
  <si>
    <t>淑</t>
  </si>
  <si>
    <t>THỤC</t>
  </si>
  <si>
    <t>熟</t>
  </si>
  <si>
    <t>ジュク</t>
  </si>
  <si>
    <t>う・れる</t>
  </si>
  <si>
    <t>塾</t>
  </si>
  <si>
    <t>蜀</t>
  </si>
  <si>
    <t>ショク/ ゾク</t>
  </si>
  <si>
    <t>贖</t>
  </si>
  <si>
    <t>孰</t>
  </si>
  <si>
    <t>俶</t>
  </si>
  <si>
    <t>睡</t>
  </si>
  <si>
    <t>THỤY</t>
  </si>
  <si>
    <t>瑞</t>
  </si>
  <si>
    <t>書</t>
  </si>
  <si>
    <t>THƯ</t>
  </si>
  <si>
    <t>聿</t>
  </si>
  <si>
    <t>雌</t>
  </si>
  <si>
    <t>狙</t>
  </si>
  <si>
    <t>ソ/ ショ</t>
  </si>
  <si>
    <t>ねら・う</t>
  </si>
  <si>
    <t>恕</t>
  </si>
  <si>
    <t>ジョ</t>
  </si>
  <si>
    <t>蛆</t>
  </si>
  <si>
    <t>疽</t>
  </si>
  <si>
    <t>姐</t>
  </si>
  <si>
    <t>ソ/ シャ/ サ</t>
  </si>
  <si>
    <t>あね</t>
  </si>
  <si>
    <t>商</t>
  </si>
  <si>
    <t>THƯƠNG</t>
  </si>
  <si>
    <t>あきな・う</t>
  </si>
  <si>
    <t>倉</t>
  </si>
  <si>
    <t>傷</t>
  </si>
  <si>
    <t>いた・む、きず</t>
  </si>
  <si>
    <t>愴</t>
  </si>
  <si>
    <t>慯</t>
  </si>
  <si>
    <t>蒼</t>
  </si>
  <si>
    <t>あお、あおい</t>
  </si>
  <si>
    <t>槍</t>
  </si>
  <si>
    <t>やり</t>
  </si>
  <si>
    <t>殤</t>
  </si>
  <si>
    <t>鑠</t>
  </si>
  <si>
    <t>THƯỚC</t>
  </si>
  <si>
    <t>常</t>
  </si>
  <si>
    <t>THƯỜNG</t>
  </si>
  <si>
    <t>つね、とこ</t>
  </si>
  <si>
    <t>裳</t>
  </si>
  <si>
    <t>嫦</t>
  </si>
  <si>
    <t>ショウ/ ジョウ/ コウ/ ゴウ</t>
  </si>
  <si>
    <t>嘗</t>
  </si>
  <si>
    <t>THƯỜNG/THƯỞNG</t>
  </si>
  <si>
    <t>な・める、かつ・て</t>
  </si>
  <si>
    <t>償</t>
  </si>
  <si>
    <t>THƯỞNG</t>
  </si>
  <si>
    <t>つぐな・う</t>
  </si>
  <si>
    <t>賞</t>
  </si>
  <si>
    <t>上</t>
  </si>
  <si>
    <t>THƯỢNG</t>
  </si>
  <si>
    <t>うえ、うわ、かみ、あ・げる、あ・がる、のぼ・る、のぼ・せる</t>
  </si>
  <si>
    <t>尚</t>
  </si>
  <si>
    <t>次</t>
  </si>
  <si>
    <t>THỨ</t>
  </si>
  <si>
    <t>つぎ、つ・ぐ</t>
  </si>
  <si>
    <t>庶</t>
  </si>
  <si>
    <t>咨</t>
  </si>
  <si>
    <t>識</t>
  </si>
  <si>
    <t>THỨC</t>
  </si>
  <si>
    <t>式</t>
  </si>
  <si>
    <t>拭</t>
  </si>
  <si>
    <t>ぬぐ・う</t>
  </si>
  <si>
    <t>鷲</t>
  </si>
  <si>
    <t>THỨU</t>
  </si>
  <si>
    <t>わし</t>
  </si>
  <si>
    <t>蜍</t>
  </si>
  <si>
    <t>THỪ</t>
  </si>
  <si>
    <t>ショ/ ジョ</t>
  </si>
  <si>
    <t>承</t>
  </si>
  <si>
    <t>THỪA</t>
  </si>
  <si>
    <t>うけたまわ・る</t>
  </si>
  <si>
    <t>乗</t>
  </si>
  <si>
    <t>の・る</t>
  </si>
  <si>
    <t>丞</t>
  </si>
  <si>
    <t>乘</t>
  </si>
  <si>
    <t>暑</t>
  </si>
  <si>
    <t>THỬ</t>
  </si>
  <si>
    <t>きび</t>
  </si>
  <si>
    <t>此</t>
  </si>
  <si>
    <t>こ・れ、こ</t>
  </si>
  <si>
    <t>ねずみ</t>
  </si>
  <si>
    <t>署</t>
  </si>
  <si>
    <t>THỰ</t>
  </si>
  <si>
    <t>曙</t>
  </si>
  <si>
    <t>あけぼの</t>
  </si>
  <si>
    <t>墅</t>
  </si>
  <si>
    <t>THỰC</t>
  </si>
  <si>
    <t>た・べる、く・う</t>
  </si>
  <si>
    <t>実</t>
  </si>
  <si>
    <t>み、みの・る、まこと、げ・に</t>
  </si>
  <si>
    <t>植</t>
  </si>
  <si>
    <t>殖</t>
  </si>
  <si>
    <t>ふ・える</t>
  </si>
  <si>
    <t>蝕</t>
  </si>
  <si>
    <t>むしば・む</t>
  </si>
  <si>
    <t>寔</t>
  </si>
  <si>
    <t>實</t>
  </si>
  <si>
    <t>殱</t>
  </si>
  <si>
    <t>TIÊM</t>
  </si>
  <si>
    <t>殲</t>
  </si>
  <si>
    <t>尖</t>
  </si>
  <si>
    <t>とが・る</t>
  </si>
  <si>
    <t>仙</t>
  </si>
  <si>
    <t>TIÊN</t>
  </si>
  <si>
    <t>鮮</t>
  </si>
  <si>
    <t>あざ・やか</t>
  </si>
  <si>
    <t>先</t>
  </si>
  <si>
    <t>戔</t>
  </si>
  <si>
    <t>僊</t>
  </si>
  <si>
    <t>涎</t>
  </si>
  <si>
    <t>TIÊN/DIỆN/DUYÊN</t>
  </si>
  <si>
    <t>よだれ</t>
  </si>
  <si>
    <t>煎</t>
  </si>
  <si>
    <t>TIÊN/TIỄN</t>
  </si>
  <si>
    <t>消</t>
  </si>
  <si>
    <t>TIÊU</t>
  </si>
  <si>
    <t>き・える、け・す</t>
  </si>
  <si>
    <t>硝</t>
  </si>
  <si>
    <t>焦</t>
  </si>
  <si>
    <t>あせ・る、こ・がす</t>
  </si>
  <si>
    <t>宵</t>
  </si>
  <si>
    <t>よい</t>
  </si>
  <si>
    <t>肖</t>
  </si>
  <si>
    <t>悄</t>
  </si>
  <si>
    <t>椒</t>
  </si>
  <si>
    <t>銷</t>
  </si>
  <si>
    <t>鮹</t>
  </si>
  <si>
    <t>哨</t>
  </si>
  <si>
    <t>霄</t>
  </si>
  <si>
    <t>逍</t>
  </si>
  <si>
    <t>僣</t>
  </si>
  <si>
    <t>TIẾM</t>
  </si>
  <si>
    <t>僭</t>
  </si>
  <si>
    <t>薦</t>
  </si>
  <si>
    <t>TIẾN</t>
  </si>
  <si>
    <t>すす・める、こも</t>
  </si>
  <si>
    <t>進</t>
  </si>
  <si>
    <t>TIẾN/TẤN</t>
  </si>
  <si>
    <t>すす・む</t>
  </si>
  <si>
    <t>接</t>
  </si>
  <si>
    <t>TIẾP</t>
  </si>
  <si>
    <t>楫</t>
  </si>
  <si>
    <t>ショウ/ シュウ/ ジュウ</t>
  </si>
  <si>
    <t>かじ</t>
  </si>
  <si>
    <t>椄</t>
  </si>
  <si>
    <t>浹</t>
  </si>
  <si>
    <t>季</t>
  </si>
  <si>
    <t>TIẾT</t>
  </si>
  <si>
    <t>節</t>
  </si>
  <si>
    <t>セツ/ セチ</t>
  </si>
  <si>
    <t>ふし</t>
  </si>
  <si>
    <t>楔</t>
  </si>
  <si>
    <t>くさび</t>
  </si>
  <si>
    <t>褻</t>
  </si>
  <si>
    <t>洩</t>
  </si>
  <si>
    <t>エツ/ セツ</t>
  </si>
  <si>
    <t>も・れる</t>
  </si>
  <si>
    <t>屑</t>
  </si>
  <si>
    <t>くず</t>
  </si>
  <si>
    <t>泌</t>
  </si>
  <si>
    <t>TIẾT/BÍ</t>
  </si>
  <si>
    <t>泄</t>
  </si>
  <si>
    <t>TIẾT/DUỆ</t>
  </si>
  <si>
    <t>セツ/ エイ</t>
  </si>
  <si>
    <t>笑</t>
  </si>
  <si>
    <t>TIẾU</t>
  </si>
  <si>
    <t>え・む、わら・う</t>
  </si>
  <si>
    <t>咲</t>
  </si>
  <si>
    <t>さ・く</t>
  </si>
  <si>
    <t>峭</t>
  </si>
  <si>
    <t>TIẾU/TIỄU</t>
  </si>
  <si>
    <t>潜</t>
  </si>
  <si>
    <t>TIỀM</t>
  </si>
  <si>
    <t>もぐ・る、ひそ・む</t>
  </si>
  <si>
    <t>銭</t>
  </si>
  <si>
    <t>TIỀN</t>
  </si>
  <si>
    <t>ぜに</t>
  </si>
  <si>
    <t>前</t>
  </si>
  <si>
    <t>まえ</t>
  </si>
  <si>
    <t>礁</t>
  </si>
  <si>
    <t>TIỀU</t>
  </si>
  <si>
    <t>憔</t>
  </si>
  <si>
    <t>樵</t>
  </si>
  <si>
    <t>きこり</t>
  </si>
  <si>
    <t>晁</t>
  </si>
  <si>
    <t>銑</t>
  </si>
  <si>
    <t>TIỂN</t>
  </si>
  <si>
    <t>癬</t>
  </si>
  <si>
    <t>蘚</t>
  </si>
  <si>
    <t>TIỂU</t>
  </si>
  <si>
    <t>ちい・さい</t>
  </si>
  <si>
    <t>践</t>
  </si>
  <si>
    <t>TIỄN</t>
  </si>
  <si>
    <t>揃</t>
  </si>
  <si>
    <t>そろ・える</t>
  </si>
  <si>
    <t>擶</t>
  </si>
  <si>
    <t>翦</t>
  </si>
  <si>
    <t>剿</t>
  </si>
  <si>
    <t>TIỄU</t>
  </si>
  <si>
    <t>勦</t>
  </si>
  <si>
    <t>繊</t>
  </si>
  <si>
    <t>TIỆM</t>
  </si>
  <si>
    <t>漸</t>
  </si>
  <si>
    <t>TIỆM/TIÊM</t>
  </si>
  <si>
    <t>ゼン/ ザン</t>
  </si>
  <si>
    <t>ようや・く</t>
  </si>
  <si>
    <t>便</t>
  </si>
  <si>
    <t>TIỆN</t>
  </si>
  <si>
    <t>ビン/ ベン</t>
  </si>
  <si>
    <t>たよ・り</t>
  </si>
  <si>
    <t>剪</t>
  </si>
  <si>
    <t>捷</t>
  </si>
  <si>
    <t>TIỆP</t>
  </si>
  <si>
    <t>精</t>
  </si>
  <si>
    <t>TINH</t>
  </si>
  <si>
    <t>星</t>
  </si>
  <si>
    <t>ほし</t>
  </si>
  <si>
    <t>晶</t>
  </si>
  <si>
    <t>惺</t>
  </si>
  <si>
    <t>旌</t>
  </si>
  <si>
    <t>蜻</t>
  </si>
  <si>
    <t>潟</t>
  </si>
  <si>
    <t>TÍCH</t>
  </si>
  <si>
    <t>積</t>
  </si>
  <si>
    <t>つ・む</t>
  </si>
  <si>
    <t>績</t>
  </si>
  <si>
    <t>跡</t>
  </si>
  <si>
    <t>セキ/ シヤク</t>
  </si>
  <si>
    <t>惜</t>
  </si>
  <si>
    <t>お・しい</t>
  </si>
  <si>
    <t>昔</t>
  </si>
  <si>
    <t>むかし</t>
  </si>
  <si>
    <t>析</t>
  </si>
  <si>
    <t>錫</t>
  </si>
  <si>
    <t>晰</t>
  </si>
  <si>
    <t>癪</t>
  </si>
  <si>
    <t>しゃく</t>
  </si>
  <si>
    <t>瘠</t>
  </si>
  <si>
    <t>ジャク/ セキ</t>
  </si>
  <si>
    <t>蜥</t>
  </si>
  <si>
    <t>勣</t>
  </si>
  <si>
    <t>セキ/ シャク</t>
  </si>
  <si>
    <t>信</t>
  </si>
  <si>
    <t>TÍN</t>
  </si>
  <si>
    <t>併</t>
  </si>
  <si>
    <t>TÍNH</t>
  </si>
  <si>
    <t>あわ・せる</t>
  </si>
  <si>
    <t>并</t>
  </si>
  <si>
    <t>姓</t>
  </si>
  <si>
    <t>TÍNH/TÁNH</t>
  </si>
  <si>
    <t>性</t>
  </si>
  <si>
    <t>さが</t>
  </si>
  <si>
    <t>情</t>
  </si>
  <si>
    <t>TÌNH</t>
  </si>
  <si>
    <t>なさ・け</t>
  </si>
  <si>
    <t>晴</t>
  </si>
  <si>
    <t>睛</t>
  </si>
  <si>
    <t>省</t>
  </si>
  <si>
    <t>TỈNH</t>
  </si>
  <si>
    <t>かえり・みる、はぶ・く</t>
  </si>
  <si>
    <t>井</t>
  </si>
  <si>
    <t>静</t>
  </si>
  <si>
    <r>
      <t>T</t>
    </r>
    <r>
      <rPr>
        <sz val="11"/>
        <rFont val="ＭＳ Ｐゴシック"/>
        <family val="3"/>
        <charset val="128"/>
      </rPr>
      <t>Ĩ</t>
    </r>
    <r>
      <rPr>
        <sz val="11"/>
        <rFont val="Arial"/>
        <family val="2"/>
      </rPr>
      <t>NH</t>
    </r>
  </si>
  <si>
    <t>しず、しず・か、しず・まる</t>
  </si>
  <si>
    <t>靖</t>
  </si>
  <si>
    <t>セイ/ ジョウ</t>
  </si>
  <si>
    <t>やす</t>
  </si>
  <si>
    <t>籍</t>
  </si>
  <si>
    <t>TỊCH</t>
  </si>
  <si>
    <t>セキ/ ジャク</t>
  </si>
  <si>
    <t>ゆう、ゆうべ</t>
  </si>
  <si>
    <t>寂</t>
  </si>
  <si>
    <t>席</t>
  </si>
  <si>
    <t>汐</t>
  </si>
  <si>
    <t>うしお</t>
  </si>
  <si>
    <t>僻</t>
  </si>
  <si>
    <t>ひが・む</t>
  </si>
  <si>
    <t>浄</t>
  </si>
  <si>
    <t>TỊNH</t>
  </si>
  <si>
    <t>並</t>
  </si>
  <si>
    <t>なら・ぶ、なみ</t>
  </si>
  <si>
    <t>唆</t>
  </si>
  <si>
    <t>TOA</t>
  </si>
  <si>
    <t>そそのか・す</t>
  </si>
  <si>
    <t>酸</t>
  </si>
  <si>
    <t>TOAN</t>
  </si>
  <si>
    <t>す・い</t>
  </si>
  <si>
    <t>砕</t>
  </si>
  <si>
    <t>TOÁI</t>
  </si>
  <si>
    <t>くだ・く</t>
  </si>
  <si>
    <t>算</t>
  </si>
  <si>
    <t>TOÁN</t>
  </si>
  <si>
    <t>撮</t>
  </si>
  <si>
    <t>TOÁT</t>
  </si>
  <si>
    <t>と・る、つま・む</t>
  </si>
  <si>
    <t>全</t>
  </si>
  <si>
    <t>TOÀN</t>
  </si>
  <si>
    <t>ゼン/ セン</t>
  </si>
  <si>
    <t>すべ・て、まった・く、まっと・う</t>
  </si>
  <si>
    <t>旋</t>
  </si>
  <si>
    <t>遂</t>
  </si>
  <si>
    <t>TOẠI</t>
  </si>
  <si>
    <t>と・げる、つい・に</t>
  </si>
  <si>
    <t>鎖</t>
  </si>
  <si>
    <t>TỎA</t>
  </si>
  <si>
    <t>くさり</t>
  </si>
  <si>
    <t>挫</t>
  </si>
  <si>
    <t>サ/ ザ</t>
  </si>
  <si>
    <t>くじ・く</t>
  </si>
  <si>
    <t>座</t>
  </si>
  <si>
    <t>TỌA</t>
  </si>
  <si>
    <t>ザ</t>
  </si>
  <si>
    <t>すわ・る</t>
  </si>
  <si>
    <t>坐</t>
  </si>
  <si>
    <t>租</t>
  </si>
  <si>
    <t>TÔ</t>
  </si>
  <si>
    <t>蘇</t>
  </si>
  <si>
    <t>尊</t>
  </si>
  <si>
    <t>TÔN</t>
  </si>
  <si>
    <t>とうと・い、たっと・い</t>
  </si>
  <si>
    <t>孫</t>
  </si>
  <si>
    <t>まご</t>
  </si>
  <si>
    <t>宗</t>
  </si>
  <si>
    <t>ソウ/ シュウ</t>
  </si>
  <si>
    <t>樽</t>
  </si>
  <si>
    <t>たる</t>
  </si>
  <si>
    <t>棕</t>
  </si>
  <si>
    <t>TÔNG</t>
  </si>
  <si>
    <t>シュ/ ソウ</t>
  </si>
  <si>
    <t>椶</t>
  </si>
  <si>
    <t>素</t>
  </si>
  <si>
    <t>TỐ</t>
  </si>
  <si>
    <t>ス/ ソ</t>
  </si>
  <si>
    <t>訴</t>
  </si>
  <si>
    <t>うった・える</t>
  </si>
  <si>
    <t>塑</t>
  </si>
  <si>
    <t>愬</t>
  </si>
  <si>
    <t>サク/ ソ</t>
  </si>
  <si>
    <t>泝</t>
  </si>
  <si>
    <t>溯</t>
  </si>
  <si>
    <t>ス</t>
  </si>
  <si>
    <t>さかのぼ・る</t>
  </si>
  <si>
    <t>遡</t>
  </si>
  <si>
    <t>做</t>
  </si>
  <si>
    <t>速</t>
  </si>
  <si>
    <t>TỐC</t>
  </si>
  <si>
    <t>最</t>
  </si>
  <si>
    <t>TỐI</t>
  </si>
  <si>
    <t>もっと・も</t>
  </si>
  <si>
    <t>巽</t>
  </si>
  <si>
    <t>TỐN</t>
  </si>
  <si>
    <t>たつみ</t>
  </si>
  <si>
    <t>遜</t>
  </si>
  <si>
    <t>送</t>
  </si>
  <si>
    <t>TỐNG</t>
  </si>
  <si>
    <t>宋</t>
  </si>
  <si>
    <t>卒</t>
  </si>
  <si>
    <t>TỐT</t>
  </si>
  <si>
    <t>ソツ</t>
  </si>
  <si>
    <t>埣</t>
  </si>
  <si>
    <t>徂</t>
  </si>
  <si>
    <t>TỒ</t>
  </si>
  <si>
    <t>摧</t>
  </si>
  <si>
    <t>TỒI</t>
  </si>
  <si>
    <t>サイ/ ザイ/ ゼ</t>
  </si>
  <si>
    <t>存</t>
  </si>
  <si>
    <t>TỒN</t>
  </si>
  <si>
    <t>ソン/ ゾン</t>
  </si>
  <si>
    <t>拵</t>
  </si>
  <si>
    <t>こしら・える</t>
  </si>
  <si>
    <t>祖</t>
  </si>
  <si>
    <t>TỔ</t>
  </si>
  <si>
    <t>組</t>
  </si>
  <si>
    <t>くみ、く・む</t>
  </si>
  <si>
    <t>俎</t>
  </si>
  <si>
    <t>まないた</t>
  </si>
  <si>
    <t>岨</t>
  </si>
  <si>
    <t>損</t>
  </si>
  <si>
    <t>TỔN</t>
  </si>
  <si>
    <t>そこ・なう</t>
  </si>
  <si>
    <t>総</t>
  </si>
  <si>
    <t>TỔNG</t>
  </si>
  <si>
    <t>ふさ、すべ・て</t>
  </si>
  <si>
    <t>族</t>
  </si>
  <si>
    <t>TỘC</t>
  </si>
  <si>
    <t>やから</t>
  </si>
  <si>
    <t>罪</t>
  </si>
  <si>
    <t>TỘI</t>
  </si>
  <si>
    <t>つみ</t>
  </si>
  <si>
    <t>査</t>
  </si>
  <si>
    <t>TRA</t>
  </si>
  <si>
    <t>槎</t>
  </si>
  <si>
    <t>斎</t>
  </si>
  <si>
    <t>TRAI</t>
  </si>
  <si>
    <t>粧</t>
  </si>
  <si>
    <t>TRANG</t>
  </si>
  <si>
    <t>装</t>
  </si>
  <si>
    <t>よそお・う</t>
  </si>
  <si>
    <t>庄</t>
  </si>
  <si>
    <t>ホウ/ ショウ</t>
  </si>
  <si>
    <t>奘</t>
  </si>
  <si>
    <t>ジョウ/ ソウ</t>
  </si>
  <si>
    <t>妝</t>
  </si>
  <si>
    <t>荘</t>
  </si>
  <si>
    <t>TRANH</t>
  </si>
  <si>
    <t>争</t>
  </si>
  <si>
    <t>あらそ・う</t>
  </si>
  <si>
    <t>崢</t>
  </si>
  <si>
    <t>詐</t>
  </si>
  <si>
    <t>TRÁ</t>
  </si>
  <si>
    <t>搾</t>
  </si>
  <si>
    <t>しぼ・る</t>
  </si>
  <si>
    <t>咋</t>
  </si>
  <si>
    <t>咤</t>
  </si>
  <si>
    <t>卓</t>
  </si>
  <si>
    <t>TRÁC</t>
  </si>
  <si>
    <t>倬</t>
  </si>
  <si>
    <t>啅</t>
  </si>
  <si>
    <t>タク/ チョウ/ トウ</t>
  </si>
  <si>
    <t>啄</t>
  </si>
  <si>
    <t>琢</t>
  </si>
  <si>
    <t>TRÁC/CHÁC</t>
  </si>
  <si>
    <t>責</t>
  </si>
  <si>
    <t>TRÁCH</t>
  </si>
  <si>
    <t>窄</t>
  </si>
  <si>
    <t>嘖</t>
  </si>
  <si>
    <t>債</t>
  </si>
  <si>
    <t>TRÁI</t>
  </si>
  <si>
    <t>壮</t>
  </si>
  <si>
    <t>TRÁNG</t>
  </si>
  <si>
    <t>さか・ん</t>
  </si>
  <si>
    <t>壯</t>
  </si>
  <si>
    <t>弉</t>
  </si>
  <si>
    <t>扱</t>
  </si>
  <si>
    <t>TRÁP</t>
  </si>
  <si>
    <t>あつか・う</t>
  </si>
  <si>
    <t>札</t>
  </si>
  <si>
    <t>TRÁT</t>
  </si>
  <si>
    <t>扎</t>
  </si>
  <si>
    <t>茶</t>
  </si>
  <si>
    <t>TRÀ</t>
  </si>
  <si>
    <t>チャ/ サ</t>
  </si>
  <si>
    <t>撞</t>
  </si>
  <si>
    <t>TRÀNG</t>
  </si>
  <si>
    <t>シュ/ トウ/ ドウ</t>
  </si>
  <si>
    <t>幢</t>
  </si>
  <si>
    <t>嘲</t>
  </si>
  <si>
    <t>TRÀO</t>
  </si>
  <si>
    <t>あざけ・る</t>
  </si>
  <si>
    <t>盞</t>
  </si>
  <si>
    <t>TRẢN</t>
  </si>
  <si>
    <t>找</t>
  </si>
  <si>
    <t>TRẢO</t>
  </si>
  <si>
    <t>カ/ ソウ</t>
  </si>
  <si>
    <t>抓</t>
  </si>
  <si>
    <t>つね・る</t>
  </si>
  <si>
    <t>つめ</t>
  </si>
  <si>
    <t>濯</t>
  </si>
  <si>
    <t>TRẠC</t>
  </si>
  <si>
    <t>擢</t>
  </si>
  <si>
    <t>テキ/ タク</t>
  </si>
  <si>
    <t>ぬき・んでる</t>
  </si>
  <si>
    <t>沢</t>
  </si>
  <si>
    <t>TRẠCH</t>
  </si>
  <si>
    <t>さわ</t>
  </si>
  <si>
    <t>宅</t>
  </si>
  <si>
    <t>択</t>
  </si>
  <si>
    <t>擇</t>
  </si>
  <si>
    <t>砦</t>
  </si>
  <si>
    <t>TRẠI</t>
  </si>
  <si>
    <t>とりで</t>
  </si>
  <si>
    <t>寨</t>
  </si>
  <si>
    <t>状</t>
  </si>
  <si>
    <t>TRẠNG</t>
  </si>
  <si>
    <t>棹</t>
  </si>
  <si>
    <t>TRẠO</t>
  </si>
  <si>
    <t>さお、さお・さす</t>
  </si>
  <si>
    <t>櫂</t>
  </si>
  <si>
    <t>TRẠO/TRẠC</t>
  </si>
  <si>
    <t>トウ/ ジョウ</t>
  </si>
  <si>
    <t>珍</t>
  </si>
  <si>
    <t>TRÂN</t>
  </si>
  <si>
    <t>めずら・しい</t>
  </si>
  <si>
    <t>鎮</t>
  </si>
  <si>
    <t>TRẤN</t>
  </si>
  <si>
    <t>しず・める</t>
  </si>
  <si>
    <t>廿</t>
  </si>
  <si>
    <t>TRẤP/NIỆM</t>
  </si>
  <si>
    <t>ニュウ/ ジュウ</t>
  </si>
  <si>
    <t>にじゅう</t>
  </si>
  <si>
    <t>窒</t>
  </si>
  <si>
    <t>TRẤT</t>
  </si>
  <si>
    <t>チツ</t>
  </si>
  <si>
    <t>桎</t>
  </si>
  <si>
    <t>櫛</t>
  </si>
  <si>
    <t>沈</t>
  </si>
  <si>
    <t>TRẦM</t>
  </si>
  <si>
    <t>しず・む</t>
  </si>
  <si>
    <t>陳</t>
  </si>
  <si>
    <t>TRẦN</t>
  </si>
  <si>
    <t>塵</t>
  </si>
  <si>
    <t>ちり</t>
  </si>
  <si>
    <t>怎</t>
  </si>
  <si>
    <t>TRẨM/CHẪM</t>
  </si>
  <si>
    <t>朕</t>
  </si>
  <si>
    <t>TRẪM</t>
  </si>
  <si>
    <t>陣</t>
  </si>
  <si>
    <t>TRẬN</t>
  </si>
  <si>
    <t>秩</t>
  </si>
  <si>
    <t>TRẬT</t>
  </si>
  <si>
    <t>帙</t>
  </si>
  <si>
    <t>榛</t>
  </si>
  <si>
    <t>TRĂN</t>
  </si>
  <si>
    <t>測</t>
  </si>
  <si>
    <t>TRẮC</t>
  </si>
  <si>
    <t>ソク/ ショク</t>
  </si>
  <si>
    <t>側</t>
  </si>
  <si>
    <t>仄</t>
  </si>
  <si>
    <t>ほの・か</t>
  </si>
  <si>
    <t>惻</t>
  </si>
  <si>
    <t>昃</t>
  </si>
  <si>
    <t>滞</t>
  </si>
  <si>
    <t>TRỆ</t>
  </si>
  <si>
    <t>とどこお・る</t>
  </si>
  <si>
    <t>知</t>
  </si>
  <si>
    <t>TRI</t>
  </si>
  <si>
    <t>し・る</t>
  </si>
  <si>
    <t>蜘</t>
  </si>
  <si>
    <t>沾</t>
  </si>
  <si>
    <t>TRIÊM/ĐIẾP</t>
  </si>
  <si>
    <t>チョウ/ セン</t>
  </si>
  <si>
    <t>哲</t>
  </si>
  <si>
    <t>TRIẾT</t>
  </si>
  <si>
    <t>折</t>
  </si>
  <si>
    <t>浙</t>
  </si>
  <si>
    <t>纏</t>
  </si>
  <si>
    <t>TRIỀN</t>
  </si>
  <si>
    <t>まと・う、まとい</t>
  </si>
  <si>
    <t>壥</t>
  </si>
  <si>
    <t>廛</t>
  </si>
  <si>
    <t>潮</t>
  </si>
  <si>
    <t>TRIỀU/TRÀO</t>
  </si>
  <si>
    <t>しお、うしお</t>
  </si>
  <si>
    <t>朝</t>
  </si>
  <si>
    <t>TRIỀU/TRIÊU</t>
  </si>
  <si>
    <t>展</t>
  </si>
  <si>
    <t>TRIỂN</t>
  </si>
  <si>
    <t>篆</t>
  </si>
  <si>
    <t>TRIỆN</t>
  </si>
  <si>
    <t>摺</t>
  </si>
  <si>
    <t>TRIỆP</t>
  </si>
  <si>
    <t>す・る</t>
  </si>
  <si>
    <t>徹</t>
  </si>
  <si>
    <t>TRIỆT</t>
  </si>
  <si>
    <t>とお・る</t>
  </si>
  <si>
    <t>撤</t>
  </si>
  <si>
    <t>兆</t>
  </si>
  <si>
    <t>TRIỆU</t>
  </si>
  <si>
    <t>きざ・す</t>
  </si>
  <si>
    <t>召</t>
  </si>
  <si>
    <t>め・す</t>
  </si>
  <si>
    <t>趙</t>
  </si>
  <si>
    <t>肇</t>
  </si>
  <si>
    <t>偵</t>
  </si>
  <si>
    <t>TRINH</t>
  </si>
  <si>
    <t>貞</t>
  </si>
  <si>
    <t>禎</t>
  </si>
  <si>
    <t>幀</t>
  </si>
  <si>
    <t>置</t>
  </si>
  <si>
    <t>TRÍ</t>
  </si>
  <si>
    <t>致</t>
  </si>
  <si>
    <t>いた・す</t>
  </si>
  <si>
    <t>智</t>
  </si>
  <si>
    <t>摘</t>
  </si>
  <si>
    <t>TRÍCH</t>
  </si>
  <si>
    <t>滴</t>
  </si>
  <si>
    <t>TRÍCH/ĐÍCH</t>
  </si>
  <si>
    <t>しずく、したた・る</t>
  </si>
  <si>
    <t>池</t>
  </si>
  <si>
    <t>TRÌ</t>
  </si>
  <si>
    <t>いけ</t>
  </si>
  <si>
    <t>遅</t>
  </si>
  <si>
    <t>おそ・い、おく・れる</t>
  </si>
  <si>
    <t>持</t>
  </si>
  <si>
    <t>ジ/ チ</t>
  </si>
  <si>
    <t>も・つ</t>
  </si>
  <si>
    <t>程</t>
  </si>
  <si>
    <t>TRÌNH</t>
  </si>
  <si>
    <t>ほど</t>
  </si>
  <si>
    <t>呈</t>
  </si>
  <si>
    <t>稚</t>
  </si>
  <si>
    <r>
      <t>TR</t>
    </r>
    <r>
      <rPr>
        <sz val="11"/>
        <rFont val="ＭＳ Ｐゴシック"/>
        <family val="3"/>
        <charset val="128"/>
      </rPr>
      <t>Ĩ</t>
    </r>
  </si>
  <si>
    <t>痔</t>
  </si>
  <si>
    <t>峙</t>
  </si>
  <si>
    <t>治</t>
  </si>
  <si>
    <t>TRỊ</t>
  </si>
  <si>
    <t>値</t>
  </si>
  <si>
    <t>あたい、ね</t>
  </si>
  <si>
    <t>擲</t>
  </si>
  <si>
    <t>TRỊCH</t>
  </si>
  <si>
    <t>テキ/ シャク</t>
  </si>
  <si>
    <t>なげう・つ</t>
  </si>
  <si>
    <t>濁</t>
  </si>
  <si>
    <t>TRỌC</t>
  </si>
  <si>
    <t>ダク/ ジョク</t>
  </si>
  <si>
    <t>にご・る</t>
  </si>
  <si>
    <t>仲</t>
  </si>
  <si>
    <t>TRỌNG</t>
  </si>
  <si>
    <t>なか</t>
  </si>
  <si>
    <t>重</t>
  </si>
  <si>
    <t>TRỌNG/TRÙNG</t>
  </si>
  <si>
    <t>ジュウ/ チョウ</t>
  </si>
  <si>
    <t>おも・い、かさ・なる</t>
  </si>
  <si>
    <t>戳</t>
  </si>
  <si>
    <t>TRỐC</t>
  </si>
  <si>
    <t>阻</t>
  </si>
  <si>
    <t>TRỞ</t>
  </si>
  <si>
    <t>はば・む</t>
  </si>
  <si>
    <t>齟</t>
  </si>
  <si>
    <t>助</t>
  </si>
  <si>
    <t>TRỢ</t>
  </si>
  <si>
    <t>たす・ける</t>
  </si>
  <si>
    <t>黜</t>
  </si>
  <si>
    <t>TRUẤT</t>
  </si>
  <si>
    <t>チュツ</t>
  </si>
  <si>
    <t>中</t>
  </si>
  <si>
    <t>TRUNG</t>
  </si>
  <si>
    <t>衷</t>
  </si>
  <si>
    <t>忠</t>
  </si>
  <si>
    <t>追</t>
  </si>
  <si>
    <t>TRUY</t>
  </si>
  <si>
    <t>ツイ</t>
  </si>
  <si>
    <t>お・う</t>
  </si>
  <si>
    <t>椎</t>
  </si>
  <si>
    <t>しい、つち</t>
  </si>
  <si>
    <t>錘</t>
  </si>
  <si>
    <t>TRUY/TRÚY</t>
  </si>
  <si>
    <t>スイ/ ツイ</t>
  </si>
  <si>
    <t>おもり、つ・む</t>
  </si>
  <si>
    <t>伝</t>
  </si>
  <si>
    <t>TRUYỀN</t>
  </si>
  <si>
    <t>つた・える</t>
  </si>
  <si>
    <t>傳</t>
  </si>
  <si>
    <t>TRUYỀN/TRUYỆN</t>
  </si>
  <si>
    <t>駐</t>
  </si>
  <si>
    <t>TRÚ</t>
  </si>
  <si>
    <t>昼</t>
  </si>
  <si>
    <t>晝</t>
  </si>
  <si>
    <t>住</t>
  </si>
  <si>
    <t>TRÚ/TRỤ</t>
  </si>
  <si>
    <t>TRÚC</t>
  </si>
  <si>
    <t>築</t>
  </si>
  <si>
    <t>きず・く、つき、つい</t>
  </si>
  <si>
    <t>竺</t>
  </si>
  <si>
    <t>TRÚC/ĐỐC</t>
  </si>
  <si>
    <t>ジク/ チク</t>
  </si>
  <si>
    <t>厨</t>
  </si>
  <si>
    <t>TRÙ</t>
  </si>
  <si>
    <t>惆</t>
  </si>
  <si>
    <t>躊</t>
  </si>
  <si>
    <t>TRÙNG</t>
  </si>
  <si>
    <t>むし</t>
  </si>
  <si>
    <t>塚</t>
  </si>
  <si>
    <t>TRỦNG</t>
  </si>
  <si>
    <t>冢</t>
  </si>
  <si>
    <t>TRỦY/CHỦY</t>
  </si>
  <si>
    <t>宙</t>
  </si>
  <si>
    <t>TRỤ</t>
  </si>
  <si>
    <t>柱</t>
  </si>
  <si>
    <t>はしら</t>
  </si>
  <si>
    <t>軸</t>
  </si>
  <si>
    <t>TRỤC</t>
  </si>
  <si>
    <t>逐</t>
  </si>
  <si>
    <t>墜</t>
  </si>
  <si>
    <t>TRỤY</t>
  </si>
  <si>
    <t>徴</t>
  </si>
  <si>
    <t>TRƯNG</t>
  </si>
  <si>
    <t>張</t>
  </si>
  <si>
    <t>TRƯƠNG</t>
  </si>
  <si>
    <t>は・る、はり</t>
  </si>
  <si>
    <t>帳</t>
  </si>
  <si>
    <t>TRƯƠNG/TRƯỚNG</t>
  </si>
  <si>
    <t>着</t>
  </si>
  <si>
    <t>TRƯỚC</t>
  </si>
  <si>
    <t>チャク/ ジャク</t>
  </si>
  <si>
    <t>き・る、つ・く</t>
  </si>
  <si>
    <t>著</t>
  </si>
  <si>
    <t>あらわ・す、いちじる・しい</t>
  </si>
  <si>
    <t>脹</t>
  </si>
  <si>
    <t>TRƯỚNG</t>
  </si>
  <si>
    <t>ふく・れる</t>
  </si>
  <si>
    <t>悵</t>
  </si>
  <si>
    <t>長</t>
  </si>
  <si>
    <t>TRƯỜNG</t>
  </si>
  <si>
    <t>なが・い</t>
  </si>
  <si>
    <t>場</t>
  </si>
  <si>
    <t>ば</t>
  </si>
  <si>
    <t>塲</t>
  </si>
  <si>
    <t>腸</t>
  </si>
  <si>
    <t>TRƯỜNG/TRÀNG</t>
  </si>
  <si>
    <t>はらわた</t>
  </si>
  <si>
    <t>丈</t>
  </si>
  <si>
    <t>TRƯỢNG</t>
  </si>
  <si>
    <t>杖</t>
  </si>
  <si>
    <t>つえ</t>
  </si>
  <si>
    <t>仗</t>
  </si>
  <si>
    <t>辷</t>
  </si>
  <si>
    <t>(trượt)</t>
  </si>
  <si>
    <t>すべ・る</t>
  </si>
  <si>
    <t>除</t>
  </si>
  <si>
    <t>TRỪ</t>
  </si>
  <si>
    <t>ジ/ ジョ</t>
  </si>
  <si>
    <t>のぞ・く</t>
  </si>
  <si>
    <t>躇</t>
  </si>
  <si>
    <t>儲</t>
  </si>
  <si>
    <t>TRỪ/TRỮ</t>
  </si>
  <si>
    <t>澄</t>
  </si>
  <si>
    <t>TRỪNG</t>
  </si>
  <si>
    <t>懲</t>
  </si>
  <si>
    <t>こ・らしめる</t>
  </si>
  <si>
    <t>抽</t>
  </si>
  <si>
    <t>TRỪU</t>
  </si>
  <si>
    <t>箒</t>
  </si>
  <si>
    <t>TRỬU</t>
  </si>
  <si>
    <t>ほうき</t>
  </si>
  <si>
    <t>帚</t>
  </si>
  <si>
    <t>貯</t>
  </si>
  <si>
    <t>TRỮ</t>
  </si>
  <si>
    <t>抒</t>
  </si>
  <si>
    <t>杼</t>
  </si>
  <si>
    <t>佇</t>
  </si>
  <si>
    <t>たたず・む</t>
  </si>
  <si>
    <t>直</t>
  </si>
  <si>
    <t>TRỰC</t>
  </si>
  <si>
    <t>ジキ/ チョク</t>
  </si>
  <si>
    <t>ただ・ちに、なお・す</t>
  </si>
  <si>
    <t>埴</t>
  </si>
  <si>
    <t>はに</t>
  </si>
  <si>
    <t>修</t>
  </si>
  <si>
    <t>TU</t>
  </si>
  <si>
    <t>脩</t>
  </si>
  <si>
    <t>須</t>
  </si>
  <si>
    <t>ス/ シュ</t>
  </si>
  <si>
    <t>すべか・らく</t>
  </si>
  <si>
    <t>羞</t>
  </si>
  <si>
    <t>蓚</t>
  </si>
  <si>
    <t>遵</t>
  </si>
  <si>
    <t>TUÂN</t>
  </si>
  <si>
    <t>洵</t>
  </si>
  <si>
    <t>恂</t>
  </si>
  <si>
    <t>徇</t>
  </si>
  <si>
    <t>俊</t>
  </si>
  <si>
    <t>TUẤN</t>
  </si>
  <si>
    <t>駿</t>
  </si>
  <si>
    <t>峻</t>
  </si>
  <si>
    <t>儁</t>
  </si>
  <si>
    <t>浚</t>
  </si>
  <si>
    <t>さら・う</t>
  </si>
  <si>
    <t>戌</t>
  </si>
  <si>
    <t>TUẤT</t>
  </si>
  <si>
    <t>ジュツ/ シュツ</t>
  </si>
  <si>
    <t>恤</t>
  </si>
  <si>
    <t>巡</t>
  </si>
  <si>
    <t>TUẦN</t>
  </si>
  <si>
    <t>旬</t>
  </si>
  <si>
    <t>しゅん</t>
  </si>
  <si>
    <t>循</t>
  </si>
  <si>
    <t>殉</t>
  </si>
  <si>
    <t>TUẪN</t>
  </si>
  <si>
    <t>歳</t>
  </si>
  <si>
    <t>TUẾ</t>
  </si>
  <si>
    <t>とし</t>
  </si>
  <si>
    <t>穂</t>
  </si>
  <si>
    <t>TUỆ</t>
  </si>
  <si>
    <t>慧</t>
  </si>
  <si>
    <t>彗</t>
  </si>
  <si>
    <t>スイ/ セイ</t>
  </si>
  <si>
    <t>縦</t>
  </si>
  <si>
    <t>TUNG</t>
  </si>
  <si>
    <t>嵩</t>
  </si>
  <si>
    <t>スウ/ シュウ</t>
  </si>
  <si>
    <t>樅</t>
  </si>
  <si>
    <t>宣</t>
  </si>
  <si>
    <t>TUYÊN</t>
  </si>
  <si>
    <t>亘</t>
  </si>
  <si>
    <t>線</t>
  </si>
  <si>
    <t>TUYẾN</t>
  </si>
  <si>
    <t>腺</t>
  </si>
  <si>
    <t>雪</t>
  </si>
  <si>
    <t>TUYẾT</t>
  </si>
  <si>
    <t>ゆき、すす・ぐ</t>
  </si>
  <si>
    <t>鱈</t>
  </si>
  <si>
    <t>たら</t>
  </si>
  <si>
    <t>泉</t>
  </si>
  <si>
    <t>TUYỀN</t>
  </si>
  <si>
    <t>いずみ</t>
  </si>
  <si>
    <t>選</t>
  </si>
  <si>
    <t>TUYỂN</t>
  </si>
  <si>
    <t>えら・ぶ、え・る</t>
  </si>
  <si>
    <t>絶</t>
  </si>
  <si>
    <t>TUYỆT</t>
  </si>
  <si>
    <t>秀</t>
  </si>
  <si>
    <t>TÚ</t>
  </si>
  <si>
    <t>ひい・でる</t>
  </si>
  <si>
    <t>TÚC</t>
  </si>
  <si>
    <t>あし、た・りる</t>
  </si>
  <si>
    <t>粛</t>
  </si>
  <si>
    <t>捉</t>
  </si>
  <si>
    <t>ソク/ サク</t>
  </si>
  <si>
    <t>とら・える</t>
  </si>
  <si>
    <t>粟</t>
  </si>
  <si>
    <t>ゾク/ ショク</t>
  </si>
  <si>
    <t>肅</t>
  </si>
  <si>
    <t>夙</t>
  </si>
  <si>
    <t>つと・に</t>
  </si>
  <si>
    <t>槭</t>
  </si>
  <si>
    <t>TÚC/SẮC</t>
  </si>
  <si>
    <t>宿</t>
  </si>
  <si>
    <t>TÚC/TÚ</t>
  </si>
  <si>
    <t>シュク/ スク</t>
  </si>
  <si>
    <t>やど・る、やど</t>
  </si>
  <si>
    <t>蹙</t>
  </si>
  <si>
    <t>TÚC/XÚC</t>
  </si>
  <si>
    <t>粋</t>
  </si>
  <si>
    <t>TÚY</t>
  </si>
  <si>
    <t>スイ/ サイ</t>
  </si>
  <si>
    <t>いき</t>
  </si>
  <si>
    <t>酔</t>
  </si>
  <si>
    <t>よ・う</t>
  </si>
  <si>
    <t>囚</t>
  </si>
  <si>
    <t>TÙ</t>
  </si>
  <si>
    <t>とら・われる</t>
  </si>
  <si>
    <t>泅</t>
  </si>
  <si>
    <t>酋</t>
  </si>
  <si>
    <t>松</t>
  </si>
  <si>
    <t>TÙNG</t>
  </si>
  <si>
    <t>まつ</t>
  </si>
  <si>
    <t>枩</t>
  </si>
  <si>
    <t>従</t>
  </si>
  <si>
    <t>TÙNG/TÒNG</t>
  </si>
  <si>
    <t>ジュウ/ シュウ/ ジュ</t>
  </si>
  <si>
    <t>したが・う</t>
  </si>
  <si>
    <t>從</t>
  </si>
  <si>
    <t>叢</t>
  </si>
  <si>
    <t>くさむら</t>
  </si>
  <si>
    <t>从</t>
  </si>
  <si>
    <t>随</t>
  </si>
  <si>
    <t>TÙY</t>
  </si>
  <si>
    <t>隋</t>
  </si>
  <si>
    <t>TÙY/ĐỌA</t>
  </si>
  <si>
    <t>悚</t>
  </si>
  <si>
    <t>TỦNG</t>
  </si>
  <si>
    <t>慫</t>
  </si>
  <si>
    <t>髄</t>
  </si>
  <si>
    <t>TỦY</t>
  </si>
  <si>
    <t>袖</t>
  </si>
  <si>
    <t>TỤ</t>
  </si>
  <si>
    <t>そで</t>
  </si>
  <si>
    <t>聚</t>
  </si>
  <si>
    <t>続</t>
  </si>
  <si>
    <t>TỤC</t>
  </si>
  <si>
    <t>つづ・く</t>
  </si>
  <si>
    <t>俗</t>
  </si>
  <si>
    <t>訟</t>
  </si>
  <si>
    <t>TỤNG</t>
  </si>
  <si>
    <t>頌</t>
  </si>
  <si>
    <t>誦</t>
  </si>
  <si>
    <t>ショウ/ ジュ</t>
  </si>
  <si>
    <t>そらん・ずる、とな・える</t>
  </si>
  <si>
    <t>膵</t>
  </si>
  <si>
    <t>TỤY</t>
  </si>
  <si>
    <t>悴</t>
  </si>
  <si>
    <t>瘁</t>
  </si>
  <si>
    <t>滋</t>
  </si>
  <si>
    <t>TƯ</t>
  </si>
  <si>
    <t>思</t>
  </si>
  <si>
    <t>おも・う</t>
  </si>
  <si>
    <t>私</t>
  </si>
  <si>
    <t>わたくし個人、自分</t>
  </si>
  <si>
    <t>資</t>
  </si>
  <si>
    <t>姿</t>
  </si>
  <si>
    <t>すがた</t>
  </si>
  <si>
    <t>恣</t>
  </si>
  <si>
    <t>斯</t>
  </si>
  <si>
    <t>髭</t>
  </si>
  <si>
    <t>ひげ</t>
  </si>
  <si>
    <t>廝</t>
  </si>
  <si>
    <t>偲</t>
  </si>
  <si>
    <t>孜</t>
  </si>
  <si>
    <t>司</t>
  </si>
  <si>
    <t>TƯ/TY</t>
  </si>
  <si>
    <t>つかさ、つかさど・る</t>
  </si>
  <si>
    <t>醬</t>
  </si>
  <si>
    <t>TƯƠNG</t>
  </si>
  <si>
    <t>竦</t>
  </si>
  <si>
    <t>すく・む</t>
  </si>
  <si>
    <t>漿</t>
  </si>
  <si>
    <t>箱</t>
  </si>
  <si>
    <t>TƯƠNG/SƯƠNG</t>
  </si>
  <si>
    <t>相</t>
  </si>
  <si>
    <t>TƯƠNG/TƯỚNG</t>
  </si>
  <si>
    <t>將</t>
  </si>
  <si>
    <t>爵</t>
  </si>
  <si>
    <t>TƯỚC</t>
  </si>
  <si>
    <t>削</t>
  </si>
  <si>
    <t>けず・る、そ・ぐ</t>
  </si>
  <si>
    <t>雀</t>
  </si>
  <si>
    <t>シャク/ ジャク</t>
  </si>
  <si>
    <t>すずめ</t>
  </si>
  <si>
    <t>嚼</t>
  </si>
  <si>
    <t>将</t>
  </si>
  <si>
    <t>TƯỚNG/TƯƠNG</t>
  </si>
  <si>
    <t>まさ・に</t>
  </si>
  <si>
    <t>祥</t>
  </si>
  <si>
    <t>TƯỜNG</t>
  </si>
  <si>
    <t>詳</t>
  </si>
  <si>
    <t>くわ・しい</t>
  </si>
  <si>
    <t>翔</t>
  </si>
  <si>
    <t>檣</t>
  </si>
  <si>
    <t>墻</t>
  </si>
  <si>
    <t>庠</t>
  </si>
  <si>
    <t>薔</t>
  </si>
  <si>
    <t>TƯỜNG/SẮC</t>
  </si>
  <si>
    <t>ショク/ ショウ/ ソウ</t>
  </si>
  <si>
    <t>奨</t>
  </si>
  <si>
    <t>TƯỞNG</t>
  </si>
  <si>
    <t>想</t>
  </si>
  <si>
    <t>奬</t>
  </si>
  <si>
    <t>象</t>
  </si>
  <si>
    <t>TƯỢNG</t>
  </si>
  <si>
    <t>ショウ/ ゾウ</t>
  </si>
  <si>
    <t>像</t>
  </si>
  <si>
    <t>ゾウ/ ショウ</t>
  </si>
  <si>
    <t>匠</t>
  </si>
  <si>
    <t>橡</t>
  </si>
  <si>
    <t>くぬぎ、とち</t>
  </si>
  <si>
    <t>掫</t>
  </si>
  <si>
    <t>TƯU</t>
  </si>
  <si>
    <t>賜</t>
  </si>
  <si>
    <t>TỨ</t>
  </si>
  <si>
    <t>たまわ・る</t>
  </si>
  <si>
    <t>四</t>
  </si>
  <si>
    <t>よん、よ・つ</t>
  </si>
  <si>
    <t>泗</t>
  </si>
  <si>
    <t>息</t>
  </si>
  <si>
    <t>TỨC</t>
  </si>
  <si>
    <t>即</t>
  </si>
  <si>
    <t>すなわ・ち</t>
  </si>
  <si>
    <t>喞</t>
  </si>
  <si>
    <t>磁</t>
  </si>
  <si>
    <t>TỪ</t>
  </si>
  <si>
    <t>辞</t>
  </si>
  <si>
    <t>や・める</t>
  </si>
  <si>
    <t>詞</t>
  </si>
  <si>
    <t>ことば</t>
  </si>
  <si>
    <t>慈</t>
  </si>
  <si>
    <t>いつく・しむ</t>
  </si>
  <si>
    <t>徐</t>
  </si>
  <si>
    <t>おもむろ・に</t>
  </si>
  <si>
    <t>孳</t>
  </si>
  <si>
    <t>祠</t>
  </si>
  <si>
    <t>ほこら</t>
  </si>
  <si>
    <t>紫</t>
  </si>
  <si>
    <t>TỬ</t>
  </si>
  <si>
    <t>むらさき</t>
  </si>
  <si>
    <t>死</t>
  </si>
  <si>
    <t>し・ぬ</t>
  </si>
  <si>
    <t>辻</t>
  </si>
  <si>
    <t>つじ</t>
  </si>
  <si>
    <t>梓</t>
  </si>
  <si>
    <t>あずさ</t>
  </si>
  <si>
    <t>TỬ/TÝ</t>
  </si>
  <si>
    <t>こ、ね</t>
  </si>
  <si>
    <t>酒</t>
  </si>
  <si>
    <t>TỬU</t>
  </si>
  <si>
    <t>さけ、さか</t>
  </si>
  <si>
    <t>緒</t>
  </si>
  <si>
    <t>TỰ</t>
  </si>
  <si>
    <t>ショ/ チョ</t>
  </si>
  <si>
    <t>お</t>
  </si>
  <si>
    <t>自</t>
  </si>
  <si>
    <t>みずか・ら、おの・ずから</t>
  </si>
  <si>
    <t>似</t>
  </si>
  <si>
    <t>飼</t>
  </si>
  <si>
    <t>叙</t>
  </si>
  <si>
    <t>嗣</t>
  </si>
  <si>
    <t>寺</t>
  </si>
  <si>
    <t>てら</t>
  </si>
  <si>
    <t>字</t>
  </si>
  <si>
    <t>序</t>
  </si>
  <si>
    <t>敘</t>
  </si>
  <si>
    <t>敍</t>
  </si>
  <si>
    <t>沮</t>
  </si>
  <si>
    <t>TỰ/TRỞ/THƯ</t>
  </si>
  <si>
    <t>就</t>
  </si>
  <si>
    <t>TỰU</t>
  </si>
  <si>
    <t>つ・く、つ・いて</t>
  </si>
  <si>
    <t>諮</t>
  </si>
  <si>
    <t>TY</t>
  </si>
  <si>
    <t>呰</t>
  </si>
  <si>
    <t>TY/TA</t>
  </si>
  <si>
    <t>卑</t>
  </si>
  <si>
    <t>TY/TI</t>
  </si>
  <si>
    <t>いや・しい</t>
  </si>
  <si>
    <t>漬</t>
  </si>
  <si>
    <t>TÝ</t>
  </si>
  <si>
    <t>つ・ける</t>
  </si>
  <si>
    <t>庇</t>
  </si>
  <si>
    <t>かば・う、ひさし</t>
  </si>
  <si>
    <t>茨</t>
  </si>
  <si>
    <t>TỲ/TÌ</t>
  </si>
  <si>
    <t>枇</t>
  </si>
  <si>
    <t>疵</t>
  </si>
  <si>
    <t>きず</t>
  </si>
  <si>
    <t>脾</t>
  </si>
  <si>
    <t>琵</t>
  </si>
  <si>
    <t>婢</t>
  </si>
  <si>
    <t>璽</t>
  </si>
  <si>
    <t>TỶ</t>
  </si>
  <si>
    <t>妣</t>
  </si>
  <si>
    <t>姉</t>
  </si>
  <si>
    <t>TỶ/TỈ</t>
  </si>
  <si>
    <t>俾</t>
  </si>
  <si>
    <t>ヘイ/ ヒ</t>
  </si>
  <si>
    <t>比</t>
  </si>
  <si>
    <t>TỶ/TỈ/BỈ</t>
  </si>
  <si>
    <t>伺</t>
  </si>
  <si>
    <t>TỶ/TỨ</t>
  </si>
  <si>
    <t>うかが・う</t>
  </si>
  <si>
    <t>避</t>
  </si>
  <si>
    <t>TỴ</t>
  </si>
  <si>
    <t>さ・ける、よ・ける</t>
  </si>
  <si>
    <t>巳</t>
  </si>
  <si>
    <t>嚊</t>
  </si>
  <si>
    <t>ビ/ キ</t>
  </si>
  <si>
    <t>幽</t>
  </si>
  <si>
    <t>U</t>
  </si>
  <si>
    <t>かす・か</t>
  </si>
  <si>
    <t>欝</t>
  </si>
  <si>
    <t>UẤT</t>
  </si>
  <si>
    <t>ウツ/ ウチ</t>
  </si>
  <si>
    <t>鬱</t>
  </si>
  <si>
    <t>鬯</t>
  </si>
  <si>
    <t>壅</t>
  </si>
  <si>
    <t>UNG</t>
  </si>
  <si>
    <t>癰</t>
  </si>
  <si>
    <t>廱</t>
  </si>
  <si>
    <t>汪</t>
  </si>
  <si>
    <t>UÔNG</t>
  </si>
  <si>
    <t>枉</t>
  </si>
  <si>
    <t>UỔNG</t>
  </si>
  <si>
    <t>威</t>
  </si>
  <si>
    <t>UY</t>
  </si>
  <si>
    <t>淵</t>
  </si>
  <si>
    <t>UYÊN</t>
  </si>
  <si>
    <t>ふち</t>
  </si>
  <si>
    <t>宛</t>
  </si>
  <si>
    <t>UYỂN</t>
  </si>
  <si>
    <t>あて、あたか・も</t>
  </si>
  <si>
    <t>苑</t>
  </si>
  <si>
    <t>その</t>
  </si>
  <si>
    <t>蜿</t>
  </si>
  <si>
    <t>婉</t>
  </si>
  <si>
    <t>尉</t>
  </si>
  <si>
    <t>UÝ</t>
  </si>
  <si>
    <t>慰</t>
  </si>
  <si>
    <t>なぐさ・める</t>
  </si>
  <si>
    <t>郁</t>
  </si>
  <si>
    <t>ÚC</t>
  </si>
  <si>
    <t>甕</t>
  </si>
  <si>
    <t>ÚNG</t>
  </si>
  <si>
    <t>萎</t>
  </si>
  <si>
    <t>ÙY</t>
  </si>
  <si>
    <t>な・える、しお・れる</t>
  </si>
  <si>
    <t>傴</t>
  </si>
  <si>
    <t>Ủ</t>
  </si>
  <si>
    <t>擁</t>
  </si>
  <si>
    <t>ỦNG</t>
  </si>
  <si>
    <t>いだ・く</t>
  </si>
  <si>
    <t>委</t>
  </si>
  <si>
    <t>ỦY</t>
  </si>
  <si>
    <t>くわ・しい、ゆだ・ねる</t>
  </si>
  <si>
    <t>於</t>
  </si>
  <si>
    <t>Ư</t>
  </si>
  <si>
    <t>唹</t>
  </si>
  <si>
    <t>オ/ ヨ</t>
  </si>
  <si>
    <t>鷹</t>
  </si>
  <si>
    <t>ƯNG</t>
  </si>
  <si>
    <t>たか</t>
  </si>
  <si>
    <t>膺</t>
  </si>
  <si>
    <t>央</t>
  </si>
  <si>
    <t>ƯƠNG</t>
  </si>
  <si>
    <t>殃</t>
  </si>
  <si>
    <t>泱</t>
  </si>
  <si>
    <t>ƯƠNG/ÁNG</t>
  </si>
  <si>
    <t>オウ/ ヨウ</t>
  </si>
  <si>
    <t>約</t>
  </si>
  <si>
    <t>ƯỚC</t>
  </si>
  <si>
    <t>妁</t>
  </si>
  <si>
    <t>怏</t>
  </si>
  <si>
    <t>ƯỞNG</t>
  </si>
  <si>
    <t>優</t>
  </si>
  <si>
    <t>ƯU</t>
  </si>
  <si>
    <t>やさ・しい、すぐ・れる、まさ・る</t>
  </si>
  <si>
    <t>憂</t>
  </si>
  <si>
    <t>うれ・える</t>
  </si>
  <si>
    <t>億</t>
  </si>
  <si>
    <t>ỨC</t>
  </si>
  <si>
    <t>オク</t>
  </si>
  <si>
    <t>憶</t>
  </si>
  <si>
    <t>抑</t>
  </si>
  <si>
    <t>おさ・える</t>
  </si>
  <si>
    <t>臆</t>
  </si>
  <si>
    <t>応</t>
  </si>
  <si>
    <t>ỨNG</t>
  </si>
  <si>
    <t>こた・える</t>
  </si>
  <si>
    <t>應</t>
  </si>
  <si>
    <t>黝</t>
  </si>
  <si>
    <t>ỬU</t>
  </si>
  <si>
    <t>蠑</t>
  </si>
  <si>
    <t>VANH</t>
  </si>
  <si>
    <t>晩</t>
  </si>
  <si>
    <t>VÃN</t>
  </si>
  <si>
    <t>バン/ ベン</t>
  </si>
  <si>
    <t>挽</t>
  </si>
  <si>
    <t>往</t>
  </si>
  <si>
    <t>VÃNG</t>
  </si>
  <si>
    <t>万</t>
  </si>
  <si>
    <t>VẠN</t>
  </si>
  <si>
    <t>よろず</t>
  </si>
  <si>
    <t>卍</t>
  </si>
  <si>
    <t>まんじ</t>
  </si>
  <si>
    <t>雲</t>
  </si>
  <si>
    <t>VÂN</t>
  </si>
  <si>
    <t>くも</t>
  </si>
  <si>
    <t>云</t>
  </si>
  <si>
    <t>い・う</t>
  </si>
  <si>
    <t>問</t>
  </si>
  <si>
    <t>VẤN</t>
  </si>
  <si>
    <t>と・う</t>
  </si>
  <si>
    <t>殞</t>
  </si>
  <si>
    <t>VẪN</t>
  </si>
  <si>
    <t>刎</t>
  </si>
  <si>
    <t>吻</t>
  </si>
  <si>
    <t>フン/ プン</t>
  </si>
  <si>
    <t>運</t>
  </si>
  <si>
    <t>VẬN</t>
  </si>
  <si>
    <t>はこ・ぶ</t>
  </si>
  <si>
    <t>韻</t>
  </si>
  <si>
    <t>イン/ ウン</t>
  </si>
  <si>
    <t>物</t>
  </si>
  <si>
    <t>VẬT</t>
  </si>
  <si>
    <t>ブツ/ モツ</t>
  </si>
  <si>
    <t>惣</t>
  </si>
  <si>
    <t>勿</t>
  </si>
  <si>
    <t>ブツ/ モチ</t>
  </si>
  <si>
    <t>なか・れ</t>
  </si>
  <si>
    <t>紋</t>
  </si>
  <si>
    <t>VĂN</t>
  </si>
  <si>
    <t>蚊</t>
  </si>
  <si>
    <t>ブン</t>
  </si>
  <si>
    <t>か</t>
  </si>
  <si>
    <t>聞</t>
  </si>
  <si>
    <t>ブン/ モン</t>
  </si>
  <si>
    <t>ふみ、あや</t>
  </si>
  <si>
    <t>紊</t>
  </si>
  <si>
    <t>VẶN</t>
  </si>
  <si>
    <t>衛</t>
  </si>
  <si>
    <t>VỆ</t>
  </si>
  <si>
    <t>衞</t>
  </si>
  <si>
    <t>違</t>
  </si>
  <si>
    <t>VI</t>
  </si>
  <si>
    <t>ちが・う</t>
  </si>
  <si>
    <t>囲</t>
  </si>
  <si>
    <t>かこ・む</t>
  </si>
  <si>
    <t>為</t>
  </si>
  <si>
    <t>な・す、ため</t>
  </si>
  <si>
    <t>微</t>
  </si>
  <si>
    <t>葦</t>
  </si>
  <si>
    <t>薇</t>
  </si>
  <si>
    <t>ぜんまい</t>
  </si>
  <si>
    <t>イ/ コク</t>
  </si>
  <si>
    <t>圍</t>
  </si>
  <si>
    <t>イ/ エ</t>
  </si>
  <si>
    <t>幃</t>
  </si>
  <si>
    <t>炎</t>
  </si>
  <si>
    <t>VIÊM</t>
  </si>
  <si>
    <t>ほのお</t>
  </si>
  <si>
    <t>猿</t>
  </si>
  <si>
    <t>VIÊN</t>
  </si>
  <si>
    <t>さる</t>
  </si>
  <si>
    <t>円</t>
  </si>
  <si>
    <t>まる・い</t>
  </si>
  <si>
    <t>員</t>
  </si>
  <si>
    <t>園</t>
  </si>
  <si>
    <t>垣</t>
  </si>
  <si>
    <t>圓</t>
  </si>
  <si>
    <t>袁</t>
  </si>
  <si>
    <t>VIẾT</t>
  </si>
  <si>
    <t>いわ・く</t>
  </si>
  <si>
    <t>遠</t>
  </si>
  <si>
    <t>VIỄN</t>
  </si>
  <si>
    <t>とお・い</t>
  </si>
  <si>
    <t>院</t>
  </si>
  <si>
    <t>VIỆN</t>
  </si>
  <si>
    <t>イン/ エン</t>
  </si>
  <si>
    <t>媛</t>
  </si>
  <si>
    <t>援</t>
  </si>
  <si>
    <t>VIỆN/VIÊN</t>
  </si>
  <si>
    <t>越</t>
  </si>
  <si>
    <t>VIỆT</t>
  </si>
  <si>
    <t>戉</t>
  </si>
  <si>
    <t>粤</t>
  </si>
  <si>
    <t>栄</t>
  </si>
  <si>
    <t>VINH</t>
  </si>
  <si>
    <t>さか・える、は・える</t>
  </si>
  <si>
    <t>榮</t>
  </si>
  <si>
    <t>緯</t>
  </si>
  <si>
    <r>
      <t>V</t>
    </r>
    <r>
      <rPr>
        <sz val="11"/>
        <rFont val="ＭＳ Ｐゴシック"/>
        <family val="3"/>
        <charset val="128"/>
      </rPr>
      <t>Ĩ</t>
    </r>
  </si>
  <si>
    <t>偉</t>
  </si>
  <si>
    <t>えら・い</t>
  </si>
  <si>
    <t>尾</t>
  </si>
  <si>
    <t>梶</t>
  </si>
  <si>
    <t>永</t>
  </si>
  <si>
    <r>
      <t>V</t>
    </r>
    <r>
      <rPr>
        <sz val="11"/>
        <rFont val="ＭＳ Ｐゴシック"/>
        <family val="3"/>
        <charset val="128"/>
      </rPr>
      <t>Ĩ</t>
    </r>
    <r>
      <rPr>
        <sz val="11"/>
        <rFont val="Arial"/>
        <family val="2"/>
      </rPr>
      <t>NH</t>
    </r>
  </si>
  <si>
    <t>胃</t>
  </si>
  <si>
    <t>VỊ</t>
  </si>
  <si>
    <t>位</t>
  </si>
  <si>
    <t>くらい</t>
  </si>
  <si>
    <t>味</t>
  </si>
  <si>
    <t>あじ、あじ・わう</t>
  </si>
  <si>
    <t>蝟</t>
  </si>
  <si>
    <t>喟</t>
  </si>
  <si>
    <t>未</t>
  </si>
  <si>
    <t>VỊ/MÙI</t>
  </si>
  <si>
    <t>ひつじ、いま・だ</t>
  </si>
  <si>
    <t>泳</t>
  </si>
  <si>
    <t>VỊNH</t>
  </si>
  <si>
    <t>エイ/ ヨウ</t>
  </si>
  <si>
    <t>およ・ぐ</t>
  </si>
  <si>
    <t>詠</t>
  </si>
  <si>
    <t>うた・う、よ・む</t>
  </si>
  <si>
    <t>咏</t>
  </si>
  <si>
    <t>忘</t>
  </si>
  <si>
    <t>VONG</t>
  </si>
  <si>
    <t>わす・れる</t>
  </si>
  <si>
    <t>亡</t>
  </si>
  <si>
    <t>VONG/VÔ</t>
  </si>
  <si>
    <t>網</t>
  </si>
  <si>
    <t>VÕNG</t>
  </si>
  <si>
    <t>あみ</t>
  </si>
  <si>
    <t>惘</t>
  </si>
  <si>
    <t>モウ・ボウ</t>
  </si>
  <si>
    <t>魍</t>
  </si>
  <si>
    <t>罔</t>
  </si>
  <si>
    <t>モウ/ ム/ ボウ</t>
  </si>
  <si>
    <t>望</t>
  </si>
  <si>
    <t>VỌNG</t>
  </si>
  <si>
    <t>妄</t>
  </si>
  <si>
    <t>VỌNG/VÕNG</t>
  </si>
  <si>
    <t>みだ・り</t>
  </si>
  <si>
    <t>憮</t>
  </si>
  <si>
    <t>VÔ</t>
  </si>
  <si>
    <t>ム/ ブ</t>
  </si>
  <si>
    <t>無</t>
  </si>
  <si>
    <t>VÔ/MÔ</t>
  </si>
  <si>
    <t>な・い</t>
  </si>
  <si>
    <t>嘸</t>
  </si>
  <si>
    <t>VÔ/MƯU</t>
  </si>
  <si>
    <t>于</t>
  </si>
  <si>
    <t>VU</t>
  </si>
  <si>
    <t>盂</t>
  </si>
  <si>
    <t>迂</t>
  </si>
  <si>
    <t>蕪</t>
  </si>
  <si>
    <t>巫</t>
  </si>
  <si>
    <t>みこ</t>
  </si>
  <si>
    <t>誣</t>
  </si>
  <si>
    <r>
      <t>V</t>
    </r>
    <r>
      <rPr>
        <sz val="11"/>
        <rFont val="ＭＳ Ｐゴシック"/>
        <family val="3"/>
        <charset val="128"/>
      </rPr>
      <t>Ũ</t>
    </r>
  </si>
  <si>
    <t>はね</t>
  </si>
  <si>
    <t>舞</t>
  </si>
  <si>
    <t>舛</t>
  </si>
  <si>
    <t>まい、ま・う</t>
  </si>
  <si>
    <t>宇</t>
  </si>
  <si>
    <t>廡</t>
  </si>
  <si>
    <t>武</t>
  </si>
  <si>
    <t>VŨ/VÕ</t>
  </si>
  <si>
    <t>たけ・し</t>
  </si>
  <si>
    <t>VŨ/VÚ</t>
  </si>
  <si>
    <t>侮</t>
  </si>
  <si>
    <t>VŨ/VỤ</t>
  </si>
  <si>
    <t>あなど・る</t>
  </si>
  <si>
    <t>務</t>
  </si>
  <si>
    <t>VỤ</t>
  </si>
  <si>
    <t>つと・め</t>
  </si>
  <si>
    <t>霧</t>
  </si>
  <si>
    <t>VƯƠNG</t>
  </si>
  <si>
    <t>きみ、おおきみ</t>
  </si>
  <si>
    <t>畑</t>
  </si>
  <si>
    <t>(vườn)</t>
  </si>
  <si>
    <t>旺</t>
  </si>
  <si>
    <t>VƯỢNG</t>
  </si>
  <si>
    <t>疣</t>
  </si>
  <si>
    <t>VƯU</t>
  </si>
  <si>
    <t>いぼ</t>
  </si>
  <si>
    <t>尤</t>
  </si>
  <si>
    <t>ユウ/ ウ</t>
  </si>
  <si>
    <t>域</t>
  </si>
  <si>
    <t>VỰC</t>
  </si>
  <si>
    <t>イキ</t>
  </si>
  <si>
    <t>暈</t>
  </si>
  <si>
    <t>VỰNG</t>
  </si>
  <si>
    <t>彙</t>
  </si>
  <si>
    <t>VỰNG/VỊ/HỐI/HỘI</t>
  </si>
  <si>
    <t>XA</t>
  </si>
  <si>
    <t>くるま</t>
  </si>
  <si>
    <t>俥</t>
  </si>
  <si>
    <t>奢</t>
  </si>
  <si>
    <t>おご・る</t>
  </si>
  <si>
    <t>赦</t>
  </si>
  <si>
    <t>XÁ</t>
  </si>
  <si>
    <t>赤</t>
  </si>
  <si>
    <t>ゆる・す</t>
  </si>
  <si>
    <t>舎</t>
  </si>
  <si>
    <t>岔</t>
  </si>
  <si>
    <t>殻</t>
  </si>
  <si>
    <t>XÁC</t>
  </si>
  <si>
    <t>確</t>
  </si>
  <si>
    <t>たし・か</t>
  </si>
  <si>
    <t>燦</t>
  </si>
  <si>
    <t>XÁN</t>
  </si>
  <si>
    <t>蛇</t>
  </si>
  <si>
    <t>XÀ</t>
  </si>
  <si>
    <t>ダ/ ジャ</t>
  </si>
  <si>
    <t>へび</t>
  </si>
  <si>
    <t>巧</t>
  </si>
  <si>
    <t>XẢO</t>
  </si>
  <si>
    <t>たく・み</t>
  </si>
  <si>
    <t>社</t>
  </si>
  <si>
    <t>XÃ</t>
  </si>
  <si>
    <t>やしろ</t>
  </si>
  <si>
    <t>射</t>
  </si>
  <si>
    <t>XẠ</t>
  </si>
  <si>
    <t>麝</t>
  </si>
  <si>
    <t>ジャ/ シャ</t>
  </si>
  <si>
    <t>侵</t>
  </si>
  <si>
    <t>XÂM</t>
  </si>
  <si>
    <t>蚩</t>
  </si>
  <si>
    <t>XI</t>
  </si>
  <si>
    <t>暹</t>
  </si>
  <si>
    <t>XIÊM</t>
  </si>
  <si>
    <t>掣</t>
  </si>
  <si>
    <t>XIẾT</t>
  </si>
  <si>
    <t>企</t>
  </si>
  <si>
    <t>XÍ</t>
  </si>
  <si>
    <t>くわだ・てる</t>
  </si>
  <si>
    <t>厠</t>
  </si>
  <si>
    <t>幟</t>
  </si>
  <si>
    <t>のぼり</t>
  </si>
  <si>
    <t>XÍCH</t>
  </si>
  <si>
    <t>尺</t>
  </si>
  <si>
    <t>斥</t>
  </si>
  <si>
    <t>しりぞ・ける</t>
  </si>
  <si>
    <t>呎</t>
  </si>
  <si>
    <t>フィート</t>
  </si>
  <si>
    <t>XỈ</t>
  </si>
  <si>
    <t>侈</t>
  </si>
  <si>
    <t>扠</t>
  </si>
  <si>
    <t>XOA</t>
  </si>
  <si>
    <t>サ/ セ</t>
  </si>
  <si>
    <t>叉</t>
  </si>
  <si>
    <t>樞</t>
  </si>
  <si>
    <t>XU</t>
  </si>
  <si>
    <t>枢</t>
  </si>
  <si>
    <t>XU/KHU</t>
  </si>
  <si>
    <t>春</t>
  </si>
  <si>
    <t>XUÂN</t>
  </si>
  <si>
    <t>はる</t>
  </si>
  <si>
    <t>椿</t>
  </si>
  <si>
    <t>XUÂN/THUNG</t>
  </si>
  <si>
    <t>チン/ チュン</t>
  </si>
  <si>
    <t>つばき</t>
  </si>
  <si>
    <t>率</t>
  </si>
  <si>
    <t>XUẤT</t>
  </si>
  <si>
    <t>リツ/ ソツ</t>
  </si>
  <si>
    <t>ひき・いる</t>
  </si>
  <si>
    <t>出</t>
  </si>
  <si>
    <t>シュツ</t>
  </si>
  <si>
    <t>で・る、いずる</t>
  </si>
  <si>
    <t>蟀</t>
  </si>
  <si>
    <t>齣</t>
  </si>
  <si>
    <t>XUẤT/XÍCH</t>
  </si>
  <si>
    <t>シュツ/ スチ</t>
  </si>
  <si>
    <t>惷</t>
  </si>
  <si>
    <t>XUẨN</t>
  </si>
  <si>
    <t>沖</t>
  </si>
  <si>
    <t>XUNG</t>
  </si>
  <si>
    <t>チュウ/ ジュウ</t>
  </si>
  <si>
    <t>おき</t>
  </si>
  <si>
    <t>衝</t>
  </si>
  <si>
    <t>冲</t>
  </si>
  <si>
    <t>炊</t>
  </si>
  <si>
    <t>XUY</t>
  </si>
  <si>
    <t>かし・ぐ</t>
  </si>
  <si>
    <t>吹</t>
  </si>
  <si>
    <t>XUY/XÚY</t>
  </si>
  <si>
    <t>XUYÊN</t>
  </si>
  <si>
    <t>巛</t>
  </si>
  <si>
    <t>栓</t>
  </si>
  <si>
    <t>XUYÊN/THEN</t>
  </si>
  <si>
    <t>釧</t>
  </si>
  <si>
    <t>XUYẾN</t>
  </si>
  <si>
    <t>啜</t>
  </si>
  <si>
    <t>XUYẾT</t>
  </si>
  <si>
    <t>セツ/ テツ</t>
  </si>
  <si>
    <t>臭</t>
  </si>
  <si>
    <t>XÚ</t>
  </si>
  <si>
    <t>くさ・い</t>
  </si>
  <si>
    <t>醜</t>
  </si>
  <si>
    <t>みにく・い</t>
  </si>
  <si>
    <t>触</t>
  </si>
  <si>
    <t>XÚC</t>
  </si>
  <si>
    <t>ショク/ ソク</t>
  </si>
  <si>
    <t>ふ・れる、さわ・る</t>
  </si>
  <si>
    <t>促</t>
  </si>
  <si>
    <t>うなが・す</t>
  </si>
  <si>
    <t>蹴</t>
  </si>
  <si>
    <t>け・る</t>
  </si>
  <si>
    <t>齪</t>
  </si>
  <si>
    <t>樗</t>
  </si>
  <si>
    <t>XƯ</t>
  </si>
  <si>
    <t>称</t>
  </si>
  <si>
    <t>XƯNG/XỨNG</t>
  </si>
  <si>
    <t>とな・える、たた・える</t>
  </si>
  <si>
    <t>昌</t>
  </si>
  <si>
    <t>XƯƠNG</t>
  </si>
  <si>
    <t>唱</t>
  </si>
  <si>
    <t>XƯỚNG</t>
  </si>
  <si>
    <t>とな・える</t>
  </si>
  <si>
    <t>倡</t>
  </si>
  <si>
    <t>娼</t>
  </si>
  <si>
    <t>厰</t>
  </si>
  <si>
    <t>XƯỞNG</t>
  </si>
  <si>
    <t>廠</t>
  </si>
  <si>
    <t>秤</t>
  </si>
  <si>
    <t>XỨNG</t>
  </si>
  <si>
    <t>はかり</t>
  </si>
  <si>
    <t>處</t>
  </si>
  <si>
    <t>XỬ</t>
  </si>
  <si>
    <t>処</t>
  </si>
  <si>
    <t>XỬ/XỨ</t>
  </si>
  <si>
    <t>Y</t>
  </si>
  <si>
    <t>ころも</t>
  </si>
  <si>
    <t>医</t>
  </si>
  <si>
    <t>伊</t>
  </si>
  <si>
    <t>欹</t>
  </si>
  <si>
    <t>イ/ キ</t>
  </si>
  <si>
    <t>俺</t>
  </si>
  <si>
    <t>YÊM</t>
  </si>
  <si>
    <t>おれ</t>
  </si>
  <si>
    <t>煙</t>
  </si>
  <si>
    <t>YÊN</t>
  </si>
  <si>
    <t>けむり、けむ・る</t>
  </si>
  <si>
    <t>焉</t>
  </si>
  <si>
    <t>堙</t>
  </si>
  <si>
    <t>嫣</t>
  </si>
  <si>
    <t>腰</t>
  </si>
  <si>
    <t>YÊU</t>
  </si>
  <si>
    <t>妖</t>
  </si>
  <si>
    <t>あや・しい</t>
  </si>
  <si>
    <t>夭</t>
  </si>
  <si>
    <t>YÊU/YỂU</t>
  </si>
  <si>
    <t>厭</t>
  </si>
  <si>
    <t>YẾM</t>
  </si>
  <si>
    <t>あ・きる、いや、いと・う</t>
  </si>
  <si>
    <t>宴</t>
  </si>
  <si>
    <t>YẾN</t>
  </si>
  <si>
    <t>うたげ</t>
  </si>
  <si>
    <t>晏</t>
  </si>
  <si>
    <t>嚥</t>
  </si>
  <si>
    <t>燕</t>
  </si>
  <si>
    <t>YẾN/YÊN</t>
  </si>
  <si>
    <t>つばめ</t>
  </si>
  <si>
    <t>靨</t>
  </si>
  <si>
    <t>YẾP</t>
  </si>
  <si>
    <t>謁</t>
  </si>
  <si>
    <t>YẾT</t>
  </si>
  <si>
    <t>掲</t>
  </si>
  <si>
    <t>かか・げる</t>
  </si>
  <si>
    <t>軋</t>
  </si>
  <si>
    <t>YẾT/LOÁT</t>
  </si>
  <si>
    <t>きし・る</t>
  </si>
  <si>
    <t>要</t>
  </si>
  <si>
    <t>YẾU</t>
  </si>
  <si>
    <t>掩</t>
  </si>
  <si>
    <t>YỂM</t>
  </si>
  <si>
    <t>黶</t>
  </si>
  <si>
    <t>エン/ アン</t>
  </si>
  <si>
    <t>魘</t>
  </si>
  <si>
    <t>うな・される</t>
  </si>
  <si>
    <t>奄</t>
  </si>
  <si>
    <t>偃</t>
  </si>
  <si>
    <t>YỂN</t>
  </si>
  <si>
    <t>堰</t>
  </si>
  <si>
    <t>杳</t>
  </si>
  <si>
    <t>YỂU</t>
  </si>
  <si>
    <t>殀</t>
  </si>
  <si>
    <t>意</t>
  </si>
  <si>
    <t>Ý</t>
  </si>
  <si>
    <t>懿</t>
  </si>
  <si>
    <t>噫</t>
  </si>
  <si>
    <t>倚</t>
  </si>
  <si>
    <t>Ỷ</t>
  </si>
  <si>
    <t>依</t>
  </si>
  <si>
    <t>Ỷ/Y</t>
  </si>
  <si>
    <t>No</t>
    <phoneticPr fontId="5"/>
  </si>
  <si>
    <t>Original</t>
    <phoneticPr fontId="5"/>
  </si>
  <si>
    <t>Phonetic</t>
    <phoneticPr fontId="5"/>
  </si>
  <si>
    <t>Hans</t>
    <phoneticPr fontId="5"/>
  </si>
  <si>
    <t>猫</t>
    <rPh sb="0" eb="1">
      <t>ネコ</t>
    </rPh>
    <phoneticPr fontId="5"/>
  </si>
  <si>
    <t>Reference from Master sheet</t>
    <phoneticPr fontId="5"/>
  </si>
  <si>
    <r>
      <t>Hán Vi</t>
    </r>
    <r>
      <rPr>
        <sz val="11"/>
        <color theme="1"/>
        <rFont val="Calibri"/>
        <family val="2"/>
      </rPr>
      <t>ệ</t>
    </r>
    <r>
      <rPr>
        <sz val="11"/>
        <color theme="1"/>
        <rFont val="游ゴシック"/>
        <family val="3"/>
        <charset val="128"/>
        <scheme val="minor"/>
      </rPr>
      <t>t</t>
    </r>
    <r>
      <rPr>
        <sz val="11"/>
        <color theme="1"/>
        <rFont val="游ゴシック"/>
        <family val="2"/>
        <scheme val="minor"/>
      </rPr>
      <t xml:space="preserve"> (To be copied)</t>
    </r>
    <phoneticPr fontId="6"/>
  </si>
  <si>
    <t>Cat</t>
  </si>
  <si>
    <t>Book Series</t>
    <phoneticPr fontId="5"/>
  </si>
  <si>
    <t>Book Tittle</t>
    <phoneticPr fontId="5"/>
  </si>
  <si>
    <t>Book Chapter</t>
    <phoneticPr fontId="5"/>
  </si>
  <si>
    <t>Chapter Section</t>
    <phoneticPr fontId="5"/>
  </si>
  <si>
    <t>言葉練習</t>
    <rPh sb="0" eb="2">
      <t>コトバ</t>
    </rPh>
    <rPh sb="2" eb="4">
      <t>レンシュウ</t>
    </rPh>
    <phoneticPr fontId="5"/>
  </si>
  <si>
    <t>Date</t>
    <phoneticPr fontId="5"/>
  </si>
  <si>
    <t>Version</t>
    <phoneticPr fontId="5"/>
  </si>
  <si>
    <t>Change point</t>
    <phoneticPr fontId="5"/>
  </si>
  <si>
    <t xml:space="preserve">First draft version:
- Phonetic
- HanViet
- Translate (Google API, any language)
- Export to SSML (Tittle + Multiple files for body for Multiple voices)
</t>
    <phoneticPr fontId="5"/>
  </si>
  <si>
    <t>Working ON</t>
    <phoneticPr fontId="5"/>
  </si>
  <si>
    <t xml:space="preserve">-Printout pdf
- Move config to sheet
- Run PowerShell command line
</t>
    <phoneticPr fontId="5"/>
  </si>
  <si>
    <t>same as above</t>
    <phoneticPr fontId="5"/>
  </si>
  <si>
    <t xml:space="preserve">1. Update Master Sheet with macro
2. Update some macro and button
3. Bugfix for SSML exporter (timing break tag is not correct)
4. Bugfix for SSML exporter (body file naming - number is not correct)
</t>
    <phoneticPr fontId="5"/>
  </si>
  <si>
    <t>-Printout pdf
- Move config to sheet
- Handle bell chime mp3 (C#)</t>
    <phoneticPr fontId="5"/>
  </si>
  <si>
    <t>1. Enable File Handling
2. Enable PowerCell call
3. Temporary disable Book Series since it is duplicated with tittle
4. Add 0.5s delay before switching speaker</t>
    <phoneticPr fontId="5"/>
  </si>
  <si>
    <t>Add Sub for Minna ChuuKyu Tittle (ichihonsatu was mistaken to ippon)</t>
    <phoneticPr fontId="5"/>
  </si>
  <si>
    <t>1. Add option to select voice (supported in C# as well)
2. Auto copy and rename final mp3 file (include back up if file exists)</t>
    <phoneticPr fontId="5"/>
  </si>
  <si>
    <t>Kanji 5</t>
  </si>
  <si>
    <t>Kanji 6</t>
  </si>
  <si>
    <t>Kanji 7</t>
  </si>
  <si>
    <t>Kanji 8</t>
  </si>
  <si>
    <t>Kanji 9</t>
  </si>
  <si>
    <t>Bugfixes</t>
    <phoneticPr fontId="5"/>
  </si>
  <si>
    <t>Add 醤 to dict</t>
    <phoneticPr fontId="5"/>
  </si>
  <si>
    <t>醤</t>
  </si>
  <si>
    <t>ショウ</t>
    <phoneticPr fontId="5"/>
  </si>
  <si>
    <t xml:space="preserve">酉 </t>
    <phoneticPr fontId="5"/>
  </si>
  <si>
    <t>VU</t>
    <phoneticPr fontId="5"/>
  </si>
  <si>
    <t>Add 込 to dict</t>
    <phoneticPr fontId="5"/>
  </si>
  <si>
    <r>
      <t>Ngày ti</t>
    </r>
    <r>
      <rPr>
        <sz val="22"/>
        <color theme="1"/>
        <rFont val="Calibri"/>
        <family val="2"/>
        <charset val="163"/>
      </rPr>
      <t>ế</t>
    </r>
    <r>
      <rPr>
        <sz val="22"/>
        <color theme="1"/>
        <rFont val="游ゴシック"/>
        <family val="2"/>
        <charset val="128"/>
        <scheme val="minor"/>
      </rPr>
      <t>t phân</t>
    </r>
    <phoneticPr fontId="5"/>
  </si>
  <si>
    <t>So_chu_danh_toi_da_cho_1do</t>
    <phoneticPr fontId="5"/>
  </si>
  <si>
    <r>
      <t>/Đệ</t>
    </r>
    <r>
      <rPr>
        <sz val="22"/>
        <color theme="1"/>
        <rFont val="ＭＳ Ｐ明朝"/>
        <family val="1"/>
        <charset val="128"/>
      </rPr>
      <t xml:space="preserve"> nh</t>
    </r>
    <r>
      <rPr>
        <sz val="22"/>
        <color theme="1"/>
        <rFont val="Times New Roman"/>
        <family val="1"/>
        <charset val="163"/>
      </rPr>
      <t>ấ</t>
    </r>
    <r>
      <rPr>
        <sz val="22"/>
        <color theme="1"/>
        <rFont val="ＭＳ Ｐ明朝"/>
        <family val="1"/>
        <charset val="128"/>
      </rPr>
      <t xml:space="preserve">t </t>
    </r>
    <r>
      <rPr>
        <sz val="22"/>
        <color theme="1"/>
        <rFont val="Times New Roman"/>
        <family val="1"/>
        <charset val="163"/>
      </rPr>
      <t>ấ</t>
    </r>
    <r>
      <rPr>
        <sz val="22"/>
        <color theme="1"/>
        <rFont val="ＭＳ Ｐ明朝"/>
        <family val="1"/>
        <charset val="128"/>
      </rPr>
      <t>n t</t>
    </r>
    <r>
      <rPr>
        <sz val="22"/>
        <color theme="1"/>
        <rFont val="Segoe UI"/>
        <family val="1"/>
        <charset val="238"/>
      </rPr>
      <t>ư</t>
    </r>
    <r>
      <rPr>
        <sz val="22"/>
        <color theme="1"/>
        <rFont val="Times New Roman"/>
        <family val="1"/>
        <charset val="163"/>
      </rPr>
      <t>ợ</t>
    </r>
    <r>
      <rPr>
        <sz val="22"/>
        <color theme="1"/>
        <rFont val="ＭＳ Ｐ明朝"/>
        <family val="1"/>
        <charset val="128"/>
      </rPr>
      <t>ng/</t>
    </r>
    <phoneticPr fontId="5"/>
  </si>
  <si>
    <r>
      <t>N</t>
    </r>
    <r>
      <rPr>
        <sz val="11"/>
        <color theme="1"/>
        <rFont val="Calibri"/>
        <family val="2"/>
        <charset val="163"/>
      </rPr>
      <t>ế</t>
    </r>
    <r>
      <rPr>
        <sz val="11"/>
        <color theme="1"/>
        <rFont val="游ゴシック"/>
        <family val="2"/>
        <charset val="128"/>
        <scheme val="minor"/>
      </rPr>
      <t>u không ph</t>
    </r>
    <r>
      <rPr>
        <sz val="11"/>
        <color theme="1"/>
        <rFont val="Calibri"/>
        <family val="2"/>
        <charset val="163"/>
      </rPr>
      <t>ả</t>
    </r>
    <r>
      <rPr>
        <sz val="11"/>
        <color theme="1"/>
        <rFont val="游ゴシック"/>
        <family val="2"/>
        <charset val="128"/>
        <scheme val="minor"/>
      </rPr>
      <t>i là ch</t>
    </r>
    <r>
      <rPr>
        <sz val="11"/>
        <color theme="1"/>
        <rFont val="Calibri"/>
        <family val="2"/>
        <charset val="163"/>
      </rPr>
      <t>ữ</t>
    </r>
    <r>
      <rPr>
        <sz val="11"/>
        <color theme="1"/>
        <rFont val="游ゴシック"/>
        <family val="2"/>
        <charset val="128"/>
        <scheme val="minor"/>
      </rPr>
      <t xml:space="preserve"> hán thì không c</t>
    </r>
    <r>
      <rPr>
        <sz val="11"/>
        <color theme="1"/>
        <rFont val="Calibri"/>
        <family val="2"/>
        <charset val="163"/>
      </rPr>
      <t>ầ</t>
    </r>
    <r>
      <rPr>
        <sz val="11"/>
        <color theme="1"/>
        <rFont val="游ゴシック"/>
        <family val="2"/>
        <charset val="128"/>
        <scheme val="minor"/>
      </rPr>
      <t>n dòng phiên âm và dòng hán vi</t>
    </r>
    <r>
      <rPr>
        <sz val="11"/>
        <color theme="1"/>
        <rFont val="Calibri"/>
        <family val="2"/>
        <charset val="163"/>
      </rPr>
      <t>ệ</t>
    </r>
    <r>
      <rPr>
        <sz val="11"/>
        <color theme="1"/>
        <rFont val="游ゴシック"/>
        <family val="2"/>
        <charset val="128"/>
        <scheme val="minor"/>
      </rPr>
      <t>t, đôn dòng nghĩa lên hàng th</t>
    </r>
    <r>
      <rPr>
        <sz val="11"/>
        <color theme="1"/>
        <rFont val="Calibri"/>
        <family val="2"/>
        <charset val="163"/>
      </rPr>
      <t>ứ</t>
    </r>
    <r>
      <rPr>
        <sz val="11"/>
        <color theme="1"/>
        <rFont val="游ゴシック"/>
        <family val="2"/>
        <charset val="128"/>
        <scheme val="minor"/>
      </rPr>
      <t xml:space="preserve"> hai</t>
    </r>
    <phoneticPr fontId="5"/>
  </si>
  <si>
    <r>
      <t>Vùng in ch</t>
    </r>
    <r>
      <rPr>
        <sz val="11"/>
        <color theme="1"/>
        <rFont val="Calibri"/>
        <family val="2"/>
        <charset val="163"/>
      </rPr>
      <t>ỉ</t>
    </r>
    <r>
      <rPr>
        <sz val="11"/>
        <color theme="1"/>
        <rFont val="游ゴシック"/>
        <family val="2"/>
        <charset val="128"/>
        <scheme val="minor"/>
      </rPr>
      <t xml:space="preserve"> là trong vùng tô màu</t>
    </r>
    <phoneticPr fontId="5"/>
  </si>
  <si>
    <r>
      <t>T</t>
    </r>
    <r>
      <rPr>
        <sz val="11"/>
        <color theme="1"/>
        <rFont val="Calibri"/>
        <family val="2"/>
        <charset val="163"/>
      </rPr>
      <t>ạ</t>
    </r>
    <r>
      <rPr>
        <sz val="11"/>
        <color theme="1"/>
        <rFont val="游ゴシック"/>
        <family val="2"/>
        <charset val="128"/>
        <scheme val="minor"/>
      </rPr>
      <t>o fonder chung ch</t>
    </r>
    <r>
      <rPr>
        <sz val="11"/>
        <color theme="1"/>
        <rFont val="Calibri"/>
        <family val="2"/>
        <charset val="163"/>
      </rPr>
      <t>ổ</t>
    </r>
    <r>
      <rPr>
        <sz val="11"/>
        <color theme="1"/>
        <rFont val="游ゴシック"/>
        <family val="2"/>
        <charset val="128"/>
        <scheme val="minor"/>
      </rPr>
      <t xml:space="preserve"> v</t>
    </r>
    <r>
      <rPr>
        <sz val="11"/>
        <color theme="1"/>
        <rFont val="Calibri"/>
        <family val="2"/>
        <charset val="163"/>
      </rPr>
      <t>ớ</t>
    </r>
    <r>
      <rPr>
        <sz val="11"/>
        <color theme="1"/>
        <rFont val="游ゴシック"/>
        <family val="2"/>
        <charset val="128"/>
        <scheme val="minor"/>
      </rPr>
      <t>i file và file mp3 chung m</t>
    </r>
    <r>
      <rPr>
        <sz val="11"/>
        <color theme="1"/>
        <rFont val="Calibri"/>
        <family val="2"/>
        <charset val="163"/>
      </rPr>
      <t>ộ</t>
    </r>
    <r>
      <rPr>
        <sz val="11"/>
        <color theme="1"/>
        <rFont val="游ゴシック"/>
        <family val="2"/>
        <charset val="128"/>
      </rPr>
      <t>t v</t>
    </r>
    <r>
      <rPr>
        <sz val="11"/>
        <color theme="1"/>
        <rFont val="Calibri"/>
        <family val="2"/>
        <charset val="163"/>
      </rPr>
      <t>ị</t>
    </r>
    <r>
      <rPr>
        <sz val="11"/>
        <color theme="1"/>
        <rFont val="游ゴシック"/>
        <family val="2"/>
        <charset val="128"/>
      </rPr>
      <t xml:space="preserve"> trí</t>
    </r>
    <phoneticPr fontId="5"/>
  </si>
  <si>
    <r>
      <t>Các yêu c</t>
    </r>
    <r>
      <rPr>
        <b/>
        <sz val="26"/>
        <color theme="1"/>
        <rFont val="Calibri"/>
        <family val="3"/>
        <charset val="163"/>
      </rPr>
      <t>ầ</t>
    </r>
    <r>
      <rPr>
        <b/>
        <sz val="26"/>
        <color theme="1"/>
        <rFont val="游ゴシック"/>
        <family val="3"/>
        <charset val="128"/>
        <scheme val="minor"/>
      </rPr>
      <t>u c</t>
    </r>
    <r>
      <rPr>
        <b/>
        <sz val="26"/>
        <color theme="1"/>
        <rFont val="Calibri"/>
        <family val="3"/>
        <charset val="163"/>
      </rPr>
      <t>ầ</t>
    </r>
    <r>
      <rPr>
        <b/>
        <sz val="26"/>
        <color theme="1"/>
        <rFont val="游ゴシック"/>
        <family val="3"/>
        <charset val="128"/>
        <scheme val="minor"/>
      </rPr>
      <t>n thêm</t>
    </r>
    <phoneticPr fontId="5"/>
  </si>
  <si>
    <r>
      <t>t</t>
    </r>
    <r>
      <rPr>
        <sz val="11"/>
        <color theme="1"/>
        <rFont val="Calibri"/>
        <family val="2"/>
        <charset val="163"/>
      </rPr>
      <t>ạ</t>
    </r>
    <r>
      <rPr>
        <sz val="11"/>
        <color theme="1"/>
        <rFont val="游ゴシック"/>
        <family val="2"/>
        <charset val="128"/>
        <scheme val="minor"/>
      </rPr>
      <t>o nút xóa kho</t>
    </r>
    <r>
      <rPr>
        <sz val="11"/>
        <color theme="1"/>
        <rFont val="Calibri"/>
        <family val="2"/>
        <charset val="163"/>
      </rPr>
      <t>ả</t>
    </r>
    <r>
      <rPr>
        <sz val="11"/>
        <color theme="1"/>
        <rFont val="游ゴシック"/>
        <family val="2"/>
        <charset val="128"/>
        <scheme val="minor"/>
      </rPr>
      <t>ng tr</t>
    </r>
    <r>
      <rPr>
        <sz val="11"/>
        <color theme="1"/>
        <rFont val="Calibri"/>
        <family val="2"/>
        <charset val="163"/>
      </rPr>
      <t>ắ</t>
    </r>
    <r>
      <rPr>
        <sz val="11"/>
        <color theme="1"/>
        <rFont val="游ゴシック"/>
        <family val="2"/>
        <charset val="128"/>
        <scheme val="minor"/>
      </rPr>
      <t>ng gi</t>
    </r>
    <r>
      <rPr>
        <sz val="11"/>
        <color theme="1"/>
        <rFont val="Calibri"/>
        <family val="2"/>
        <charset val="163"/>
      </rPr>
      <t>ữ</t>
    </r>
    <r>
      <rPr>
        <sz val="11"/>
        <color theme="1"/>
        <rFont val="游ゴシック"/>
        <family val="2"/>
        <charset val="128"/>
        <scheme val="minor"/>
      </rPr>
      <t>a các ch</t>
    </r>
    <r>
      <rPr>
        <sz val="11"/>
        <color theme="1"/>
        <rFont val="Calibri"/>
        <family val="2"/>
        <charset val="163"/>
      </rPr>
      <t>ữ</t>
    </r>
    <r>
      <rPr>
        <sz val="11"/>
        <color theme="1"/>
        <rFont val="游ゴシック"/>
        <family val="2"/>
        <charset val="128"/>
        <scheme val="minor"/>
      </rPr>
      <t xml:space="preserve"> đ</t>
    </r>
    <r>
      <rPr>
        <sz val="11"/>
        <color theme="1"/>
        <rFont val="Calibri"/>
        <family val="2"/>
        <charset val="163"/>
      </rPr>
      <t>ố</t>
    </r>
    <r>
      <rPr>
        <sz val="11"/>
        <color theme="1"/>
        <rFont val="游ゴシック"/>
        <family val="2"/>
        <charset val="128"/>
        <scheme val="minor"/>
      </rPr>
      <t>i v</t>
    </r>
    <r>
      <rPr>
        <sz val="11"/>
        <color theme="1"/>
        <rFont val="Calibri"/>
        <family val="2"/>
        <charset val="163"/>
      </rPr>
      <t>ớ</t>
    </r>
    <r>
      <rPr>
        <sz val="11"/>
        <color theme="1"/>
        <rFont val="游ゴシック"/>
        <family val="2"/>
        <charset val="128"/>
        <scheme val="minor"/>
      </rPr>
      <t>i file copy thì file pdf (t</t>
    </r>
    <r>
      <rPr>
        <sz val="11"/>
        <color theme="1"/>
        <rFont val="Calibri"/>
        <family val="2"/>
        <charset val="163"/>
      </rPr>
      <t>ừ</t>
    </r>
    <r>
      <rPr>
        <sz val="11"/>
        <color theme="1"/>
        <rFont val="游ゴシック"/>
        <family val="2"/>
        <charset val="128"/>
        <scheme val="minor"/>
      </rPr>
      <t xml:space="preserve"> file minna no nihongo</t>
    </r>
    <phoneticPr fontId="5"/>
  </si>
  <si>
    <t>Translated</t>
    <phoneticPr fontId="5"/>
  </si>
  <si>
    <t>Others</t>
    <phoneticPr fontId="5"/>
  </si>
  <si>
    <t>SSML</t>
    <phoneticPr fontId="5"/>
  </si>
  <si>
    <t>Backup</t>
    <phoneticPr fontId="5"/>
  </si>
  <si>
    <t>Out</t>
    <phoneticPr fontId="5"/>
  </si>
  <si>
    <t>Audio</t>
    <phoneticPr fontId="5"/>
  </si>
  <si>
    <t>Image</t>
    <phoneticPr fontId="5"/>
  </si>
  <si>
    <t>Video</t>
    <phoneticPr fontId="5"/>
  </si>
  <si>
    <t>C:\Users\miph272640\PycharmProjects\VocalSoft\Output\SSML</t>
    <phoneticPr fontId="5"/>
  </si>
  <si>
    <t>Paths Configuration</t>
    <phoneticPr fontId="5"/>
  </si>
  <si>
    <t>1. Rework ExecelGUI: button and check boxes
2. Rework Translate function (only Update Mode now)
3. Rework GUI with options
4. Add configs sheet</t>
    <phoneticPr fontId="5"/>
  </si>
  <si>
    <t>SSML Generate (Cover done, words on-going)</t>
    <phoneticPr fontId="5"/>
  </si>
  <si>
    <t>漢字</t>
    <rPh sb="0" eb="2">
      <t>カンジ</t>
    </rPh>
    <phoneticPr fontId="5"/>
  </si>
  <si>
    <t>かんじ</t>
    <phoneticPr fontId="5"/>
  </si>
  <si>
    <t>từ hán việt</t>
    <phoneticPr fontId="5"/>
  </si>
  <si>
    <t>HÁN TỰ</t>
    <phoneticPr fontId="5"/>
  </si>
  <si>
    <t>C:\Users\miph272640\PycharmProjects\VocalSoft\Output\Image</t>
    <phoneticPr fontId="5"/>
  </si>
  <si>
    <t>C:\Users\miph272640\PycharmProjects\VocalSoft\Output\Video</t>
    <phoneticPr fontId="5"/>
  </si>
  <si>
    <t>T2S</t>
    <phoneticPr fontId="5"/>
  </si>
  <si>
    <t>Manual input</t>
    <phoneticPr fontId="5"/>
  </si>
  <si>
    <t>Child folder - Auto generated</t>
    <phoneticPr fontId="5"/>
  </si>
  <si>
    <t>C:\Users\miph272640\PycharmProjects\VocalSoft\Src</t>
    <phoneticPr fontId="5"/>
  </si>
  <si>
    <t>Python stuffs</t>
    <phoneticPr fontId="5"/>
  </si>
  <si>
    <t>Source</t>
    <phoneticPr fontId="5"/>
  </si>
  <si>
    <t>C:\Users\miph272640\PycharmProjects\VocalSoft\Output\Audio</t>
    <phoneticPr fontId="5"/>
  </si>
  <si>
    <t>C:\Users\miph272640\PycharmProjects\VocalSoft\venv\Scripts\python.exe</t>
    <phoneticPr fontId="5"/>
  </si>
  <si>
    <t>Execution</t>
    <phoneticPr fontId="5"/>
  </si>
  <si>
    <t>言葉練習</t>
    <phoneticPr fontId="5"/>
  </si>
  <si>
    <t>明るい</t>
    <rPh sb="0" eb="1">
      <t>アカ</t>
    </rPh>
    <phoneticPr fontId="5"/>
  </si>
  <si>
    <t>性格が明るい</t>
    <rPh sb="0" eb="2">
      <t>セイカク</t>
    </rPh>
    <rPh sb="3" eb="4">
      <t>アカ</t>
    </rPh>
    <phoneticPr fontId="5"/>
  </si>
  <si>
    <t>父親</t>
    <rPh sb="0" eb="2">
      <t>チチオヤ</t>
    </rPh>
    <phoneticPr fontId="5"/>
  </si>
  <si>
    <t>湖</t>
    <rPh sb="0" eb="1">
      <t>ミズウミ</t>
    </rPh>
    <phoneticPr fontId="5"/>
  </si>
  <si>
    <t>目指す</t>
    <rPh sb="0" eb="2">
      <t>メザ</t>
    </rPh>
    <phoneticPr fontId="5"/>
  </si>
  <si>
    <t>命</t>
    <rPh sb="0" eb="1">
      <t>イノチ</t>
    </rPh>
    <phoneticPr fontId="5"/>
  </si>
  <si>
    <t>初詣</t>
    <rPh sb="0" eb="2">
      <t>ハツモウデ</t>
    </rPh>
    <phoneticPr fontId="5"/>
  </si>
  <si>
    <t>奨学金</t>
    <rPh sb="0" eb="3">
      <t>ショウガクキン</t>
    </rPh>
    <phoneticPr fontId="4"/>
  </si>
  <si>
    <t>代表する</t>
    <rPh sb="0" eb="2">
      <t>ダイヒョウ</t>
    </rPh>
    <phoneticPr fontId="4"/>
  </si>
  <si>
    <t>あかるい</t>
  </si>
  <si>
    <t>せいかくがあかるい</t>
  </si>
  <si>
    <t>ちちおや</t>
  </si>
  <si>
    <t>PHỤ THÂN</t>
  </si>
  <si>
    <t>cha</t>
  </si>
  <si>
    <t>hồ</t>
  </si>
  <si>
    <t>めざす</t>
  </si>
  <si>
    <t>MỤC CHỈ</t>
  </si>
  <si>
    <t>はつもうで</t>
  </si>
  <si>
    <t>SƠ NGHỆ</t>
  </si>
  <si>
    <t>しょうがくきん</t>
  </si>
  <si>
    <t>học bổng</t>
  </si>
  <si>
    <t>だいひょうする</t>
  </si>
  <si>
    <t>TOÀN THỂ</t>
  </si>
  <si>
    <t>tiêu biểu, đại diện</t>
  </si>
  <si>
    <t>初詣</t>
    <phoneticPr fontId="5"/>
  </si>
  <si>
    <t>はつもうで</t>
    <phoneticPr fontId="5"/>
  </si>
  <si>
    <t>みんなの日本語</t>
    <rPh sb="4" eb="7">
      <t>ニホンゴ</t>
    </rPh>
    <phoneticPr fontId="4"/>
  </si>
  <si>
    <t>第1番</t>
    <phoneticPr fontId="5"/>
  </si>
  <si>
    <t>みんなの日本語中級一本冊</t>
    <rPh sb="7" eb="8">
      <t>ジ_x0000__x0007_</t>
    </rPh>
    <rPh sb="9" eb="11">
      <t/>
    </rPh>
    <phoneticPr fontId="4"/>
  </si>
  <si>
    <t>みんなの日本語</t>
    <phoneticPr fontId="5"/>
  </si>
  <si>
    <t>みんなの日本語中級一本冊</t>
    <phoneticPr fontId="5"/>
  </si>
  <si>
    <t>vui vẻ/tươi sáng</t>
  </si>
  <si>
    <t>TÁNH CÁCH MINH</t>
  </si>
  <si>
    <t>tính cách tươi sáng</t>
  </si>
  <si>
    <t>hướng đến (mục tiêu)</t>
  </si>
  <si>
    <t>đi chùa đầu năm</t>
  </si>
  <si>
    <t>SUY TIẾN TRẠNG</t>
    <phoneticPr fontId="5"/>
  </si>
  <si>
    <t>1. Audio generation (trigger python scripts - Google T2S) works fine
2. Video generation (trigger python scripts) works fine
3. New API keys
4. New Shell Controller (PowerShell scripts does not work now)
5. Image Exporter works fine</t>
    <phoneticPr fontId="5"/>
  </si>
  <si>
    <t>Image Reporter template
Image Reporter fonts and text handling
Master Sheet font
Move button, checkbox to new pop-up form
Show status while generating video, audio</t>
    <phoneticPr fontId="5"/>
  </si>
  <si>
    <t>VBA stuffs</t>
    <phoneticPr fontId="5"/>
  </si>
  <si>
    <t>Template folder</t>
    <phoneticPr fontId="5"/>
  </si>
  <si>
    <t>ggApiKey</t>
    <phoneticPr fontId="5"/>
  </si>
  <si>
    <t>C:\Users\miph272640\PycharmProjects\VocalSoft\Macro</t>
    <phoneticPr fontId="5"/>
  </si>
  <si>
    <t>1. Load ggApiKey from file instead of harded code (detected in GIT)</t>
    <phoneticPr fontId="5"/>
  </si>
  <si>
    <t>sự sống</t>
  </si>
  <si>
    <t>[SƠ NGHỆ]</t>
    <phoneticPr fontId="5"/>
  </si>
  <si>
    <t>Đi chùa đầu năm</t>
    <phoneticPr fontId="5"/>
  </si>
  <si>
    <t>いつも</t>
    <phoneticPr fontId="5"/>
  </si>
  <si>
    <t>mỗi lần</t>
  </si>
  <si>
    <t>初詣</t>
  </si>
  <si>
    <t>[SƠ NGHỆ]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</si>
</sst>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8">
    <font>
      <sz val="11"/>
      <color theme="1"/>
      <name val="游ゴシック"/>
      <family val="2"/>
      <charset val="128"/>
      <scheme val="minor"/>
    </font>
    <font>
      <sz val="11"/>
      <color theme="1"/>
      <name val="游ゴシック"/>
      <family val="2"/>
      <scheme val="minor"/>
    </font>
    <font>
      <sz val="11"/>
      <color theme="1"/>
      <name val="游ゴシック"/>
      <family val="2"/>
      <scheme val="minor"/>
    </font>
    <font>
      <sz val="11"/>
      <color theme="1"/>
      <name val="游ゴシック"/>
      <family val="2"/>
      <scheme val="minor"/>
    </font>
    <font>
      <sz val="11"/>
      <color theme="1"/>
      <name val="游ゴシック"/>
      <family val="2"/>
      <scheme val="minor"/>
    </font>
    <font>
      <sz val="6"/>
      <name val="游ゴシック"/>
      <family val="2"/>
      <charset val="128"/>
      <scheme val="minor"/>
    </font>
    <font>
      <sz val="6"/>
      <name val="游ゴシック"/>
      <family val="3"/>
      <charset val="128"/>
      <scheme val="minor"/>
    </font>
    <font>
      <sz val="10"/>
      <color theme="1"/>
      <name val="Arial"/>
      <family val="2"/>
    </font>
    <font>
      <sz val="11"/>
      <name val="Arial"/>
      <family val="2"/>
    </font>
    <font>
      <sz val="24"/>
      <color theme="1"/>
      <name val="Arial"/>
      <family val="2"/>
    </font>
    <font>
      <b/>
      <sz val="11"/>
      <color indexed="10"/>
      <name val="ＭＳ Ｐゴシック"/>
      <family val="3"/>
      <charset val="128"/>
    </font>
    <font>
      <sz val="11"/>
      <name val="ＭＳ Ｐゴシック"/>
      <family val="3"/>
      <charset val="128"/>
    </font>
    <font>
      <b/>
      <sz val="11"/>
      <color theme="1"/>
      <name val="游ゴシック"/>
      <family val="3"/>
      <charset val="128"/>
      <scheme val="minor"/>
    </font>
    <font>
      <i/>
      <sz val="11"/>
      <color theme="1"/>
      <name val="游ゴシック"/>
      <family val="3"/>
      <charset val="128"/>
      <scheme val="minor"/>
    </font>
    <font>
      <sz val="11"/>
      <color theme="1"/>
      <name val="Arial Unicode MS"/>
      <family val="2"/>
      <charset val="128"/>
    </font>
    <font>
      <sz val="11"/>
      <color theme="1"/>
      <name val="Arial Unicode MS"/>
      <family val="2"/>
    </font>
    <font>
      <sz val="11"/>
      <color theme="1"/>
      <name val="游ゴシック"/>
      <family val="3"/>
      <charset val="128"/>
      <scheme val="minor"/>
    </font>
    <font>
      <sz val="11"/>
      <color theme="1"/>
      <name val="Calibri"/>
      <family val="2"/>
    </font>
    <font>
      <b/>
      <sz val="11"/>
      <color theme="1"/>
      <name val="游ゴシック"/>
      <family val="2"/>
      <scheme val="minor"/>
    </font>
    <font>
      <b/>
      <sz val="11"/>
      <color rgb="FFFF0000"/>
      <name val="游ゴシック"/>
      <family val="2"/>
      <scheme val="minor"/>
    </font>
    <font>
      <sz val="36"/>
      <color theme="1"/>
      <name val="游ゴシック"/>
      <family val="2"/>
      <charset val="128"/>
      <scheme val="minor"/>
    </font>
    <font>
      <sz val="22"/>
      <color theme="1"/>
      <name val="游ゴシック"/>
      <family val="2"/>
      <charset val="128"/>
      <scheme val="minor"/>
    </font>
    <font>
      <sz val="22"/>
      <color theme="1"/>
      <name val="Calibri"/>
      <family val="2"/>
      <charset val="163"/>
    </font>
    <font>
      <b/>
      <sz val="26"/>
      <color theme="1"/>
      <name val="游ゴシック"/>
      <family val="3"/>
      <charset val="128"/>
      <scheme val="minor"/>
    </font>
    <font>
      <sz val="11"/>
      <color theme="1"/>
      <name val="游ゴシック"/>
      <family val="2"/>
      <charset val="128"/>
    </font>
    <font>
      <b/>
      <sz val="26"/>
      <color theme="1"/>
      <name val="BIZ UDP明朝 Medium"/>
      <family val="1"/>
      <charset val="128"/>
    </font>
    <font>
      <sz val="22"/>
      <color theme="1"/>
      <name val="BIZ UDP明朝 Medium"/>
      <family val="1"/>
      <charset val="128"/>
    </font>
    <font>
      <sz val="22"/>
      <color theme="1"/>
      <name val="Times New Roman"/>
      <family val="1"/>
    </font>
    <font>
      <sz val="22"/>
      <color theme="1"/>
      <name val="ＭＳ Ｐ明朝"/>
      <family val="1"/>
      <charset val="128"/>
    </font>
    <font>
      <sz val="22"/>
      <color theme="1"/>
      <name val="Times New Roman"/>
      <family val="1"/>
      <charset val="163"/>
    </font>
    <font>
      <sz val="22"/>
      <color theme="1"/>
      <name val="Segoe UI"/>
      <family val="1"/>
      <charset val="238"/>
    </font>
    <font>
      <sz val="11"/>
      <color theme="1"/>
      <name val="Calibri"/>
      <family val="2"/>
      <charset val="163"/>
    </font>
    <font>
      <b/>
      <sz val="26"/>
      <color theme="1"/>
      <name val="Calibri"/>
      <family val="3"/>
      <charset val="163"/>
    </font>
    <font>
      <sz val="8"/>
      <color rgb="FF000000"/>
      <name val="Segoe UI"/>
      <family val="2"/>
    </font>
    <font>
      <sz val="11"/>
      <color theme="1"/>
      <name val="Times New Roman"/>
      <family val="1"/>
    </font>
    <font>
      <b/>
      <sz val="48"/>
      <color rgb="FFFF0000"/>
      <name val="BIZ UDP明朝 Medium"/>
      <family val="1"/>
      <charset val="128"/>
    </font>
    <font>
      <b/>
      <sz val="36"/>
      <color theme="1"/>
      <name val="Times New Roman"/>
      <family val="1"/>
    </font>
    <font>
      <b/>
      <sz val="28"/>
      <color rgb="FFC00000"/>
      <name val="Times New Roman"/>
      <family val="1"/>
    </font>
    <font>
      <sz val="26"/>
      <color theme="1"/>
      <name val="游ゴシック"/>
      <family val="3"/>
      <charset val="128"/>
      <scheme val="minor"/>
    </font>
    <font>
      <b/>
      <sz val="28"/>
      <color rgb="FFC00000"/>
      <name val="ＭＳ Ｐ明朝"/>
      <family val="1"/>
      <charset val="128"/>
    </font>
    <font>
      <b/>
      <sz val="36"/>
      <color theme="1"/>
      <name val="ＭＳ Ｐ明朝"/>
      <family val="1"/>
      <charset val="128"/>
    </font>
    <font>
      <i/>
      <sz val="20"/>
      <color theme="1"/>
      <name val="Times New Roman"/>
      <family val="1"/>
    </font>
    <font>
      <sz val="28"/>
      <color rgb="FFFF0000"/>
      <name val="Times New Roman"/>
      <family val="1"/>
    </font>
    <font>
      <sz val="28"/>
      <color theme="1"/>
      <name val="Times New Roman"/>
      <family val="1"/>
    </font>
    <font>
      <b/>
      <sz val="48"/>
      <color indexed="10"/>
      <name val="BIZ UDPMincho Medium"/>
    </font>
    <font>
      <i/>
      <sz val="20"/>
      <color indexed="8"/>
      <name val="Times New Roman"/>
      <family val="1"/>
    </font>
    <font>
      <sz val="22"/>
      <color indexed="8"/>
      <name val="BIZ UDPMincho Medium"/>
    </font>
    <font>
      <sz val="28"/>
      <color indexed="10"/>
      <name val="Times New Roman"/>
      <family val="1"/>
    </font>
  </fonts>
  <fills count="12">
    <fill>
      <patternFill patternType="none"/>
    </fill>
    <fill>
      <patternFill patternType="gray125"/>
    </fill>
    <fill>
      <patternFill patternType="solid">
        <fgColor indexed="43"/>
        <bgColor indexed="64"/>
      </patternFill>
    </fill>
    <fill>
      <patternFill patternType="solid">
        <fgColor rgb="FFFF0000"/>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5" tint="0.79998168889431442"/>
        <bgColor indexed="64"/>
      </patternFill>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ck">
        <color theme="9" tint="0.39994506668294322"/>
      </left>
      <right/>
      <top style="thick">
        <color theme="9" tint="0.39994506668294322"/>
      </top>
      <bottom/>
      <diagonal/>
    </border>
    <border>
      <left/>
      <right/>
      <top style="thick">
        <color theme="9" tint="0.39994506668294322"/>
      </top>
      <bottom/>
      <diagonal/>
    </border>
    <border>
      <left/>
      <right style="thick">
        <color theme="9" tint="0.39994506668294322"/>
      </right>
      <top style="thick">
        <color theme="9" tint="0.39994506668294322"/>
      </top>
      <bottom/>
      <diagonal/>
    </border>
    <border>
      <left style="thick">
        <color theme="9" tint="0.39994506668294322"/>
      </left>
      <right/>
      <top/>
      <bottom/>
      <diagonal/>
    </border>
    <border>
      <left/>
      <right style="thick">
        <color theme="9" tint="0.39994506668294322"/>
      </right>
      <top/>
      <bottom/>
      <diagonal/>
    </border>
    <border>
      <left style="thick">
        <color theme="9" tint="0.39994506668294322"/>
      </left>
      <right/>
      <top/>
      <bottom style="thick">
        <color theme="9" tint="0.39994506668294322"/>
      </bottom>
      <diagonal/>
    </border>
    <border>
      <left/>
      <right/>
      <top/>
      <bottom style="thick">
        <color theme="9" tint="0.39994506668294322"/>
      </bottom>
      <diagonal/>
    </border>
    <border>
      <left/>
      <right style="thick">
        <color theme="9" tint="0.39994506668294322"/>
      </right>
      <top/>
      <bottom style="thick">
        <color theme="9" tint="0.39994506668294322"/>
      </bottom>
      <diagonal/>
    </border>
    <border>
      <left style="thin">
        <color indexed="64"/>
      </left>
      <right/>
      <top style="thin">
        <color indexed="64"/>
      </top>
      <bottom style="thin">
        <color indexed="64"/>
      </bottom>
      <diagonal/>
    </border>
  </borders>
  <cellStyleXfs count="3">
    <xf numFmtId="0" fontId="0" fillId="0" borderId="0">
      <alignment vertical="center"/>
    </xf>
    <xf numFmtId="0" fontId="4" fillId="0" borderId="0"/>
    <xf numFmtId="0" fontId="7" fillId="0" borderId="0"/>
  </cellStyleXfs>
  <cellXfs count="88">
    <xf numFmtId="0" fontId="0" fillId="0" borderId="0" xfId="0">
      <alignment vertical="center"/>
    </xf>
    <xf numFmtId="0" fontId="4" fillId="0" borderId="0" xfId="1"/>
    <xf numFmtId="0" fontId="4" fillId="2" borderId="1" xfId="1" applyFill="1" applyBorder="1" applyAlignment="1">
      <alignment vertical="center"/>
    </xf>
    <xf numFmtId="0" fontId="8" fillId="2" borderId="1" xfId="1" applyFont="1" applyFill="1" applyBorder="1" applyAlignment="1">
      <alignment vertical="center"/>
    </xf>
    <xf numFmtId="0" fontId="4" fillId="0" borderId="0" xfId="1" applyAlignment="1">
      <alignment vertical="center"/>
    </xf>
    <xf numFmtId="0" fontId="10" fillId="0" borderId="0" xfId="1" applyFont="1" applyAlignment="1">
      <alignment vertical="center"/>
    </xf>
    <xf numFmtId="0" fontId="8" fillId="0" borderId="0" xfId="1" applyFont="1" applyAlignment="1">
      <alignment vertical="center"/>
    </xf>
    <xf numFmtId="0" fontId="4" fillId="3" borderId="0" xfId="1" applyFill="1" applyAlignment="1">
      <alignment vertical="center"/>
    </xf>
    <xf numFmtId="0" fontId="12" fillId="0" borderId="0" xfId="0" applyFont="1">
      <alignment vertical="center"/>
    </xf>
    <xf numFmtId="0" fontId="0" fillId="0" borderId="1" xfId="0" applyBorder="1">
      <alignment vertical="center"/>
    </xf>
    <xf numFmtId="0" fontId="12" fillId="4" borderId="1" xfId="0" applyFont="1" applyFill="1" applyBorder="1">
      <alignment vertical="center"/>
    </xf>
    <xf numFmtId="0" fontId="14" fillId="0" borderId="1" xfId="0" applyFont="1" applyBorder="1">
      <alignment vertical="center"/>
    </xf>
    <xf numFmtId="0" fontId="0" fillId="0" borderId="1" xfId="0" applyFill="1" applyBorder="1">
      <alignment vertical="center"/>
    </xf>
    <xf numFmtId="0" fontId="15" fillId="0" borderId="0" xfId="0" applyFont="1">
      <alignment vertical="center"/>
    </xf>
    <xf numFmtId="0" fontId="4" fillId="5" borderId="0" xfId="1" applyFill="1"/>
    <xf numFmtId="0" fontId="3" fillId="5" borderId="0" xfId="1" applyFont="1" applyFill="1"/>
    <xf numFmtId="0" fontId="7" fillId="5" borderId="0" xfId="2" applyFill="1"/>
    <xf numFmtId="0" fontId="4" fillId="6" borderId="0" xfId="1" applyFill="1"/>
    <xf numFmtId="0" fontId="3" fillId="6" borderId="0" xfId="1" applyFont="1" applyFill="1"/>
    <xf numFmtId="14" fontId="0" fillId="0" borderId="1" xfId="0" applyNumberFormat="1" applyBorder="1">
      <alignment vertical="center"/>
    </xf>
    <xf numFmtId="0" fontId="0" fillId="0" borderId="1" xfId="0" applyBorder="1" applyAlignment="1">
      <alignment vertical="center" wrapText="1"/>
    </xf>
    <xf numFmtId="0" fontId="18" fillId="4" borderId="1" xfId="0" applyFont="1" applyFill="1" applyBorder="1">
      <alignment vertical="center"/>
    </xf>
    <xf numFmtId="0" fontId="19" fillId="7" borderId="1" xfId="0" applyFont="1" applyFill="1" applyBorder="1">
      <alignment vertical="center"/>
    </xf>
    <xf numFmtId="0" fontId="0" fillId="0" borderId="1" xfId="0" quotePrefix="1" applyBorder="1" applyAlignment="1">
      <alignment vertical="center" wrapText="1"/>
    </xf>
    <xf numFmtId="0" fontId="2" fillId="0" borderId="0" xfId="1" applyFont="1" applyAlignment="1">
      <alignment vertical="center"/>
    </xf>
    <xf numFmtId="0" fontId="13" fillId="8" borderId="0" xfId="0" applyFont="1" applyFill="1">
      <alignment vertical="center"/>
    </xf>
    <xf numFmtId="0" fontId="0" fillId="8" borderId="0" xfId="0" applyFill="1">
      <alignment vertical="center"/>
    </xf>
    <xf numFmtId="0" fontId="0" fillId="0" borderId="0" xfId="0" applyFill="1">
      <alignment vertical="center"/>
    </xf>
    <xf numFmtId="0" fontId="20" fillId="0" borderId="0" xfId="0" applyFont="1" applyFill="1">
      <alignment vertical="center"/>
    </xf>
    <xf numFmtId="0" fontId="23" fillId="0" borderId="0" xfId="0" applyFont="1" applyFill="1">
      <alignment vertical="center"/>
    </xf>
    <xf numFmtId="0" fontId="23" fillId="0" borderId="0" xfId="0" applyFont="1">
      <alignment vertical="center"/>
    </xf>
    <xf numFmtId="0" fontId="34" fillId="0" borderId="1" xfId="0" applyFont="1" applyBorder="1">
      <alignment vertical="center"/>
    </xf>
    <xf numFmtId="0" fontId="20" fillId="9" borderId="0" xfId="0" applyFont="1" applyFill="1" applyBorder="1">
      <alignment vertical="center"/>
    </xf>
    <xf numFmtId="0" fontId="0" fillId="9" borderId="0" xfId="0" applyFill="1" applyBorder="1">
      <alignment vertical="center"/>
    </xf>
    <xf numFmtId="0" fontId="23" fillId="9" borderId="0" xfId="0" applyFont="1" applyFill="1" applyBorder="1" applyAlignment="1">
      <alignment horizontal="center" vertical="center"/>
    </xf>
    <xf numFmtId="0" fontId="23" fillId="9" borderId="0" xfId="0" applyFont="1" applyFill="1" applyBorder="1">
      <alignment vertical="center"/>
    </xf>
    <xf numFmtId="0" fontId="0" fillId="9" borderId="6" xfId="0" applyFill="1" applyBorder="1">
      <alignment vertical="center"/>
    </xf>
    <xf numFmtId="0" fontId="20" fillId="9" borderId="8" xfId="0" applyFont="1" applyFill="1" applyBorder="1">
      <alignment vertical="center"/>
    </xf>
    <xf numFmtId="0" fontId="0" fillId="9" borderId="8" xfId="0" applyFill="1" applyBorder="1">
      <alignment vertical="center"/>
    </xf>
    <xf numFmtId="0" fontId="0" fillId="9" borderId="9" xfId="0" applyFill="1" applyBorder="1">
      <alignment vertical="center"/>
    </xf>
    <xf numFmtId="0" fontId="0" fillId="10" borderId="2" xfId="0" applyFill="1" applyBorder="1">
      <alignment vertical="center"/>
    </xf>
    <xf numFmtId="0" fontId="20" fillId="10" borderId="3" xfId="0" applyFont="1" applyFill="1" applyBorder="1">
      <alignment vertical="center"/>
    </xf>
    <xf numFmtId="0" fontId="0" fillId="10" borderId="3" xfId="0" applyFill="1" applyBorder="1">
      <alignment vertical="center"/>
    </xf>
    <xf numFmtId="0" fontId="0" fillId="10" borderId="4" xfId="0" applyFill="1" applyBorder="1">
      <alignment vertical="center"/>
    </xf>
    <xf numFmtId="0" fontId="0" fillId="10" borderId="0" xfId="0" applyFill="1">
      <alignment vertical="center"/>
    </xf>
    <xf numFmtId="0" fontId="20" fillId="10" borderId="0" xfId="0" applyFont="1" applyFill="1">
      <alignment vertical="center"/>
    </xf>
    <xf numFmtId="0" fontId="0" fillId="10" borderId="5" xfId="0" applyFill="1" applyBorder="1">
      <alignment vertical="center"/>
    </xf>
    <xf numFmtId="0" fontId="23" fillId="10" borderId="5" xfId="0" applyFont="1" applyFill="1" applyBorder="1">
      <alignment vertical="center"/>
    </xf>
    <xf numFmtId="0" fontId="0" fillId="10" borderId="7" xfId="0" applyFill="1" applyBorder="1">
      <alignment vertical="center"/>
    </xf>
    <xf numFmtId="0" fontId="25" fillId="9" borderId="0" xfId="0" applyFont="1" applyFill="1" applyBorder="1" applyAlignment="1">
      <alignment vertical="center"/>
    </xf>
    <xf numFmtId="0" fontId="26" fillId="9" borderId="0" xfId="0" applyFont="1" applyFill="1" applyBorder="1" applyAlignment="1">
      <alignment horizontal="center" vertical="center"/>
    </xf>
    <xf numFmtId="0" fontId="26" fillId="9" borderId="0" xfId="0" applyFont="1" applyFill="1" applyBorder="1" applyAlignment="1">
      <alignment vertical="center"/>
    </xf>
    <xf numFmtId="0" fontId="35" fillId="9" borderId="0" xfId="0" applyFont="1" applyFill="1" applyBorder="1" applyAlignment="1">
      <alignment horizontal="center" vertical="center"/>
    </xf>
    <xf numFmtId="0" fontId="27" fillId="9" borderId="0" xfId="0" applyFont="1" applyFill="1" applyBorder="1" applyAlignment="1">
      <alignment vertical="center"/>
    </xf>
    <xf numFmtId="0" fontId="36" fillId="9" borderId="0" xfId="0" applyFont="1" applyFill="1" applyBorder="1" applyAlignment="1">
      <alignment horizontal="center" vertical="center"/>
    </xf>
    <xf numFmtId="0" fontId="37" fillId="9" borderId="0" xfId="0" applyFont="1" applyFill="1" applyBorder="1" applyAlignment="1">
      <alignment horizontal="center" vertical="center"/>
    </xf>
    <xf numFmtId="0" fontId="38" fillId="9" borderId="6" xfId="0" applyFont="1" applyFill="1" applyBorder="1">
      <alignment vertical="center"/>
    </xf>
    <xf numFmtId="0" fontId="38" fillId="10" borderId="0" xfId="0" applyFont="1" applyFill="1">
      <alignment vertical="center"/>
    </xf>
    <xf numFmtId="0" fontId="39" fillId="9" borderId="0" xfId="0" applyFont="1" applyFill="1" applyBorder="1" applyAlignment="1">
      <alignment horizontal="center" vertical="center"/>
    </xf>
    <xf numFmtId="0" fontId="40" fillId="9" borderId="0" xfId="0" applyFont="1" applyFill="1" applyBorder="1" applyAlignment="1">
      <alignment horizontal="center" vertical="center"/>
    </xf>
    <xf numFmtId="0" fontId="0" fillId="9" borderId="0" xfId="0" applyFill="1">
      <alignment vertical="center"/>
    </xf>
    <xf numFmtId="0" fontId="0" fillId="11" borderId="0" xfId="0" applyFill="1">
      <alignment vertical="center"/>
    </xf>
    <xf numFmtId="0" fontId="15" fillId="0" borderId="1" xfId="0" applyFont="1" applyBorder="1">
      <alignment vertical="center"/>
    </xf>
    <xf numFmtId="14" fontId="0" fillId="0" borderId="10" xfId="0" applyNumberFormat="1" applyBorder="1">
      <alignment vertical="center"/>
    </xf>
    <xf numFmtId="0" fontId="0" fillId="0" borderId="1" xfId="0" applyFill="1" applyBorder="1" applyAlignment="1">
      <alignment vertical="center" wrapText="1"/>
    </xf>
    <xf numFmtId="0" fontId="26" fillId="9" borderId="0" xfId="0" applyFont="1" applyFill="1" applyAlignment="1">
      <alignment horizontal="center" vertical="center"/>
    </xf>
    <xf numFmtId="0" fontId="27" fillId="9" borderId="0" xfId="0" applyFont="1" applyFill="1" applyAlignment="1">
      <alignment horizontal="center" vertical="center"/>
    </xf>
    <xf numFmtId="0" fontId="25" fillId="9" borderId="0" xfId="0" applyFont="1" applyFill="1" applyAlignment="1">
      <alignment horizontal="center" vertical="center"/>
    </xf>
    <xf numFmtId="0" fontId="26" fillId="9" borderId="0" xfId="0" applyFont="1" applyFill="1" applyAlignment="1">
      <alignment horizontal="center" vertical="center"/>
    </xf>
    <xf numFmtId="0" fontId="23" fillId="0" borderId="0" xfId="0" applyFont="1" applyFill="1" applyAlignment="1">
      <alignment horizontal="center" vertical="center"/>
    </xf>
    <xf numFmtId="0" fontId="23" fillId="9" borderId="0" xfId="0" applyFont="1" applyFill="1" applyBorder="1" applyAlignment="1">
      <alignment horizontal="center" vertical="center"/>
    </xf>
    <xf numFmtId="0" fontId="20" fillId="9" borderId="0" xfId="0" applyFont="1" applyFill="1">
      <alignment vertical="center"/>
    </xf>
    <xf numFmtId="0" fontId="23" fillId="9" borderId="0" xfId="0" applyFont="1" applyFill="1" applyAlignment="1">
      <alignment horizontal="center" vertical="center"/>
    </xf>
    <xf numFmtId="0" fontId="23" fillId="9" borderId="0" xfId="0" applyFont="1" applyFill="1" applyAlignment="1">
      <alignment horizontal="center" vertical="center"/>
    </xf>
    <xf numFmtId="0" fontId="23" fillId="9" borderId="0" xfId="0" applyFont="1" applyFill="1">
      <alignment vertical="center"/>
    </xf>
    <xf numFmtId="0" fontId="25" fillId="9" borderId="0" xfId="0" applyFont="1" applyFill="1">
      <alignment vertical="center"/>
    </xf>
    <xf numFmtId="0" fontId="35" fillId="9" borderId="0" xfId="0" applyFont="1" applyFill="1" applyAlignment="1">
      <alignment horizontal="center" vertical="center"/>
    </xf>
    <xf numFmtId="0" fontId="26" fillId="9" borderId="0" xfId="0" applyFont="1" applyFill="1">
      <alignment vertical="center"/>
    </xf>
    <xf numFmtId="0" fontId="41" fillId="9" borderId="0" xfId="0" applyFont="1" applyFill="1" applyAlignment="1">
      <alignment horizontal="center" vertical="center"/>
    </xf>
    <xf numFmtId="0" fontId="27" fillId="9" borderId="0" xfId="0" applyFont="1" applyFill="1">
      <alignment vertical="center"/>
    </xf>
    <xf numFmtId="0" fontId="42" fillId="9" borderId="0" xfId="0" applyFont="1" applyFill="1" applyAlignment="1">
      <alignment horizontal="center" vertical="center"/>
    </xf>
    <xf numFmtId="0" fontId="37" fillId="9" borderId="0" xfId="0" applyFont="1" applyFill="1" applyAlignment="1">
      <alignment horizontal="center" vertical="center"/>
    </xf>
    <xf numFmtId="0" fontId="43" fillId="9" borderId="0" xfId="0" applyFont="1" applyFill="1" applyAlignment="1">
      <alignment horizontal="center" vertical="center"/>
    </xf>
    <xf numFmtId="0" fontId="36" fillId="9" borderId="0" xfId="0" applyFont="1" applyFill="1" applyAlignment="1">
      <alignment horizontal="center" vertical="center"/>
    </xf>
    <xf numFmtId="0" fontId="44" fillId="9" borderId="0" xfId="0" applyFont="1" applyFill="1" applyBorder="1" applyAlignment="1">
      <alignment horizontal="center" vertical="center"/>
    </xf>
    <xf numFmtId="0" fontId="45" fillId="9" borderId="0" xfId="0" applyFont="1" applyFill="1" applyBorder="1" applyAlignment="1">
      <alignment horizontal="center" vertical="center"/>
    </xf>
    <xf numFmtId="0" fontId="46" fillId="9" borderId="0" xfId="0" applyFont="1" applyFill="1" applyBorder="1" applyAlignment="1">
      <alignment horizontal="center" vertical="center"/>
    </xf>
    <xf numFmtId="0" fontId="47" fillId="9" borderId="0" xfId="0" applyFont="1" applyFill="1" applyBorder="1" applyAlignment="1">
      <alignment horizontal="center" vertical="center"/>
    </xf>
  </cellXfs>
  <cellStyles count="3">
    <cellStyle name="Normal" xfId="0" builtinId="0"/>
    <cellStyle name="Normal 2" xfId="1" xr:uid="{67A559E2-98E6-4922-ADC1-73B83254140A}"/>
    <cellStyle name="Normal 2 2" xfId="2" xr:uid="{B42E35BE-029F-462E-9284-3E4CB575B65B}"/>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491956384"/>
        <c:axId val="1491960544"/>
      </c:barChart>
      <c:catAx>
        <c:axId val="1491956384"/>
        <c:scaling>
          <c:orientation val="minMax"/>
        </c:scaling>
        <c:delete val="0"/>
        <c:axPos val="b"/>
        <c:majorTickMark val="out"/>
        <c:minorTickMark val="none"/>
        <c:tickLblPos val="nextTo"/>
        <c:crossAx val="1491960544"/>
        <c:crosses val="autoZero"/>
        <c:auto val="1"/>
        <c:lblAlgn val="ctr"/>
        <c:lblOffset val="100"/>
        <c:noMultiLvlLbl val="0"/>
      </c:catAx>
      <c:valAx>
        <c:axId val="1491960544"/>
        <c:scaling>
          <c:orientation val="minMax"/>
        </c:scaling>
        <c:delete val="0"/>
        <c:axPos val="l"/>
        <c:majorGridlines/>
        <c:majorTickMark val="out"/>
        <c:minorTickMark val="none"/>
        <c:tickLblPos val="nextTo"/>
        <c:crossAx val="149195638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Radio" firstButton="1" lockText="1" noThreeD="1"/>
</file>

<file path=xl/ctrlProps/ctrlProp10.xml><?xml version="1.0" encoding="utf-8"?>
<formControlPr xmlns="http://schemas.microsoft.com/office/spreadsheetml/2009/9/main" objectType="Radio" checked="Checked" lockText="1"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checked="Checked" firstButton="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Radio" firstButton="1" lockText="1" noThreeD="1"/>
</file>

<file path=xl/ctrlProps/ctrlProp17.xml><?xml version="1.0" encoding="utf-8"?>
<formControlPr xmlns="http://schemas.microsoft.com/office/spreadsheetml/2009/9/main" objectType="Radio" checked="Checked" lockText="1" noThreeD="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790575</xdr:colOff>
          <xdr:row>11</xdr:row>
          <xdr:rowOff>209550</xdr:rowOff>
        </xdr:from>
        <xdr:to>
          <xdr:col>5</xdr:col>
          <xdr:colOff>1952625</xdr:colOff>
          <xdr:row>13</xdr:row>
          <xdr:rowOff>28575</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Hiragana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12</xdr:row>
          <xdr:rowOff>209550</xdr:rowOff>
        </xdr:from>
        <xdr:to>
          <xdr:col>5</xdr:col>
          <xdr:colOff>1952625</xdr:colOff>
          <xdr:row>14</xdr:row>
          <xdr:rowOff>28575</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Han Viet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13</xdr:row>
          <xdr:rowOff>228600</xdr:rowOff>
        </xdr:from>
        <xdr:to>
          <xdr:col>5</xdr:col>
          <xdr:colOff>1952625</xdr:colOff>
          <xdr:row>15</xdr:row>
          <xdr:rowOff>19050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Translate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14</xdr:row>
          <xdr:rowOff>219075</xdr:rowOff>
        </xdr:from>
        <xdr:to>
          <xdr:col>5</xdr:col>
          <xdr:colOff>1952625</xdr:colOff>
          <xdr:row>16</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SSML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800100</xdr:colOff>
          <xdr:row>15</xdr:row>
          <xdr:rowOff>219075</xdr:rowOff>
        </xdr:from>
        <xdr:to>
          <xdr:col>5</xdr:col>
          <xdr:colOff>1962150</xdr:colOff>
          <xdr:row>17</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Audio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16</xdr:row>
          <xdr:rowOff>209550</xdr:rowOff>
        </xdr:from>
        <xdr:to>
          <xdr:col>5</xdr:col>
          <xdr:colOff>1952625</xdr:colOff>
          <xdr:row>18</xdr:row>
          <xdr:rowOff>28575</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Picture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17</xdr:row>
          <xdr:rowOff>209550</xdr:rowOff>
        </xdr:from>
        <xdr:to>
          <xdr:col>5</xdr:col>
          <xdr:colOff>1952625</xdr:colOff>
          <xdr:row>19</xdr:row>
          <xdr:rowOff>28575</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Video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628650</xdr:colOff>
          <xdr:row>16</xdr:row>
          <xdr:rowOff>219075</xdr:rowOff>
        </xdr:from>
        <xdr:to>
          <xdr:col>9</xdr:col>
          <xdr:colOff>38100</xdr:colOff>
          <xdr:row>19</xdr:row>
          <xdr:rowOff>47625</xdr:rowOff>
        </xdr:to>
        <xdr:sp macro="" textlink="">
          <xdr:nvSpPr>
            <xdr:cNvPr id="1049" name="GO_Button"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6</xdr:row>
          <xdr:rowOff>9525</xdr:rowOff>
        </xdr:from>
        <xdr:to>
          <xdr:col>5</xdr:col>
          <xdr:colOff>2295525</xdr:colOff>
          <xdr:row>9</xdr:row>
          <xdr:rowOff>228600</xdr:rowOff>
        </xdr:to>
        <xdr:sp macro="" textlink="">
          <xdr:nvSpPr>
            <xdr:cNvPr id="1056" name="Group Box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800" b="0" i="0" u="none" strike="noStrike" baseline="0">
                  <a:solidFill>
                    <a:srgbClr val="000000"/>
                  </a:solidFill>
                  <a:latin typeface="Segoe UI"/>
                  <a:cs typeface="Segoe UI"/>
                </a:rPr>
                <a:t>Target Language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771525</xdr:colOff>
          <xdr:row>7</xdr:row>
          <xdr:rowOff>28575</xdr:rowOff>
        </xdr:from>
        <xdr:to>
          <xdr:col>5</xdr:col>
          <xdr:colOff>1743075</xdr:colOff>
          <xdr:row>7</xdr:row>
          <xdr:rowOff>228600</xdr:rowOff>
        </xdr:to>
        <xdr:sp macro="" textlink="">
          <xdr:nvSpPr>
            <xdr:cNvPr id="1057" name="Option Button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English (EN)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762000</xdr:colOff>
          <xdr:row>8</xdr:row>
          <xdr:rowOff>19050</xdr:rowOff>
        </xdr:from>
        <xdr:to>
          <xdr:col>5</xdr:col>
          <xdr:colOff>1733550</xdr:colOff>
          <xdr:row>8</xdr:row>
          <xdr:rowOff>228600</xdr:rowOff>
        </xdr:to>
        <xdr:sp macro="" textlink="">
          <xdr:nvSpPr>
            <xdr:cNvPr id="1058" name="Option Button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Vietnamese (VI)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11</xdr:row>
          <xdr:rowOff>9525</xdr:rowOff>
        </xdr:from>
        <xdr:to>
          <xdr:col>5</xdr:col>
          <xdr:colOff>2295525</xdr:colOff>
          <xdr:row>19</xdr:row>
          <xdr:rowOff>85725</xdr:rowOff>
        </xdr:to>
        <xdr:sp macro="" textlink="">
          <xdr:nvSpPr>
            <xdr:cNvPr id="1060" name="Group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800" b="0" i="0" u="none" strike="noStrike" baseline="0">
                  <a:solidFill>
                    <a:srgbClr val="000000"/>
                  </a:solidFill>
                  <a:latin typeface="Segoe UI"/>
                  <a:cs typeface="Segoe UI"/>
                </a:rPr>
                <a:t>Control Box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666750</xdr:colOff>
          <xdr:row>6</xdr:row>
          <xdr:rowOff>9525</xdr:rowOff>
        </xdr:from>
        <xdr:to>
          <xdr:col>9</xdr:col>
          <xdr:colOff>9525</xdr:colOff>
          <xdr:row>10</xdr:row>
          <xdr:rowOff>9525</xdr:rowOff>
        </xdr:to>
        <xdr:sp macro="" textlink="">
          <xdr:nvSpPr>
            <xdr:cNvPr id="1061" name="Group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800" b="0" i="0" u="none" strike="noStrike" baseline="0">
                  <a:solidFill>
                    <a:srgbClr val="000000"/>
                  </a:solidFill>
                  <a:latin typeface="Segoe UI"/>
                  <a:cs typeface="Segoe UI"/>
                </a:rPr>
                <a:t>Audio Quality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6</xdr:row>
          <xdr:rowOff>238125</xdr:rowOff>
        </xdr:from>
        <xdr:to>
          <xdr:col>8</xdr:col>
          <xdr:colOff>352425</xdr:colOff>
          <xdr:row>7</xdr:row>
          <xdr:rowOff>209550</xdr:rowOff>
        </xdr:to>
        <xdr:sp macro="" textlink="">
          <xdr:nvSpPr>
            <xdr:cNvPr id="1062" name="Option 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High (HI)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8</xdr:row>
          <xdr:rowOff>19050</xdr:rowOff>
        </xdr:from>
        <xdr:to>
          <xdr:col>8</xdr:col>
          <xdr:colOff>352425</xdr:colOff>
          <xdr:row>8</xdr:row>
          <xdr:rowOff>228600</xdr:rowOff>
        </xdr:to>
        <xdr:sp macro="" textlink="">
          <xdr:nvSpPr>
            <xdr:cNvPr id="1063" name="Option Button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Low (LO)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228600</xdr:rowOff>
        </xdr:from>
        <xdr:to>
          <xdr:col>8</xdr:col>
          <xdr:colOff>676275</xdr:colOff>
          <xdr:row>15</xdr:row>
          <xdr:rowOff>9525</xdr:rowOff>
        </xdr:to>
        <xdr:sp macro="" textlink="">
          <xdr:nvSpPr>
            <xdr:cNvPr id="1064" name="Group Box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800" b="0" i="0" u="none" strike="noStrike" baseline="0">
                  <a:solidFill>
                    <a:srgbClr val="000000"/>
                  </a:solidFill>
                  <a:latin typeface="Segoe UI"/>
                  <a:cs typeface="Segoe UI"/>
                </a:rPr>
                <a:t>Voice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12</xdr:row>
          <xdr:rowOff>9525</xdr:rowOff>
        </xdr:from>
        <xdr:to>
          <xdr:col>8</xdr:col>
          <xdr:colOff>390525</xdr:colOff>
          <xdr:row>12</xdr:row>
          <xdr:rowOff>209550</xdr:rowOff>
        </xdr:to>
        <xdr:sp macro="" textlink="">
          <xdr:nvSpPr>
            <xdr:cNvPr id="1065" name="Option Button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Male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13</xdr:row>
          <xdr:rowOff>28575</xdr:rowOff>
        </xdr:from>
        <xdr:to>
          <xdr:col>8</xdr:col>
          <xdr:colOff>381000</xdr:colOff>
          <xdr:row>13</xdr:row>
          <xdr:rowOff>228600</xdr:rowOff>
        </xdr:to>
        <xdr:sp macro="" textlink="">
          <xdr:nvSpPr>
            <xdr:cNvPr id="1066" name="Option Button 42"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Female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6</xdr:colOff>
      <xdr:row>0</xdr:row>
      <xdr:rowOff>6</xdr:rowOff>
    </xdr:from>
    <xdr:to>
      <xdr:col>13</xdr:col>
      <xdr:colOff>9531</xdr:colOff>
      <xdr:row>8</xdr:row>
      <xdr:rowOff>161931</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38C621-5E3B-4539-B06E-D6CAC2BFD02E}"/>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0" y="0"/>
          <a:ext cx="9067800" cy="5915025"/>
        </a:xfrm>
        <a:prstGeom xmlns:a="http://schemas.openxmlformats.org/drawingml/2006/main" prst="rect">
          <a:avLst/>
        </a:prstGeom>
      </cdr:spPr>
    </cdr:pic>
  </cdr:relSizeAnchor>
</c:userShapes>
</file>

<file path=xl/persons/person.xml><?xml version="1.0" encoding="utf-8"?>
<personList xmlns="http://schemas.microsoft.com/office/spreadsheetml/2018/threadedcomments" xmlns:x="http://schemas.openxmlformats.org/spreadsheetml/2006/main">
  <person displayName="Minh Phan" id="{4140B70C-3852-45A5-8353-2F33E668211B}" userId="4d7226fd0f73e4d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4" dT="2021-03-25T02:35:12.82" personId="{4140B70C-3852-45A5-8353-2F33E668211B}" id="{DCF31BA8-418B-4680-95C4-482D6C21F36C}">
    <text>dem so chu cua dong nay, neu lon hon 26 thi canh bao</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vmlDrawing" Target="../drawings/vmlDrawing1.vml"/><Relationship Id="rId21" Type="http://schemas.openxmlformats.org/officeDocument/2006/relationships/ctrlProp" Target="../ctrlProps/ctrlProp16.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drawing" Target="../drawings/drawing1.xml"/><Relationship Id="rId16" Type="http://schemas.openxmlformats.org/officeDocument/2006/relationships/ctrlProp" Target="../ctrlProps/ctrlProp11.xml"/><Relationship Id="rId20" Type="http://schemas.openxmlformats.org/officeDocument/2006/relationships/ctrlProp" Target="../ctrlProps/ctrlProp15.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ctrlProp" Target="../ctrlProps/ctrlProp14.xml"/><Relationship Id="rId4" Type="http://schemas.openxmlformats.org/officeDocument/2006/relationships/control" Target="../activeX/activeX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trlProp" Target="../ctrlProps/ctrlProp17.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E2CC34-F1D2-4D6C-8EE3-0E3C75EB8577}">
  <sheetPr codeName="Sheet1"/>
  <dimension ref="A1:F257"/>
  <sheetViews>
    <sheetView tabSelected="1" topLeftCell="A4" zoomScale="115" zoomScaleNormal="115" workbookViewId="0">
      <selection activeCell="G24" sqref="G24"/>
    </sheetView>
  </sheetViews>
  <sheetFormatPr defaultRowHeight="18.75"/>
  <cols>
    <col min="1" max="1" width="10.25" bestFit="1" customWidth="1"/>
    <col min="2" max="2" width="40.125" bestFit="1" customWidth="1"/>
    <col min="3" max="3" width="19.25" bestFit="1" customWidth="1"/>
    <col min="4" max="4" width="23.875" bestFit="1" customWidth="1"/>
    <col min="5" max="6" width="30.25" bestFit="1" customWidth="1"/>
  </cols>
  <sheetData>
    <row r="1" spans="1:5">
      <c r="B1" t="s">
        <v>8883</v>
      </c>
      <c r="C1" s="25" t="s">
        <v>8974</v>
      </c>
    </row>
    <row r="2" spans="1:5">
      <c r="B2" t="s">
        <v>8884</v>
      </c>
      <c r="C2" s="25" t="s">
        <v>8976</v>
      </c>
    </row>
    <row r="3" spans="1:5">
      <c r="B3" t="s">
        <v>8885</v>
      </c>
      <c r="C3" s="26" t="s">
        <v>8975</v>
      </c>
    </row>
    <row r="4" spans="1:5">
      <c r="B4" t="s">
        <v>8886</v>
      </c>
      <c r="C4" s="26"/>
    </row>
    <row r="5" spans="1:5">
      <c r="B5" t="s">
        <v>8921</v>
      </c>
      <c r="C5" s="26" t="s">
        <v>8887</v>
      </c>
    </row>
    <row r="7" spans="1:5">
      <c r="A7" s="10" t="s">
        <v>8875</v>
      </c>
      <c r="B7" s="10" t="s">
        <v>8876</v>
      </c>
      <c r="C7" s="10" t="s">
        <v>8877</v>
      </c>
      <c r="D7" s="10" t="s">
        <v>8878</v>
      </c>
      <c r="E7" s="10" t="s">
        <v>8920</v>
      </c>
    </row>
    <row r="8" spans="1:5">
      <c r="A8" s="9">
        <v>1</v>
      </c>
      <c r="B8" s="12" t="s">
        <v>8956</v>
      </c>
      <c r="C8" s="9" t="s">
        <v>8969</v>
      </c>
      <c r="D8" s="31" t="s">
        <v>8970</v>
      </c>
      <c r="E8" s="31" t="s">
        <v>8971</v>
      </c>
    </row>
    <row r="9" spans="1:5">
      <c r="A9" s="9">
        <v>2</v>
      </c>
      <c r="B9" s="9" t="s">
        <v>8995</v>
      </c>
      <c r="C9" s="9"/>
      <c r="D9" s="11"/>
      <c r="E9" s="62" t="s">
        <v>8996</v>
      </c>
    </row>
    <row r="10" spans="1:5">
      <c r="A10" s="9">
        <v>3</v>
      </c>
      <c r="B10" s="12" t="s">
        <v>8955</v>
      </c>
      <c r="C10" s="9" t="s">
        <v>8967</v>
      </c>
      <c r="D10" s="31" t="s">
        <v>8984</v>
      </c>
      <c r="E10" s="31" t="s">
        <v>8968</v>
      </c>
    </row>
    <row r="11" spans="1:5">
      <c r="A11" s="9">
        <v>4</v>
      </c>
      <c r="B11" s="9" t="s">
        <v>8948</v>
      </c>
      <c r="C11" s="9" t="s">
        <v>8957</v>
      </c>
      <c r="D11" s="11" t="s">
        <v>4688</v>
      </c>
      <c r="E11" s="62" t="s">
        <v>8979</v>
      </c>
    </row>
    <row r="12" spans="1:5">
      <c r="A12" s="9">
        <v>5</v>
      </c>
      <c r="B12" s="9" t="s">
        <v>8949</v>
      </c>
      <c r="C12" s="9" t="s">
        <v>8958</v>
      </c>
      <c r="D12" s="11" t="s">
        <v>8980</v>
      </c>
      <c r="E12" s="62" t="s">
        <v>8981</v>
      </c>
    </row>
    <row r="13" spans="1:5">
      <c r="A13" s="9">
        <v>6</v>
      </c>
      <c r="B13" s="9" t="s">
        <v>8950</v>
      </c>
      <c r="C13" s="9" t="s">
        <v>8959</v>
      </c>
      <c r="D13" s="11" t="s">
        <v>8960</v>
      </c>
      <c r="E13" s="62" t="s">
        <v>8961</v>
      </c>
    </row>
    <row r="14" spans="1:5">
      <c r="A14" s="9">
        <v>7</v>
      </c>
      <c r="B14" s="9" t="s">
        <v>8951</v>
      </c>
      <c r="C14" s="9" t="s">
        <v>3146</v>
      </c>
      <c r="D14" s="11" t="s">
        <v>3145</v>
      </c>
      <c r="E14" s="62" t="s">
        <v>8962</v>
      </c>
    </row>
    <row r="15" spans="1:5">
      <c r="A15" s="9">
        <v>8</v>
      </c>
      <c r="B15" s="9" t="s">
        <v>8952</v>
      </c>
      <c r="C15" s="9" t="s">
        <v>8963</v>
      </c>
      <c r="D15" s="11" t="s">
        <v>8964</v>
      </c>
      <c r="E15" s="62" t="s">
        <v>8982</v>
      </c>
    </row>
    <row r="16" spans="1:5">
      <c r="A16" s="9">
        <v>9</v>
      </c>
      <c r="B16" s="9" t="s">
        <v>8953</v>
      </c>
      <c r="C16" s="9" t="s">
        <v>4638</v>
      </c>
      <c r="D16" s="11" t="s">
        <v>4636</v>
      </c>
      <c r="E16" s="62" t="s">
        <v>8992</v>
      </c>
    </row>
    <row r="17" spans="1:5">
      <c r="A17" s="9">
        <v>10</v>
      </c>
      <c r="B17" s="9" t="s">
        <v>8954</v>
      </c>
      <c r="C17" s="9" t="s">
        <v>8965</v>
      </c>
      <c r="D17" s="11" t="s">
        <v>8966</v>
      </c>
      <c r="E17" s="62" t="s">
        <v>8983</v>
      </c>
    </row>
    <row r="18" spans="1:5">
      <c r="A18" s="9"/>
      <c r="B18" s="9"/>
      <c r="C18" s="9"/>
      <c r="D18" s="11"/>
      <c r="E18" s="62"/>
    </row>
    <row r="19" spans="1:5">
      <c r="A19" s="9"/>
      <c r="B19" s="9"/>
      <c r="C19" s="9"/>
      <c r="D19" s="11"/>
      <c r="E19" s="62"/>
    </row>
    <row r="20" spans="1:5">
      <c r="A20" s="9"/>
      <c r="B20" s="9"/>
      <c r="C20" s="9"/>
      <c r="D20" s="11"/>
      <c r="E20" s="62"/>
    </row>
    <row r="21" spans="1:5">
      <c r="A21" s="9"/>
      <c r="B21" s="9"/>
      <c r="C21" s="9"/>
      <c r="D21" s="11"/>
      <c r="E21" s="62"/>
    </row>
    <row r="22" spans="1:5">
      <c r="A22" s="9"/>
      <c r="B22" s="9"/>
      <c r="C22" s="9"/>
      <c r="D22" s="11"/>
      <c r="E22" s="62"/>
    </row>
    <row r="23" spans="1:5">
      <c r="A23" s="9"/>
      <c r="B23" s="9"/>
      <c r="C23" s="9"/>
      <c r="D23" s="11"/>
      <c r="E23" s="62"/>
    </row>
    <row r="24" spans="1:5">
      <c r="A24" s="9"/>
      <c r="B24" s="9"/>
      <c r="C24" s="9"/>
      <c r="D24" s="11"/>
      <c r="E24" s="62"/>
    </row>
    <row r="25" spans="1:5">
      <c r="A25" s="9"/>
      <c r="B25" s="9"/>
      <c r="C25" s="9"/>
      <c r="D25" s="11"/>
      <c r="E25" s="62"/>
    </row>
    <row r="26" spans="1:5">
      <c r="A26" s="9"/>
      <c r="B26" s="9"/>
      <c r="C26" s="9"/>
      <c r="D26" s="11"/>
      <c r="E26" s="62"/>
    </row>
    <row r="27" spans="1:5">
      <c r="A27" s="9"/>
      <c r="B27" s="9"/>
      <c r="C27" s="9"/>
      <c r="D27" s="11"/>
      <c r="E27" s="62"/>
    </row>
    <row r="28" spans="1:5">
      <c r="A28" s="9"/>
      <c r="B28" s="9"/>
      <c r="C28" s="9"/>
      <c r="D28" s="11"/>
      <c r="E28" s="62"/>
    </row>
    <row r="29" spans="1:5">
      <c r="A29" s="9"/>
      <c r="B29" s="9"/>
      <c r="C29" s="9"/>
      <c r="D29" s="11"/>
      <c r="E29" s="62"/>
    </row>
    <row r="30" spans="1:5">
      <c r="A30" s="9"/>
      <c r="B30" s="9"/>
      <c r="C30" s="9"/>
      <c r="D30" s="11"/>
      <c r="E30" s="62"/>
    </row>
    <row r="31" spans="1:5">
      <c r="A31" s="9"/>
      <c r="B31" s="9"/>
      <c r="C31" s="9"/>
      <c r="D31" s="11"/>
      <c r="E31" s="62"/>
    </row>
    <row r="32" spans="1:5">
      <c r="A32" s="9"/>
      <c r="B32" s="9"/>
      <c r="C32" s="9"/>
      <c r="D32" s="11"/>
      <c r="E32" s="62"/>
    </row>
    <row r="33" spans="1:5">
      <c r="A33" s="9"/>
      <c r="B33" s="9"/>
      <c r="C33" s="9"/>
      <c r="D33" s="11"/>
      <c r="E33" s="62"/>
    </row>
    <row r="34" spans="1:5">
      <c r="A34" s="9"/>
      <c r="B34" s="9"/>
      <c r="C34" s="9"/>
      <c r="D34" s="11"/>
      <c r="E34" s="62"/>
    </row>
    <row r="35" spans="1:5">
      <c r="A35" s="9"/>
      <c r="B35" s="9"/>
      <c r="C35" s="9"/>
      <c r="D35" s="11"/>
      <c r="E35" s="62"/>
    </row>
    <row r="36" spans="1:5">
      <c r="A36" s="9"/>
      <c r="B36" s="9"/>
      <c r="C36" s="9"/>
      <c r="D36" s="11"/>
      <c r="E36" s="62"/>
    </row>
    <row r="37" spans="1:5">
      <c r="A37" s="9"/>
      <c r="B37" s="9"/>
      <c r="C37" s="9"/>
      <c r="D37" s="31"/>
      <c r="E37" s="62"/>
    </row>
    <row r="38" spans="1:5">
      <c r="A38" s="9"/>
      <c r="B38" s="12"/>
      <c r="C38" s="9"/>
      <c r="D38" s="31"/>
      <c r="E38" s="31"/>
    </row>
    <row r="39" spans="1:5">
      <c r="A39" s="9"/>
      <c r="B39" s="12"/>
      <c r="C39" s="9"/>
      <c r="D39" s="31"/>
      <c r="E39" s="31"/>
    </row>
    <row r="40" spans="1:5">
      <c r="A40" s="9"/>
      <c r="B40" s="12"/>
      <c r="C40" s="9"/>
      <c r="D40" s="31"/>
      <c r="E40" s="31"/>
    </row>
    <row r="41" spans="1:5">
      <c r="A41" s="9"/>
      <c r="B41" s="12"/>
      <c r="C41" s="9"/>
      <c r="D41" s="31"/>
      <c r="E41" s="31"/>
    </row>
    <row r="42" spans="1:5">
      <c r="A42" s="9"/>
      <c r="B42" s="12"/>
      <c r="C42" s="9"/>
      <c r="D42" s="31"/>
      <c r="E42" s="31"/>
    </row>
    <row r="43" spans="1:5">
      <c r="A43" s="9"/>
      <c r="B43" s="12"/>
      <c r="C43" s="9"/>
      <c r="D43" s="31"/>
      <c r="E43" s="31"/>
    </row>
    <row r="44" spans="1:5">
      <c r="A44" s="9"/>
      <c r="B44" s="12"/>
      <c r="C44" s="9"/>
      <c r="D44" s="31"/>
      <c r="E44" s="31"/>
    </row>
    <row r="45" spans="1:5">
      <c r="A45" s="9"/>
      <c r="B45" s="12"/>
      <c r="C45" s="9"/>
      <c r="D45" s="31"/>
      <c r="E45" s="31"/>
    </row>
    <row r="46" spans="1:5">
      <c r="A46" s="9"/>
      <c r="B46" s="12"/>
      <c r="C46" s="9"/>
      <c r="D46" s="31"/>
      <c r="E46" s="31"/>
    </row>
    <row r="47" spans="1:5">
      <c r="A47" s="9"/>
      <c r="B47" s="12"/>
      <c r="C47" s="9"/>
      <c r="D47" s="31"/>
      <c r="E47" s="31"/>
    </row>
    <row r="48" spans="1:5">
      <c r="A48" s="9"/>
      <c r="B48" s="12"/>
      <c r="C48" s="9"/>
      <c r="D48" s="31"/>
      <c r="E48" s="31"/>
    </row>
    <row r="49" spans="1:5">
      <c r="A49" s="9"/>
      <c r="B49" s="12"/>
      <c r="C49" s="9"/>
      <c r="D49" s="31"/>
      <c r="E49" s="31"/>
    </row>
    <row r="50" spans="1:5">
      <c r="A50" s="9"/>
      <c r="B50" s="12"/>
      <c r="C50" s="9"/>
      <c r="D50" s="31"/>
      <c r="E50" s="31"/>
    </row>
    <row r="51" spans="1:5">
      <c r="A51" s="9"/>
      <c r="B51" s="12"/>
      <c r="C51" s="9"/>
      <c r="D51" s="31"/>
      <c r="E51" s="31"/>
    </row>
    <row r="52" spans="1:5">
      <c r="A52" s="9"/>
      <c r="B52" s="12"/>
      <c r="C52" s="9"/>
      <c r="D52" s="31"/>
      <c r="E52" s="31"/>
    </row>
    <row r="53" spans="1:5">
      <c r="A53" s="9"/>
      <c r="B53" s="12"/>
      <c r="C53" s="9"/>
      <c r="D53" s="31"/>
      <c r="E53" s="31"/>
    </row>
    <row r="54" spans="1:5">
      <c r="A54" s="9"/>
      <c r="B54" s="12"/>
      <c r="C54" s="9"/>
      <c r="D54" s="31"/>
      <c r="E54" s="31"/>
    </row>
    <row r="55" spans="1:5">
      <c r="A55" s="9"/>
      <c r="B55" s="12"/>
      <c r="C55" s="9"/>
      <c r="D55" s="31"/>
      <c r="E55" s="31"/>
    </row>
    <row r="56" spans="1:5">
      <c r="A56" s="9"/>
      <c r="B56" s="12"/>
      <c r="C56" s="9"/>
      <c r="D56" s="31"/>
      <c r="E56" s="31"/>
    </row>
    <row r="57" spans="1:5">
      <c r="A57" s="9"/>
      <c r="B57" s="12"/>
      <c r="C57" s="9"/>
      <c r="D57" s="31"/>
      <c r="E57" s="31"/>
    </row>
    <row r="58" spans="1:5">
      <c r="A58" s="9"/>
      <c r="B58" s="12"/>
      <c r="C58" s="9"/>
      <c r="D58" s="31"/>
      <c r="E58" s="31"/>
    </row>
    <row r="59" spans="1:5">
      <c r="A59" s="9"/>
      <c r="B59" s="12"/>
      <c r="C59" s="9"/>
      <c r="D59" s="31"/>
      <c r="E59" s="31"/>
    </row>
    <row r="60" spans="1:5">
      <c r="A60" s="9"/>
      <c r="B60" s="12"/>
      <c r="C60" s="9"/>
      <c r="D60" s="31"/>
      <c r="E60" s="31"/>
    </row>
    <row r="61" spans="1:5">
      <c r="A61" s="9"/>
      <c r="B61" s="12"/>
      <c r="C61" s="9"/>
      <c r="D61" s="31"/>
      <c r="E61" s="31"/>
    </row>
    <row r="62" spans="1:5">
      <c r="A62" s="9"/>
      <c r="B62" s="12"/>
      <c r="C62" s="9"/>
      <c r="D62" s="31"/>
      <c r="E62" s="31"/>
    </row>
    <row r="63" spans="1:5">
      <c r="A63" s="9"/>
      <c r="B63" s="12"/>
      <c r="C63" s="9"/>
      <c r="D63" s="31"/>
      <c r="E63" s="31"/>
    </row>
    <row r="64" spans="1:5">
      <c r="A64" s="9"/>
      <c r="B64" s="12"/>
      <c r="C64" s="9"/>
      <c r="D64" s="31"/>
      <c r="E64" s="31"/>
    </row>
    <row r="65" spans="1:5">
      <c r="A65" s="9"/>
      <c r="B65" s="12"/>
      <c r="C65" s="9"/>
      <c r="D65" s="31"/>
      <c r="E65" s="31"/>
    </row>
    <row r="66" spans="1:5">
      <c r="A66" s="9"/>
      <c r="B66" s="12"/>
      <c r="C66" s="9"/>
      <c r="D66" s="31"/>
      <c r="E66" s="31"/>
    </row>
    <row r="67" spans="1:5">
      <c r="A67" s="9"/>
      <c r="B67" s="12"/>
      <c r="C67" s="9"/>
      <c r="D67" s="31"/>
      <c r="E67" s="31"/>
    </row>
    <row r="68" spans="1:5">
      <c r="A68" s="9"/>
      <c r="B68" s="12"/>
      <c r="C68" s="9"/>
      <c r="D68" s="31"/>
      <c r="E68" s="31"/>
    </row>
    <row r="69" spans="1:5">
      <c r="A69" s="9"/>
      <c r="B69" s="12"/>
      <c r="C69" s="9"/>
      <c r="D69" s="31"/>
      <c r="E69" s="31"/>
    </row>
    <row r="70" spans="1:5">
      <c r="A70" s="9"/>
      <c r="B70" s="12"/>
      <c r="C70" s="9"/>
      <c r="D70" s="31"/>
      <c r="E70" s="31"/>
    </row>
    <row r="71" spans="1:5">
      <c r="A71" s="9"/>
      <c r="B71" s="12"/>
      <c r="C71" s="9"/>
      <c r="D71" s="31"/>
      <c r="E71" s="31"/>
    </row>
    <row r="72" spans="1:5">
      <c r="A72" s="9"/>
      <c r="B72" s="12"/>
      <c r="C72" s="9"/>
      <c r="D72" s="31"/>
      <c r="E72" s="31"/>
    </row>
    <row r="73" spans="1:5">
      <c r="A73" s="9"/>
      <c r="B73" s="12"/>
      <c r="C73" s="9"/>
      <c r="D73" s="31"/>
      <c r="E73" s="31"/>
    </row>
    <row r="74" spans="1:5">
      <c r="A74" s="9"/>
      <c r="B74" s="12"/>
      <c r="C74" s="9"/>
      <c r="D74" s="31"/>
      <c r="E74" s="31"/>
    </row>
    <row r="75" spans="1:5">
      <c r="A75" s="9"/>
      <c r="B75" s="12"/>
      <c r="C75" s="9"/>
      <c r="D75" s="31"/>
      <c r="E75" s="31"/>
    </row>
    <row r="76" spans="1:5">
      <c r="A76" s="9"/>
      <c r="B76" s="12"/>
      <c r="C76" s="9"/>
      <c r="D76" s="31"/>
      <c r="E76" s="31"/>
    </row>
    <row r="77" spans="1:5">
      <c r="A77" s="9"/>
      <c r="B77" s="12"/>
      <c r="C77" s="9"/>
      <c r="D77" s="31"/>
      <c r="E77" s="31"/>
    </row>
    <row r="78" spans="1:5">
      <c r="A78" s="9"/>
      <c r="B78" s="12"/>
      <c r="C78" s="9"/>
      <c r="D78" s="31"/>
      <c r="E78" s="31"/>
    </row>
    <row r="79" spans="1:5">
      <c r="A79" s="9"/>
      <c r="B79" s="12"/>
      <c r="C79" s="9"/>
      <c r="D79" s="31"/>
      <c r="E79" s="31"/>
    </row>
    <row r="80" spans="1:5">
      <c r="A80" s="9"/>
      <c r="B80" s="12"/>
      <c r="C80" s="9"/>
      <c r="D80" s="31"/>
      <c r="E80" s="31"/>
    </row>
    <row r="81" spans="1:5">
      <c r="A81" s="9"/>
      <c r="B81" s="12"/>
      <c r="C81" s="9"/>
      <c r="D81" s="31"/>
      <c r="E81" s="31"/>
    </row>
    <row r="82" spans="1:5">
      <c r="A82" s="9"/>
      <c r="B82" s="12"/>
      <c r="C82" s="9"/>
      <c r="D82" s="31"/>
      <c r="E82" s="31"/>
    </row>
    <row r="83" spans="1:5">
      <c r="A83" s="9"/>
      <c r="B83" s="12"/>
      <c r="C83" s="9"/>
      <c r="D83" s="31"/>
      <c r="E83" s="31"/>
    </row>
    <row r="84" spans="1:5">
      <c r="A84" s="9"/>
      <c r="B84" s="12"/>
      <c r="C84" s="9"/>
      <c r="D84" s="31"/>
      <c r="E84" s="31"/>
    </row>
    <row r="85" spans="1:5">
      <c r="A85" s="9"/>
      <c r="B85" s="12"/>
      <c r="C85" s="9"/>
      <c r="D85" s="31"/>
      <c r="E85" s="31"/>
    </row>
    <row r="86" spans="1:5">
      <c r="A86" s="9"/>
      <c r="B86" s="12"/>
      <c r="C86" s="9"/>
      <c r="D86" s="31"/>
      <c r="E86" s="31"/>
    </row>
    <row r="87" spans="1:5">
      <c r="A87" s="9"/>
      <c r="B87" s="12"/>
      <c r="C87" s="9"/>
      <c r="D87" s="31"/>
      <c r="E87" s="31"/>
    </row>
    <row r="88" spans="1:5">
      <c r="A88" s="9"/>
      <c r="B88" s="12"/>
      <c r="C88" s="9"/>
      <c r="D88" s="31"/>
      <c r="E88" s="31"/>
    </row>
    <row r="89" spans="1:5">
      <c r="A89" s="9"/>
      <c r="B89" s="12"/>
      <c r="C89" s="9"/>
      <c r="D89" s="31"/>
      <c r="E89" s="31"/>
    </row>
    <row r="90" spans="1:5">
      <c r="A90" s="9"/>
      <c r="B90" s="12"/>
      <c r="C90" s="9"/>
      <c r="D90" s="31"/>
      <c r="E90" s="31"/>
    </row>
    <row r="91" spans="1:5">
      <c r="A91" s="9"/>
      <c r="B91" s="12"/>
      <c r="C91" s="9"/>
      <c r="D91" s="31"/>
      <c r="E91" s="31"/>
    </row>
    <row r="92" spans="1:5">
      <c r="A92" s="9"/>
      <c r="B92" s="12"/>
      <c r="C92" s="9"/>
      <c r="D92" s="31"/>
      <c r="E92" s="31"/>
    </row>
    <row r="93" spans="1:5">
      <c r="A93" s="9"/>
      <c r="B93" s="12"/>
      <c r="C93" s="9"/>
      <c r="D93" s="31"/>
      <c r="E93" s="31"/>
    </row>
    <row r="94" spans="1:5">
      <c r="A94" s="9"/>
      <c r="B94" s="12"/>
      <c r="C94" s="9"/>
      <c r="D94" s="31"/>
      <c r="E94" s="31"/>
    </row>
    <row r="95" spans="1:5">
      <c r="A95" s="9"/>
      <c r="B95" s="12"/>
      <c r="C95" s="9"/>
      <c r="D95" s="31"/>
      <c r="E95" s="31"/>
    </row>
    <row r="96" spans="1:5">
      <c r="A96" s="9"/>
      <c r="B96" s="12"/>
      <c r="C96" s="9"/>
      <c r="D96" s="31"/>
      <c r="E96" s="31"/>
    </row>
    <row r="97" spans="1:5">
      <c r="A97" s="9"/>
      <c r="B97" s="12"/>
      <c r="C97" s="9"/>
      <c r="D97" s="31"/>
      <c r="E97" s="31"/>
    </row>
    <row r="98" spans="1:5">
      <c r="A98" s="9"/>
      <c r="B98" s="12"/>
      <c r="C98" s="9"/>
      <c r="D98" s="31"/>
      <c r="E98" s="31"/>
    </row>
    <row r="99" spans="1:5">
      <c r="A99" s="9"/>
      <c r="B99" s="12"/>
      <c r="C99" s="9"/>
      <c r="D99" s="31"/>
      <c r="E99" s="31"/>
    </row>
    <row r="100" spans="1:5">
      <c r="A100" s="9"/>
      <c r="B100" s="12"/>
      <c r="C100" s="9"/>
      <c r="D100" s="31"/>
      <c r="E100" s="31"/>
    </row>
    <row r="101" spans="1:5">
      <c r="A101" s="9"/>
      <c r="B101" s="12"/>
      <c r="C101" s="9"/>
      <c r="D101" s="31"/>
      <c r="E101" s="31"/>
    </row>
    <row r="102" spans="1:5">
      <c r="A102" s="9"/>
      <c r="B102" s="12"/>
      <c r="C102" s="9"/>
      <c r="D102" s="31"/>
      <c r="E102" s="31"/>
    </row>
    <row r="103" spans="1:5">
      <c r="A103" s="9"/>
      <c r="B103" s="12"/>
      <c r="C103" s="9"/>
      <c r="D103" s="31"/>
      <c r="E103" s="31"/>
    </row>
    <row r="104" spans="1:5">
      <c r="A104" s="9"/>
      <c r="B104" s="12"/>
      <c r="C104" s="9"/>
      <c r="D104" s="31"/>
      <c r="E104" s="31"/>
    </row>
    <row r="105" spans="1:5">
      <c r="A105" s="9"/>
      <c r="B105" s="12"/>
      <c r="C105" s="9"/>
      <c r="D105" s="31"/>
      <c r="E105" s="31"/>
    </row>
    <row r="106" spans="1:5">
      <c r="A106" s="9"/>
      <c r="B106" s="12"/>
      <c r="C106" s="9"/>
      <c r="D106" s="31"/>
      <c r="E106" s="31"/>
    </row>
    <row r="107" spans="1:5">
      <c r="A107" s="9"/>
      <c r="B107" s="12"/>
      <c r="C107" s="9"/>
      <c r="D107" s="31"/>
      <c r="E107" s="31"/>
    </row>
    <row r="108" spans="1:5">
      <c r="A108" s="9"/>
      <c r="B108" s="12"/>
      <c r="C108" s="9"/>
      <c r="D108" s="31"/>
      <c r="E108" s="31"/>
    </row>
    <row r="109" spans="1:5">
      <c r="A109" s="9"/>
      <c r="B109" s="9"/>
      <c r="C109" s="9"/>
      <c r="D109" s="31"/>
      <c r="E109" s="31"/>
    </row>
    <row r="110" spans="1:5">
      <c r="A110" s="9"/>
      <c r="B110" s="9"/>
      <c r="C110" s="9"/>
      <c r="D110" s="31"/>
      <c r="E110" s="31"/>
    </row>
    <row r="111" spans="1:5">
      <c r="A111" s="9"/>
      <c r="B111" s="9"/>
      <c r="C111" s="9"/>
      <c r="D111" s="31"/>
      <c r="E111" s="31"/>
    </row>
    <row r="112" spans="1:5">
      <c r="A112" s="9"/>
      <c r="B112" s="9"/>
      <c r="C112" s="9"/>
      <c r="D112" s="31"/>
      <c r="E112" s="31"/>
    </row>
    <row r="113" spans="1:5">
      <c r="A113" s="9"/>
      <c r="B113" s="9"/>
      <c r="C113" s="9"/>
      <c r="D113" s="31"/>
      <c r="E113" s="31"/>
    </row>
    <row r="114" spans="1:5">
      <c r="A114" s="9"/>
      <c r="B114" s="9"/>
      <c r="C114" s="9"/>
      <c r="D114" s="31"/>
      <c r="E114" s="31"/>
    </row>
    <row r="115" spans="1:5">
      <c r="A115" s="9"/>
      <c r="B115" s="9"/>
      <c r="C115" s="9"/>
      <c r="D115" s="31"/>
      <c r="E115" s="31"/>
    </row>
    <row r="116" spans="1:5">
      <c r="A116" s="9"/>
      <c r="B116" s="9"/>
      <c r="C116" s="9"/>
      <c r="D116" s="31"/>
      <c r="E116" s="31"/>
    </row>
    <row r="117" spans="1:5">
      <c r="A117" s="9"/>
      <c r="B117" s="9"/>
      <c r="C117" s="9"/>
      <c r="D117" s="31"/>
      <c r="E117" s="31"/>
    </row>
    <row r="118" spans="1:5">
      <c r="A118" s="9"/>
      <c r="B118" s="9"/>
      <c r="C118" s="9"/>
      <c r="D118" s="31"/>
      <c r="E118" s="31"/>
    </row>
    <row r="119" spans="1:5">
      <c r="A119" s="9"/>
      <c r="B119" s="9"/>
      <c r="C119" s="9"/>
      <c r="D119" s="31"/>
      <c r="E119" s="31"/>
    </row>
    <row r="120" spans="1:5">
      <c r="A120" s="9"/>
      <c r="B120" s="9"/>
      <c r="C120" s="9"/>
      <c r="D120" s="31"/>
      <c r="E120" s="31"/>
    </row>
    <row r="121" spans="1:5">
      <c r="A121" s="9"/>
      <c r="B121" s="9"/>
      <c r="C121" s="9"/>
      <c r="D121" s="31"/>
      <c r="E121" s="31"/>
    </row>
    <row r="122" spans="1:5">
      <c r="A122" s="9"/>
      <c r="B122" s="9"/>
      <c r="C122" s="9"/>
      <c r="D122" s="31"/>
      <c r="E122" s="31"/>
    </row>
    <row r="123" spans="1:5">
      <c r="A123" s="9"/>
      <c r="B123" s="9"/>
      <c r="C123" s="9"/>
      <c r="D123" s="31"/>
      <c r="E123" s="31"/>
    </row>
    <row r="124" spans="1:5">
      <c r="A124" s="9"/>
      <c r="B124" s="9"/>
      <c r="C124" s="9"/>
      <c r="D124" s="31"/>
      <c r="E124" s="31"/>
    </row>
    <row r="125" spans="1:5">
      <c r="A125" s="9"/>
      <c r="B125" s="9"/>
      <c r="C125" s="9"/>
      <c r="D125" s="31"/>
      <c r="E125" s="31"/>
    </row>
    <row r="126" spans="1:5">
      <c r="A126" s="9"/>
      <c r="B126" s="9"/>
      <c r="C126" s="9"/>
      <c r="D126" s="31"/>
      <c r="E126" s="31"/>
    </row>
    <row r="127" spans="1:5">
      <c r="A127" s="9"/>
      <c r="B127" s="9"/>
      <c r="C127" s="9"/>
      <c r="D127" s="31"/>
      <c r="E127" s="31"/>
    </row>
    <row r="128" spans="1:5">
      <c r="A128" s="9"/>
      <c r="B128" s="9"/>
      <c r="C128" s="9"/>
      <c r="D128" s="31"/>
      <c r="E128" s="31"/>
    </row>
    <row r="129" spans="1:5">
      <c r="A129" s="9"/>
      <c r="B129" s="9"/>
      <c r="C129" s="9"/>
      <c r="D129" s="31"/>
      <c r="E129" s="31"/>
    </row>
    <row r="130" spans="1:5">
      <c r="A130" s="9"/>
      <c r="B130" s="9"/>
      <c r="C130" s="9"/>
      <c r="D130" s="31"/>
      <c r="E130" s="31"/>
    </row>
    <row r="131" spans="1:5">
      <c r="A131" s="9"/>
      <c r="B131" s="9"/>
      <c r="C131" s="9"/>
      <c r="D131" s="31"/>
      <c r="E131" s="31"/>
    </row>
    <row r="132" spans="1:5">
      <c r="A132" s="9"/>
      <c r="B132" s="9"/>
      <c r="C132" s="9"/>
      <c r="D132" s="31"/>
      <c r="E132" s="31"/>
    </row>
    <row r="133" spans="1:5">
      <c r="A133" s="9"/>
      <c r="B133" s="9"/>
      <c r="C133" s="9"/>
      <c r="D133" s="31"/>
      <c r="E133" s="31"/>
    </row>
    <row r="134" spans="1:5">
      <c r="A134" s="9"/>
      <c r="B134" s="9"/>
      <c r="C134" s="9"/>
      <c r="D134" s="31"/>
      <c r="E134" s="31"/>
    </row>
    <row r="135" spans="1:5">
      <c r="A135" s="9"/>
      <c r="B135" s="9"/>
      <c r="C135" s="9"/>
      <c r="D135" s="31"/>
      <c r="E135" s="31"/>
    </row>
    <row r="136" spans="1:5">
      <c r="A136" s="9"/>
      <c r="B136" s="9"/>
      <c r="C136" s="9"/>
      <c r="D136" s="31"/>
      <c r="E136" s="31"/>
    </row>
    <row r="137" spans="1:5">
      <c r="A137" s="9"/>
      <c r="B137" s="9"/>
      <c r="C137" s="9"/>
      <c r="D137" s="31"/>
      <c r="E137" s="31"/>
    </row>
    <row r="138" spans="1:5">
      <c r="A138" s="9"/>
      <c r="B138" s="9"/>
      <c r="C138" s="9"/>
      <c r="D138" s="31"/>
      <c r="E138" s="31"/>
    </row>
    <row r="139" spans="1:5">
      <c r="A139" s="9"/>
      <c r="B139" s="9"/>
      <c r="C139" s="9"/>
      <c r="D139" s="11"/>
      <c r="E139" s="9"/>
    </row>
    <row r="140" spans="1:5">
      <c r="A140" s="9"/>
      <c r="B140" s="9"/>
      <c r="C140" s="9"/>
      <c r="D140" s="11"/>
      <c r="E140" s="9"/>
    </row>
    <row r="141" spans="1:5">
      <c r="A141" s="9"/>
      <c r="B141" s="9"/>
      <c r="C141" s="9"/>
      <c r="D141" s="11"/>
      <c r="E141" s="9"/>
    </row>
    <row r="142" spans="1:5">
      <c r="A142" s="9"/>
      <c r="B142" s="9"/>
      <c r="C142" s="9"/>
      <c r="D142" s="11"/>
      <c r="E142" s="9"/>
    </row>
    <row r="143" spans="1:5">
      <c r="A143" s="9"/>
      <c r="B143" s="9"/>
      <c r="C143" s="9"/>
      <c r="D143" s="11"/>
      <c r="E143" s="9"/>
    </row>
    <row r="144" spans="1:5">
      <c r="A144" s="9"/>
      <c r="B144" s="9"/>
      <c r="C144" s="9"/>
      <c r="D144" s="11"/>
      <c r="E144" s="9"/>
    </row>
    <row r="145" spans="1:5">
      <c r="A145" s="9"/>
      <c r="B145" s="9"/>
      <c r="C145" s="9"/>
      <c r="D145" s="11"/>
      <c r="E145" s="9"/>
    </row>
    <row r="146" spans="1:5">
      <c r="A146" s="9"/>
      <c r="B146" s="9"/>
      <c r="C146" s="9"/>
      <c r="D146" s="11"/>
      <c r="E146" s="9"/>
    </row>
    <row r="147" spans="1:5">
      <c r="A147" s="9"/>
      <c r="B147" s="9"/>
      <c r="C147" s="9"/>
      <c r="D147" s="11"/>
      <c r="E147" s="9"/>
    </row>
    <row r="148" spans="1:5">
      <c r="A148" s="9"/>
      <c r="B148" s="9"/>
      <c r="C148" s="9"/>
      <c r="D148" s="11"/>
      <c r="E148" s="9"/>
    </row>
    <row r="245" spans="6:6">
      <c r="F245" s="13"/>
    </row>
    <row r="246" spans="6:6">
      <c r="F246" s="13"/>
    </row>
    <row r="247" spans="6:6">
      <c r="F247" s="13"/>
    </row>
    <row r="248" spans="6:6">
      <c r="F248" s="13"/>
    </row>
    <row r="249" spans="6:6">
      <c r="F249" s="13"/>
    </row>
    <row r="250" spans="6:6">
      <c r="F250" s="13"/>
    </row>
    <row r="251" spans="6:6">
      <c r="F251" s="13"/>
    </row>
    <row r="252" spans="6:6">
      <c r="F252" s="13"/>
    </row>
    <row r="253" spans="6:6">
      <c r="F253" s="13"/>
    </row>
    <row r="254" spans="6:6">
      <c r="F254" s="13"/>
    </row>
    <row r="255" spans="6:6">
      <c r="F255" s="13"/>
    </row>
    <row r="256" spans="6:6">
      <c r="F256" s="13"/>
    </row>
    <row r="257" spans="6:6">
      <c r="F257" s="13"/>
    </row>
  </sheetData>
  <dataConsolidate/>
  <phoneticPr fontId="5"/>
  <pageMargins left="0.7" right="0.7" top="0.75" bottom="0.75" header="0.3" footer="0.3"/>
  <pageSetup paperSize="9" orientation="portrait" r:id="rId1"/>
  <drawing r:id="rId2"/>
  <legacyDrawing r:id="rId3"/>
  <controls>
    <mc:AlternateContent xmlns:mc="http://schemas.openxmlformats.org/markup-compatibility/2006">
      <mc:Choice Requires="x14">
        <control shapeId="1049" r:id="rId4" name="GO_Button">
          <controlPr defaultSize="0" autoLine="0" autoPict="0" r:id="rId5">
            <anchor moveWithCells="1">
              <from>
                <xdr:col>6</xdr:col>
                <xdr:colOff>628650</xdr:colOff>
                <xdr:row>16</xdr:row>
                <xdr:rowOff>219075</xdr:rowOff>
              </from>
              <to>
                <xdr:col>9</xdr:col>
                <xdr:colOff>38100</xdr:colOff>
                <xdr:row>19</xdr:row>
                <xdr:rowOff>47625</xdr:rowOff>
              </to>
            </anchor>
          </controlPr>
        </control>
      </mc:Choice>
      <mc:Fallback>
        <control shapeId="1049" r:id="rId4" name="GO_Button"/>
      </mc:Fallback>
    </mc:AlternateContent>
    <mc:AlternateContent xmlns:mc="http://schemas.openxmlformats.org/markup-compatibility/2006">
      <mc:Choice Requires="x14">
        <control shapeId="1041" r:id="rId6" name="Check Box 17">
          <controlPr defaultSize="0" autoFill="0" autoLine="0" autoPict="0">
            <anchor moveWithCells="1">
              <from>
                <xdr:col>5</xdr:col>
                <xdr:colOff>790575</xdr:colOff>
                <xdr:row>11</xdr:row>
                <xdr:rowOff>209550</xdr:rowOff>
              </from>
              <to>
                <xdr:col>5</xdr:col>
                <xdr:colOff>1952625</xdr:colOff>
                <xdr:row>13</xdr:row>
                <xdr:rowOff>28575</xdr:rowOff>
              </to>
            </anchor>
          </controlPr>
        </control>
      </mc:Choice>
    </mc:AlternateContent>
    <mc:AlternateContent xmlns:mc="http://schemas.openxmlformats.org/markup-compatibility/2006">
      <mc:Choice Requires="x14">
        <control shapeId="1043" r:id="rId7" name="Check Box 19">
          <controlPr defaultSize="0" autoFill="0" autoLine="0" autoPict="0">
            <anchor moveWithCells="1">
              <from>
                <xdr:col>5</xdr:col>
                <xdr:colOff>790575</xdr:colOff>
                <xdr:row>12</xdr:row>
                <xdr:rowOff>209550</xdr:rowOff>
              </from>
              <to>
                <xdr:col>5</xdr:col>
                <xdr:colOff>1952625</xdr:colOff>
                <xdr:row>14</xdr:row>
                <xdr:rowOff>28575</xdr:rowOff>
              </to>
            </anchor>
          </controlPr>
        </control>
      </mc:Choice>
    </mc:AlternateContent>
    <mc:AlternateContent xmlns:mc="http://schemas.openxmlformats.org/markup-compatibility/2006">
      <mc:Choice Requires="x14">
        <control shapeId="1044" r:id="rId8" name="Check Box 20">
          <controlPr defaultSize="0" autoFill="0" autoLine="0" autoPict="0">
            <anchor moveWithCells="1">
              <from>
                <xdr:col>5</xdr:col>
                <xdr:colOff>790575</xdr:colOff>
                <xdr:row>13</xdr:row>
                <xdr:rowOff>228600</xdr:rowOff>
              </from>
              <to>
                <xdr:col>5</xdr:col>
                <xdr:colOff>1952625</xdr:colOff>
                <xdr:row>15</xdr:row>
                <xdr:rowOff>19050</xdr:rowOff>
              </to>
            </anchor>
          </controlPr>
        </control>
      </mc:Choice>
    </mc:AlternateContent>
    <mc:AlternateContent xmlns:mc="http://schemas.openxmlformats.org/markup-compatibility/2006">
      <mc:Choice Requires="x14">
        <control shapeId="1045" r:id="rId9" name="Check Box 21">
          <controlPr defaultSize="0" autoFill="0" autoLine="0" autoPict="0">
            <anchor moveWithCells="1">
              <from>
                <xdr:col>5</xdr:col>
                <xdr:colOff>790575</xdr:colOff>
                <xdr:row>14</xdr:row>
                <xdr:rowOff>219075</xdr:rowOff>
              </from>
              <to>
                <xdr:col>5</xdr:col>
                <xdr:colOff>1952625</xdr:colOff>
                <xdr:row>16</xdr:row>
                <xdr:rowOff>38100</xdr:rowOff>
              </to>
            </anchor>
          </controlPr>
        </control>
      </mc:Choice>
    </mc:AlternateContent>
    <mc:AlternateContent xmlns:mc="http://schemas.openxmlformats.org/markup-compatibility/2006">
      <mc:Choice Requires="x14">
        <control shapeId="1046" r:id="rId10" name="Check Box 22">
          <controlPr defaultSize="0" autoFill="0" autoLine="0" autoPict="0">
            <anchor moveWithCells="1">
              <from>
                <xdr:col>5</xdr:col>
                <xdr:colOff>800100</xdr:colOff>
                <xdr:row>15</xdr:row>
                <xdr:rowOff>219075</xdr:rowOff>
              </from>
              <to>
                <xdr:col>5</xdr:col>
                <xdr:colOff>1962150</xdr:colOff>
                <xdr:row>17</xdr:row>
                <xdr:rowOff>38100</xdr:rowOff>
              </to>
            </anchor>
          </controlPr>
        </control>
      </mc:Choice>
    </mc:AlternateContent>
    <mc:AlternateContent xmlns:mc="http://schemas.openxmlformats.org/markup-compatibility/2006">
      <mc:Choice Requires="x14">
        <control shapeId="1047" r:id="rId11" name="Check Box 23">
          <controlPr defaultSize="0" autoFill="0" autoLine="0" autoPict="0">
            <anchor moveWithCells="1">
              <from>
                <xdr:col>5</xdr:col>
                <xdr:colOff>790575</xdr:colOff>
                <xdr:row>16</xdr:row>
                <xdr:rowOff>209550</xdr:rowOff>
              </from>
              <to>
                <xdr:col>5</xdr:col>
                <xdr:colOff>1952625</xdr:colOff>
                <xdr:row>18</xdr:row>
                <xdr:rowOff>28575</xdr:rowOff>
              </to>
            </anchor>
          </controlPr>
        </control>
      </mc:Choice>
    </mc:AlternateContent>
    <mc:AlternateContent xmlns:mc="http://schemas.openxmlformats.org/markup-compatibility/2006">
      <mc:Choice Requires="x14">
        <control shapeId="1048" r:id="rId12" name="Check Box 24">
          <controlPr defaultSize="0" autoFill="0" autoLine="0" autoPict="0">
            <anchor moveWithCells="1">
              <from>
                <xdr:col>5</xdr:col>
                <xdr:colOff>790575</xdr:colOff>
                <xdr:row>17</xdr:row>
                <xdr:rowOff>209550</xdr:rowOff>
              </from>
              <to>
                <xdr:col>5</xdr:col>
                <xdr:colOff>1952625</xdr:colOff>
                <xdr:row>19</xdr:row>
                <xdr:rowOff>28575</xdr:rowOff>
              </to>
            </anchor>
          </controlPr>
        </control>
      </mc:Choice>
    </mc:AlternateContent>
    <mc:AlternateContent xmlns:mc="http://schemas.openxmlformats.org/markup-compatibility/2006">
      <mc:Choice Requires="x14">
        <control shapeId="1056" r:id="rId13" name="Group Box 32">
          <controlPr defaultSize="0" autoFill="0" autoPict="0">
            <anchor moveWithCells="1">
              <from>
                <xdr:col>5</xdr:col>
                <xdr:colOff>695325</xdr:colOff>
                <xdr:row>6</xdr:row>
                <xdr:rowOff>9525</xdr:rowOff>
              </from>
              <to>
                <xdr:col>5</xdr:col>
                <xdr:colOff>2295525</xdr:colOff>
                <xdr:row>9</xdr:row>
                <xdr:rowOff>228600</xdr:rowOff>
              </to>
            </anchor>
          </controlPr>
        </control>
      </mc:Choice>
    </mc:AlternateContent>
    <mc:AlternateContent xmlns:mc="http://schemas.openxmlformats.org/markup-compatibility/2006">
      <mc:Choice Requires="x14">
        <control shapeId="1057" r:id="rId14" name="Option Button 33">
          <controlPr defaultSize="0" autoFill="0" autoLine="0" autoPict="0">
            <anchor moveWithCells="1">
              <from>
                <xdr:col>5</xdr:col>
                <xdr:colOff>771525</xdr:colOff>
                <xdr:row>7</xdr:row>
                <xdr:rowOff>28575</xdr:rowOff>
              </from>
              <to>
                <xdr:col>5</xdr:col>
                <xdr:colOff>1743075</xdr:colOff>
                <xdr:row>7</xdr:row>
                <xdr:rowOff>228600</xdr:rowOff>
              </to>
            </anchor>
          </controlPr>
        </control>
      </mc:Choice>
    </mc:AlternateContent>
    <mc:AlternateContent xmlns:mc="http://schemas.openxmlformats.org/markup-compatibility/2006">
      <mc:Choice Requires="x14">
        <control shapeId="1058" r:id="rId15" name="Option Button 34">
          <controlPr defaultSize="0" autoFill="0" autoLine="0" autoPict="0">
            <anchor moveWithCells="1">
              <from>
                <xdr:col>5</xdr:col>
                <xdr:colOff>762000</xdr:colOff>
                <xdr:row>8</xdr:row>
                <xdr:rowOff>19050</xdr:rowOff>
              </from>
              <to>
                <xdr:col>5</xdr:col>
                <xdr:colOff>1733550</xdr:colOff>
                <xdr:row>8</xdr:row>
                <xdr:rowOff>228600</xdr:rowOff>
              </to>
            </anchor>
          </controlPr>
        </control>
      </mc:Choice>
    </mc:AlternateContent>
    <mc:AlternateContent xmlns:mc="http://schemas.openxmlformats.org/markup-compatibility/2006">
      <mc:Choice Requires="x14">
        <control shapeId="1060" r:id="rId16" name="Group Box 36">
          <controlPr defaultSize="0" autoFill="0" autoPict="0">
            <anchor moveWithCells="1">
              <from>
                <xdr:col>5</xdr:col>
                <xdr:colOff>695325</xdr:colOff>
                <xdr:row>11</xdr:row>
                <xdr:rowOff>9525</xdr:rowOff>
              </from>
              <to>
                <xdr:col>5</xdr:col>
                <xdr:colOff>2295525</xdr:colOff>
                <xdr:row>19</xdr:row>
                <xdr:rowOff>85725</xdr:rowOff>
              </to>
            </anchor>
          </controlPr>
        </control>
      </mc:Choice>
    </mc:AlternateContent>
    <mc:AlternateContent xmlns:mc="http://schemas.openxmlformats.org/markup-compatibility/2006">
      <mc:Choice Requires="x14">
        <control shapeId="1061" r:id="rId17" name="Group Box 37">
          <controlPr defaultSize="0" autoFill="0" autoPict="0">
            <anchor moveWithCells="1">
              <from>
                <xdr:col>6</xdr:col>
                <xdr:colOff>666750</xdr:colOff>
                <xdr:row>6</xdr:row>
                <xdr:rowOff>9525</xdr:rowOff>
              </from>
              <to>
                <xdr:col>9</xdr:col>
                <xdr:colOff>9525</xdr:colOff>
                <xdr:row>10</xdr:row>
                <xdr:rowOff>9525</xdr:rowOff>
              </to>
            </anchor>
          </controlPr>
        </control>
      </mc:Choice>
    </mc:AlternateContent>
    <mc:AlternateContent xmlns:mc="http://schemas.openxmlformats.org/markup-compatibility/2006">
      <mc:Choice Requires="x14">
        <control shapeId="1062" r:id="rId18" name="Option Button 38">
          <controlPr defaultSize="0" autoFill="0" autoLine="0" autoPict="0">
            <anchor moveWithCells="1">
              <from>
                <xdr:col>7</xdr:col>
                <xdr:colOff>66675</xdr:colOff>
                <xdr:row>6</xdr:row>
                <xdr:rowOff>238125</xdr:rowOff>
              </from>
              <to>
                <xdr:col>8</xdr:col>
                <xdr:colOff>352425</xdr:colOff>
                <xdr:row>7</xdr:row>
                <xdr:rowOff>209550</xdr:rowOff>
              </to>
            </anchor>
          </controlPr>
        </control>
      </mc:Choice>
    </mc:AlternateContent>
    <mc:AlternateContent xmlns:mc="http://schemas.openxmlformats.org/markup-compatibility/2006">
      <mc:Choice Requires="x14">
        <control shapeId="1063" r:id="rId19" name="Option Button 39">
          <controlPr defaultSize="0" autoFill="0" autoLine="0" autoPict="0">
            <anchor moveWithCells="1">
              <from>
                <xdr:col>7</xdr:col>
                <xdr:colOff>66675</xdr:colOff>
                <xdr:row>8</xdr:row>
                <xdr:rowOff>19050</xdr:rowOff>
              </from>
              <to>
                <xdr:col>8</xdr:col>
                <xdr:colOff>352425</xdr:colOff>
                <xdr:row>8</xdr:row>
                <xdr:rowOff>228600</xdr:rowOff>
              </to>
            </anchor>
          </controlPr>
        </control>
      </mc:Choice>
    </mc:AlternateContent>
    <mc:AlternateContent xmlns:mc="http://schemas.openxmlformats.org/markup-compatibility/2006">
      <mc:Choice Requires="x14">
        <control shapeId="1064" r:id="rId20" name="Group Box 40">
          <controlPr defaultSize="0" autoFill="0" autoPict="0">
            <anchor moveWithCells="1">
              <from>
                <xdr:col>7</xdr:col>
                <xdr:colOff>0</xdr:colOff>
                <xdr:row>10</xdr:row>
                <xdr:rowOff>228600</xdr:rowOff>
              </from>
              <to>
                <xdr:col>8</xdr:col>
                <xdr:colOff>676275</xdr:colOff>
                <xdr:row>15</xdr:row>
                <xdr:rowOff>9525</xdr:rowOff>
              </to>
            </anchor>
          </controlPr>
        </control>
      </mc:Choice>
    </mc:AlternateContent>
    <mc:AlternateContent xmlns:mc="http://schemas.openxmlformats.org/markup-compatibility/2006">
      <mc:Choice Requires="x14">
        <control shapeId="1065" r:id="rId21" name="Option Button 41">
          <controlPr defaultSize="0" autoFill="0" autoLine="0" autoPict="0">
            <anchor moveWithCells="1">
              <from>
                <xdr:col>7</xdr:col>
                <xdr:colOff>114300</xdr:colOff>
                <xdr:row>12</xdr:row>
                <xdr:rowOff>9525</xdr:rowOff>
              </from>
              <to>
                <xdr:col>8</xdr:col>
                <xdr:colOff>390525</xdr:colOff>
                <xdr:row>12</xdr:row>
                <xdr:rowOff>209550</xdr:rowOff>
              </to>
            </anchor>
          </controlPr>
        </control>
      </mc:Choice>
    </mc:AlternateContent>
    <mc:AlternateContent xmlns:mc="http://schemas.openxmlformats.org/markup-compatibility/2006">
      <mc:Choice Requires="x14">
        <control shapeId="1066" r:id="rId22" name="Option Button 42">
          <controlPr defaultSize="0" autoFill="0" autoLine="0" autoPict="0">
            <anchor moveWithCells="1">
              <from>
                <xdr:col>7</xdr:col>
                <xdr:colOff>104775</xdr:colOff>
                <xdr:row>13</xdr:row>
                <xdr:rowOff>28575</xdr:rowOff>
              </from>
              <to>
                <xdr:col>8</xdr:col>
                <xdr:colOff>381000</xdr:colOff>
                <xdr:row>13</xdr:row>
                <xdr:rowOff>228600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C17B4-5B0E-482B-A8E2-A913F3E9E340}">
  <sheetPr codeName="Sheet5"/>
  <dimension ref="B5:E16"/>
  <sheetViews>
    <sheetView topLeftCell="B11" workbookViewId="0">
      <selection activeCell="D21" sqref="D21"/>
    </sheetView>
  </sheetViews>
  <sheetFormatPr defaultRowHeight="18.75"/>
  <cols>
    <col min="2" max="2" width="18.75" customWidth="1"/>
    <col min="3" max="3" width="8.75" bestFit="1" customWidth="1"/>
    <col min="4" max="4" width="64" customWidth="1"/>
    <col min="5" max="5" width="45" customWidth="1"/>
  </cols>
  <sheetData>
    <row r="5" spans="2:5">
      <c r="B5" s="21" t="s">
        <v>8888</v>
      </c>
      <c r="C5" s="21" t="s">
        <v>8889</v>
      </c>
      <c r="D5" s="21" t="s">
        <v>8890</v>
      </c>
      <c r="E5" s="22" t="s">
        <v>8892</v>
      </c>
    </row>
    <row r="6" spans="2:5" ht="112.5">
      <c r="B6" s="19">
        <v>43951</v>
      </c>
      <c r="C6" s="9">
        <v>0.1</v>
      </c>
      <c r="D6" s="20" t="s">
        <v>8891</v>
      </c>
      <c r="E6" s="23" t="s">
        <v>8893</v>
      </c>
    </row>
    <row r="7" spans="2:5" ht="93.75">
      <c r="B7" s="19">
        <v>43951</v>
      </c>
      <c r="C7" s="9">
        <v>0.2</v>
      </c>
      <c r="D7" s="20" t="s">
        <v>8895</v>
      </c>
      <c r="E7" s="23" t="s">
        <v>8894</v>
      </c>
    </row>
    <row r="8" spans="2:5" ht="75">
      <c r="B8" s="19">
        <v>43952</v>
      </c>
      <c r="C8" s="9">
        <v>0.3</v>
      </c>
      <c r="D8" s="20" t="s">
        <v>8897</v>
      </c>
      <c r="E8" s="23" t="s">
        <v>8896</v>
      </c>
    </row>
    <row r="9" spans="2:5">
      <c r="B9" s="19">
        <v>43952</v>
      </c>
      <c r="C9" s="9">
        <v>0.4</v>
      </c>
      <c r="D9" s="9" t="s">
        <v>8898</v>
      </c>
      <c r="E9" s="9" t="s">
        <v>8894</v>
      </c>
    </row>
    <row r="10" spans="2:5" ht="37.5">
      <c r="B10" s="19">
        <v>43953</v>
      </c>
      <c r="C10" s="9">
        <v>0.5</v>
      </c>
      <c r="D10" s="20" t="s">
        <v>8899</v>
      </c>
      <c r="E10" s="9" t="s">
        <v>8894</v>
      </c>
    </row>
    <row r="11" spans="2:5">
      <c r="B11" s="19">
        <v>43955</v>
      </c>
      <c r="C11" s="9">
        <v>0.6</v>
      </c>
      <c r="D11" s="9" t="s">
        <v>8905</v>
      </c>
      <c r="E11" s="9" t="s">
        <v>8894</v>
      </c>
    </row>
    <row r="12" spans="2:5">
      <c r="B12" s="19">
        <v>43964</v>
      </c>
      <c r="C12" s="9">
        <v>0.7</v>
      </c>
      <c r="D12" s="9" t="s">
        <v>8906</v>
      </c>
      <c r="E12" s="9" t="s">
        <v>8894</v>
      </c>
    </row>
    <row r="13" spans="2:5">
      <c r="B13" s="19">
        <v>43965</v>
      </c>
      <c r="C13" s="9">
        <v>0.8</v>
      </c>
      <c r="D13" s="9" t="s">
        <v>8911</v>
      </c>
      <c r="E13" s="9" t="s">
        <v>8894</v>
      </c>
    </row>
    <row r="14" spans="2:5" ht="75">
      <c r="B14" s="19">
        <v>44494</v>
      </c>
      <c r="C14" s="9">
        <v>0.9</v>
      </c>
      <c r="D14" s="20" t="s">
        <v>8930</v>
      </c>
      <c r="E14" s="9" t="s">
        <v>8931</v>
      </c>
    </row>
    <row r="15" spans="2:5" ht="93.75">
      <c r="B15" s="19">
        <v>44628</v>
      </c>
      <c r="C15" s="9">
        <v>1</v>
      </c>
      <c r="D15" s="20" t="s">
        <v>8985</v>
      </c>
      <c r="E15" s="20" t="s">
        <v>8986</v>
      </c>
    </row>
    <row r="16" spans="2:5" ht="93.75">
      <c r="B16" s="63">
        <v>44648</v>
      </c>
      <c r="C16" s="12">
        <v>1.1000000000000001</v>
      </c>
      <c r="D16" s="64" t="s">
        <v>8991</v>
      </c>
      <c r="E16" s="20" t="s">
        <v>8986</v>
      </c>
    </row>
  </sheetData>
  <phoneticPr fontId="5"/>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13794F-C00E-4B5B-80F9-C2B4983D9E5C}">
  <sheetPr codeName="Sheet8"/>
  <dimension ref="A1:O21"/>
  <sheetViews>
    <sheetView workbookViewId="0">
      <selection activeCell="C21" sqref="C21"/>
    </sheetView>
  </sheetViews>
  <sheetFormatPr defaultRowHeight="18.75"/>
  <cols>
    <col min="11" max="11" width="18.75" customWidth="1"/>
  </cols>
  <sheetData>
    <row r="1" spans="1:15">
      <c r="A1" s="8" t="s">
        <v>8929</v>
      </c>
    </row>
    <row r="2" spans="1:15">
      <c r="B2" t="s">
        <v>8922</v>
      </c>
      <c r="D2" s="60" t="s">
        <v>8928</v>
      </c>
      <c r="E2" s="60"/>
      <c r="F2" s="60"/>
      <c r="G2" s="60"/>
      <c r="H2" s="60"/>
      <c r="I2" s="60"/>
      <c r="J2" s="60"/>
      <c r="K2" s="60"/>
    </row>
    <row r="3" spans="1:15">
      <c r="C3" t="s">
        <v>8923</v>
      </c>
      <c r="D3" s="61" t="str">
        <f>CONCATENATE($D$2,"\_bk")</f>
        <v>C:\Users\miph272640\PycharmProjects\VocalSoft\Output\SSML\_bk</v>
      </c>
      <c r="E3" s="61"/>
      <c r="F3" s="61"/>
      <c r="G3" s="61"/>
      <c r="H3" s="61"/>
      <c r="I3" s="61"/>
      <c r="J3" s="61"/>
      <c r="K3" s="61"/>
      <c r="N3" s="60"/>
      <c r="O3" t="s">
        <v>8939</v>
      </c>
    </row>
    <row r="4" spans="1:15">
      <c r="C4" t="s">
        <v>8924</v>
      </c>
      <c r="D4" s="61" t="str">
        <f>CONCATENATE($D$2,"\_out")</f>
        <v>C:\Users\miph272640\PycharmProjects\VocalSoft\Output\SSML\_out</v>
      </c>
      <c r="E4" s="61"/>
      <c r="F4" s="61"/>
      <c r="G4" s="61"/>
      <c r="H4" s="61"/>
      <c r="I4" s="61"/>
      <c r="J4" s="61"/>
      <c r="K4" s="61"/>
      <c r="N4" s="61"/>
      <c r="O4" t="s">
        <v>8940</v>
      </c>
    </row>
    <row r="5" spans="1:15">
      <c r="B5" t="s">
        <v>8925</v>
      </c>
      <c r="D5" s="60" t="s">
        <v>8944</v>
      </c>
      <c r="E5" s="60"/>
      <c r="F5" s="60"/>
      <c r="G5" s="60"/>
      <c r="H5" s="60"/>
      <c r="I5" s="60"/>
      <c r="J5" s="60"/>
      <c r="K5" s="60"/>
    </row>
    <row r="6" spans="1:15">
      <c r="C6" t="s">
        <v>8923</v>
      </c>
      <c r="D6" s="61" t="str">
        <f>CONCATENATE($D$5,"\_bk")</f>
        <v>C:\Users\miph272640\PycharmProjects\VocalSoft\Output\Audio\_bk</v>
      </c>
      <c r="E6" s="61"/>
      <c r="F6" s="61"/>
      <c r="G6" s="61"/>
      <c r="H6" s="61"/>
      <c r="I6" s="61"/>
      <c r="J6" s="61"/>
      <c r="K6" s="61"/>
    </row>
    <row r="7" spans="1:15">
      <c r="C7" t="s">
        <v>8924</v>
      </c>
      <c r="D7" s="61" t="str">
        <f>CONCATENATE($D$5,"\_out")</f>
        <v>C:\Users\miph272640\PycharmProjects\VocalSoft\Output\Audio\_out</v>
      </c>
      <c r="E7" s="61"/>
      <c r="F7" s="61"/>
      <c r="G7" s="61"/>
      <c r="H7" s="61"/>
      <c r="I7" s="61"/>
      <c r="J7" s="61"/>
      <c r="K7" s="61"/>
    </row>
    <row r="8" spans="1:15">
      <c r="B8" t="s">
        <v>8926</v>
      </c>
      <c r="D8" s="60" t="s">
        <v>8936</v>
      </c>
      <c r="E8" s="60"/>
      <c r="F8" s="60"/>
      <c r="G8" s="60"/>
      <c r="H8" s="60"/>
      <c r="I8" s="60"/>
      <c r="J8" s="60"/>
      <c r="K8" s="60"/>
    </row>
    <row r="9" spans="1:15">
      <c r="C9" t="s">
        <v>8923</v>
      </c>
      <c r="D9" s="61" t="str">
        <f>CONCATENATE($D$8,"\_bk")</f>
        <v>C:\Users\miph272640\PycharmProjects\VocalSoft\Output\Image\_bk</v>
      </c>
      <c r="E9" s="61"/>
      <c r="F9" s="61"/>
      <c r="G9" s="61"/>
      <c r="H9" s="61"/>
      <c r="I9" s="61"/>
      <c r="J9" s="61"/>
      <c r="K9" s="61"/>
    </row>
    <row r="10" spans="1:15">
      <c r="C10" t="s">
        <v>8924</v>
      </c>
      <c r="D10" s="61" t="str">
        <f>CONCATENATE($D$8,"\_out")</f>
        <v>C:\Users\miph272640\PycharmProjects\VocalSoft\Output\Image\_out</v>
      </c>
      <c r="E10" s="61"/>
      <c r="F10" s="61"/>
      <c r="G10" s="61"/>
      <c r="H10" s="61"/>
      <c r="I10" s="61"/>
      <c r="J10" s="61"/>
      <c r="K10" s="61"/>
    </row>
    <row r="11" spans="1:15">
      <c r="B11" t="s">
        <v>8927</v>
      </c>
      <c r="D11" s="60" t="s">
        <v>8937</v>
      </c>
      <c r="E11" s="60"/>
      <c r="F11" s="60"/>
      <c r="G11" s="60"/>
      <c r="H11" s="60"/>
      <c r="I11" s="60"/>
      <c r="J11" s="60"/>
      <c r="K11" s="60"/>
    </row>
    <row r="12" spans="1:15">
      <c r="C12" t="s">
        <v>8923</v>
      </c>
      <c r="D12" s="61" t="str">
        <f>CONCATENATE($D$11,"\_bk")</f>
        <v>C:\Users\miph272640\PycharmProjects\VocalSoft\Output\Video\_bk</v>
      </c>
      <c r="E12" s="61"/>
      <c r="F12" s="61"/>
      <c r="G12" s="61"/>
      <c r="H12" s="61"/>
      <c r="I12" s="61"/>
      <c r="J12" s="61"/>
      <c r="K12" s="61"/>
    </row>
    <row r="13" spans="1:15">
      <c r="C13" t="s">
        <v>8924</v>
      </c>
      <c r="D13" s="61" t="str">
        <f>CONCATENATE($D$11,"\_out")</f>
        <v>C:\Users\miph272640\PycharmProjects\VocalSoft\Output\Video\_out</v>
      </c>
      <c r="E13" s="61"/>
      <c r="F13" s="61"/>
      <c r="G13" s="61"/>
      <c r="H13" s="61"/>
      <c r="I13" s="61"/>
      <c r="J13" s="61"/>
      <c r="K13" s="61"/>
    </row>
    <row r="14" spans="1:15">
      <c r="A14" s="8" t="s">
        <v>8942</v>
      </c>
    </row>
    <row r="15" spans="1:15">
      <c r="A15" s="8"/>
      <c r="B15" t="s">
        <v>8946</v>
      </c>
      <c r="D15" t="s">
        <v>8945</v>
      </c>
    </row>
    <row r="16" spans="1:15">
      <c r="B16" t="s">
        <v>8943</v>
      </c>
      <c r="D16" s="60" t="s">
        <v>8941</v>
      </c>
      <c r="E16" s="60"/>
      <c r="F16" s="60"/>
      <c r="G16" s="60"/>
      <c r="H16" s="60"/>
      <c r="I16" s="60"/>
      <c r="J16" s="60"/>
      <c r="K16" s="60"/>
    </row>
    <row r="17" spans="1:11">
      <c r="C17" t="s">
        <v>8938</v>
      </c>
      <c r="D17" s="61" t="str">
        <f>CONCATENATE(D16,"\T2S_Generator.py")</f>
        <v>C:\Users\miph272640\PycharmProjects\VocalSoft\Src\T2S_Generator.py</v>
      </c>
      <c r="E17" s="61"/>
      <c r="F17" s="61"/>
      <c r="G17" s="61"/>
      <c r="H17" s="61"/>
      <c r="I17" s="61"/>
      <c r="J17" s="61"/>
      <c r="K17" s="61"/>
    </row>
    <row r="18" spans="1:11">
      <c r="C18" t="s">
        <v>8927</v>
      </c>
      <c r="D18" s="61" t="str">
        <f>CONCATENATE(D16,"\Video_Generator.py")</f>
        <v>C:\Users\miph272640\PycharmProjects\VocalSoft\Src\Video_Generator.py</v>
      </c>
      <c r="E18" s="61"/>
      <c r="F18" s="61"/>
      <c r="G18" s="61"/>
      <c r="H18" s="61"/>
      <c r="I18" s="61"/>
      <c r="J18" s="61"/>
      <c r="K18" s="61"/>
    </row>
    <row r="19" spans="1:11">
      <c r="A19" s="8" t="s">
        <v>8987</v>
      </c>
    </row>
    <row r="20" spans="1:11">
      <c r="B20" t="s">
        <v>8988</v>
      </c>
      <c r="D20" s="60" t="s">
        <v>8990</v>
      </c>
      <c r="E20" s="60"/>
      <c r="F20" s="60"/>
      <c r="G20" s="60"/>
      <c r="H20" s="60"/>
      <c r="I20" s="60"/>
      <c r="J20" s="60"/>
      <c r="K20" s="60"/>
    </row>
    <row r="21" spans="1:11">
      <c r="C21" t="s">
        <v>8989</v>
      </c>
      <c r="D21" s="61" t="str">
        <f>CONCATENATE(D20,"\GGTranslate_apiKey.txt")</f>
        <v>C:\Users\miph272640\PycharmProjects\VocalSoft\Macro\GGTranslate_apiKey.txt</v>
      </c>
      <c r="E21" s="61"/>
      <c r="F21" s="61"/>
      <c r="G21" s="61"/>
      <c r="H21" s="61"/>
      <c r="I21" s="61"/>
      <c r="J21" s="61"/>
      <c r="K21" s="61"/>
    </row>
  </sheetData>
  <phoneticPr fontId="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2E727-FEE9-48CF-8D6D-3307BDD3BD10}">
  <sheetPr codeName="Sheet4"/>
  <dimension ref="A1:E7"/>
  <sheetViews>
    <sheetView workbookViewId="0">
      <selection activeCell="E1" sqref="E1"/>
    </sheetView>
  </sheetViews>
  <sheetFormatPr defaultRowHeight="18.75"/>
  <sheetData>
    <row r="1" spans="1:5">
      <c r="A1" t="s">
        <v>8879</v>
      </c>
      <c r="E1" s="1" t="s">
        <v>0</v>
      </c>
    </row>
    <row r="2" spans="1:5">
      <c r="A2" t="s">
        <v>8882</v>
      </c>
    </row>
    <row r="7" spans="1:5">
      <c r="B7" t="str">
        <f>LOWER(A7)</f>
        <v/>
      </c>
    </row>
  </sheetData>
  <phoneticPr fontId="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7C43-C384-4DD6-A3C7-BF42E8BB9040}">
  <sheetPr codeName="Sheet2"/>
  <dimension ref="A1:K251"/>
  <sheetViews>
    <sheetView workbookViewId="0">
      <selection activeCell="B2" sqref="B2:B251"/>
    </sheetView>
  </sheetViews>
  <sheetFormatPr defaultColWidth="9" defaultRowHeight="18.75"/>
  <cols>
    <col min="1" max="1" width="40.125" style="14" bestFit="1" customWidth="1"/>
    <col min="2" max="2" width="26.875" style="17" bestFit="1" customWidth="1"/>
    <col min="3" max="4" width="10.375" style="14" customWidth="1"/>
    <col min="5" max="5" width="8.375" style="14" customWidth="1"/>
    <col min="6" max="6" width="9" style="14"/>
    <col min="7" max="7" width="15.125" style="1" bestFit="1" customWidth="1"/>
    <col min="8" max="8" width="18.25" style="1" customWidth="1"/>
    <col min="9" max="11" width="9" style="1"/>
    <col min="12" max="12" width="24.125" style="1" bestFit="1" customWidth="1"/>
    <col min="13" max="16384" width="9" style="1"/>
  </cols>
  <sheetData>
    <row r="1" spans="1:11">
      <c r="A1" s="15" t="s">
        <v>8880</v>
      </c>
      <c r="B1" s="18" t="s">
        <v>8881</v>
      </c>
      <c r="C1" s="14" t="s">
        <v>1</v>
      </c>
      <c r="D1" s="14" t="s">
        <v>2</v>
      </c>
      <c r="E1" s="14" t="s">
        <v>3</v>
      </c>
      <c r="F1" s="14" t="s">
        <v>4</v>
      </c>
      <c r="G1" s="14" t="s">
        <v>8900</v>
      </c>
      <c r="H1" s="14" t="s">
        <v>8901</v>
      </c>
      <c r="I1" s="14" t="s">
        <v>8902</v>
      </c>
      <c r="J1" s="14" t="s">
        <v>8903</v>
      </c>
      <c r="K1" s="14" t="s">
        <v>8904</v>
      </c>
    </row>
    <row r="2" spans="1:11">
      <c r="A2" s="14" t="str">
        <f>Master!B8</f>
        <v>代表する</v>
      </c>
      <c r="B2" s="17" t="str">
        <f>TRIM(CONCATENATE($C2," ",$D2," ",$E2," ",$F2," ",$G2," ",$H2," ",$I2," ",$J2," ",$K2))</f>
        <v>ĐẠI BIỂU</v>
      </c>
      <c r="C2" s="16" t="str">
        <f>IF(ISNA(VLOOKUP(MID($A2,1,1),Kanji_2_HanViet!$A:$C,2,FALSE)),"",VLOOKUP(MID($A2,1,1),Kanji_2_HanViet!$A:$C,2,FALSE))</f>
        <v>ĐẠI</v>
      </c>
      <c r="D2" s="16" t="str">
        <f>IF(ISNA(VLOOKUP(MID($A2,2,1),Kanji_2_HanViet!$A:$C,2,FALSE)),"",VLOOKUP(MID($A2,2,1),Kanji_2_HanViet!$A:$C,2,FALSE))</f>
        <v>BIỂU</v>
      </c>
      <c r="E2" s="16" t="str">
        <f>IF(ISNA(VLOOKUP(MID($A2,3,1),Kanji_2_HanViet!$A:$C,2,FALSE)),"",VLOOKUP(MID($A2,3,1),Kanji_2_HanViet!$A:$C,2,FALSE))</f>
        <v/>
      </c>
      <c r="F2" s="16" t="str">
        <f>IF(ISNA(VLOOKUP(MID($A2,4,1),Kanji_2_HanViet!$A:$C,2,FALSE)),"",VLOOKUP(MID($A2,4,1),Kanji_2_HanViet!$A:$C,2,FALSE))</f>
        <v/>
      </c>
      <c r="G2" s="16" t="str">
        <f>IF(ISNA(VLOOKUP(MID($A2,5,1),Kanji_2_HanViet!$A:$C,2,FALSE)),"",VLOOKUP(MID($A2,5,1),Kanji_2_HanViet!$A:$C,2,FALSE))</f>
        <v/>
      </c>
      <c r="H2" s="16" t="str">
        <f>IF(ISNA(VLOOKUP(MID($A2,6,1),Kanji_2_HanViet!$A:$C,2,FALSE)),"",VLOOKUP(MID($A2,6,1),Kanji_2_HanViet!$A:$C,2,FALSE))</f>
        <v/>
      </c>
      <c r="I2" s="16" t="str">
        <f>IF(ISNA(VLOOKUP(MID($A2,7,1),Kanji_2_HanViet!$A:$C,2,FALSE)),"",VLOOKUP(MID($A2,7,1),Kanji_2_HanViet!$A:$C,2,FALSE))</f>
        <v/>
      </c>
      <c r="J2" s="16" t="str">
        <f>IF(ISNA(VLOOKUP(MID($A2,8,1),Kanji_2_HanViet!$A:$C,2,FALSE)),"",VLOOKUP(MID($A2,8,1),Kanji_2_HanViet!$A:$C,2,FALSE))</f>
        <v/>
      </c>
      <c r="K2" s="16" t="str">
        <f>IF(ISNA(VLOOKUP(MID($A2,9,1),Kanji_2_HanViet!$A:$C,2,FALSE)),"",VLOOKUP(MID($A2,9,1),Kanji_2_HanViet!$A:$C,2,FALSE))</f>
        <v/>
      </c>
    </row>
    <row r="3" spans="1:11">
      <c r="A3" s="14" t="str">
        <f>Master!B9</f>
        <v>いつも</v>
      </c>
      <c r="B3" s="17" t="str">
        <f t="shared" ref="B3:B66" si="0">TRIM(CONCATENATE($C3," ",$D3," ",$E3," ",$F3," ",$G3," ",$H3," ",$I3," ",$J3," ",$K3))</f>
        <v/>
      </c>
      <c r="C3" s="16" t="str">
        <f>IF(ISNA(VLOOKUP(MID($A3,1,1),Kanji_2_HanViet!$A:$C,2,FALSE)),"",VLOOKUP(MID($A3,1,1),Kanji_2_HanViet!$A:$C,2,FALSE))</f>
        <v/>
      </c>
      <c r="D3" s="16" t="str">
        <f>IF(ISNA(VLOOKUP(MID($A3,2,1),Kanji_2_HanViet!$A:$C,2,FALSE)),"",VLOOKUP(MID($A3,2,1),Kanji_2_HanViet!$A:$C,2,FALSE))</f>
        <v/>
      </c>
      <c r="E3" s="16" t="str">
        <f>IF(ISNA(VLOOKUP(MID($A3,3,1),Kanji_2_HanViet!$A:$C,2,FALSE)),"",VLOOKUP(MID($A3,3,1),Kanji_2_HanViet!$A:$C,2,FALSE))</f>
        <v/>
      </c>
      <c r="F3" s="16" t="str">
        <f>IF(ISNA(VLOOKUP(MID($A3,4,1),Kanji_2_HanViet!$A:$C,2,FALSE)),"",VLOOKUP(MID($A3,4,1),Kanji_2_HanViet!$A:$C,2,FALSE))</f>
        <v/>
      </c>
      <c r="G3" s="16" t="str">
        <f>IF(ISNA(VLOOKUP(MID($A3,5,1),Kanji_2_HanViet!$A:$C,2,FALSE)),"",VLOOKUP(MID($A3,5,1),Kanji_2_HanViet!$A:$C,2,FALSE))</f>
        <v/>
      </c>
      <c r="H3" s="16" t="str">
        <f>IF(ISNA(VLOOKUP(MID($A3,6,1),Kanji_2_HanViet!$A:$C,2,FALSE)),"",VLOOKUP(MID($A3,6,1),Kanji_2_HanViet!$A:$C,2,FALSE))</f>
        <v/>
      </c>
      <c r="I3" s="16" t="str">
        <f>IF(ISNA(VLOOKUP(MID($A3,7,1),Kanji_2_HanViet!$A:$C,2,FALSE)),"",VLOOKUP(MID($A3,7,1),Kanji_2_HanViet!$A:$C,2,FALSE))</f>
        <v/>
      </c>
      <c r="J3" s="16" t="str">
        <f>IF(ISNA(VLOOKUP(MID($A3,8,1),Kanji_2_HanViet!$A:$C,2,FALSE)),"",VLOOKUP(MID($A3,8,1),Kanji_2_HanViet!$A:$C,2,FALSE))</f>
        <v/>
      </c>
      <c r="K3" s="16" t="str">
        <f>IF(ISNA(VLOOKUP(MID($A3,9,1),Kanji_2_HanViet!$A:$C,2,FALSE)),"",VLOOKUP(MID($A3,9,1),Kanji_2_HanViet!$A:$C,2,FALSE))</f>
        <v/>
      </c>
    </row>
    <row r="4" spans="1:11">
      <c r="A4" s="14" t="str">
        <f>Master!B10</f>
        <v>奨学金</v>
      </c>
      <c r="B4" s="17" t="str">
        <f t="shared" si="0"/>
        <v>TƯỞNG HỌC KIM</v>
      </c>
      <c r="C4" s="16" t="str">
        <f>IF(ISNA(VLOOKUP(MID($A4,1,1),Kanji_2_HanViet!$A:$C,2,FALSE)),"",VLOOKUP(MID($A4,1,1),Kanji_2_HanViet!$A:$C,2,FALSE))</f>
        <v>TƯỞNG</v>
      </c>
      <c r="D4" s="16" t="str">
        <f>IF(ISNA(VLOOKUP(MID($A4,2,1),Kanji_2_HanViet!$A:$C,2,FALSE)),"",VLOOKUP(MID($A4,2,1),Kanji_2_HanViet!$A:$C,2,FALSE))</f>
        <v>HỌC</v>
      </c>
      <c r="E4" s="16" t="str">
        <f>IF(ISNA(VLOOKUP(MID($A4,3,1),Kanji_2_HanViet!$A:$C,2,FALSE)),"",VLOOKUP(MID($A4,3,1),Kanji_2_HanViet!$A:$C,2,FALSE))</f>
        <v>KIM</v>
      </c>
      <c r="F4" s="16" t="str">
        <f>IF(ISNA(VLOOKUP(MID($A4,4,1),Kanji_2_HanViet!$A:$C,2,FALSE)),"",VLOOKUP(MID($A4,4,1),Kanji_2_HanViet!$A:$C,2,FALSE))</f>
        <v/>
      </c>
      <c r="G4" s="16" t="str">
        <f>IF(ISNA(VLOOKUP(MID($A4,5,1),Kanji_2_HanViet!$A:$C,2,FALSE)),"",VLOOKUP(MID($A4,5,1),Kanji_2_HanViet!$A:$C,2,FALSE))</f>
        <v/>
      </c>
      <c r="H4" s="16" t="str">
        <f>IF(ISNA(VLOOKUP(MID($A4,6,1),Kanji_2_HanViet!$A:$C,2,FALSE)),"",VLOOKUP(MID($A4,6,1),Kanji_2_HanViet!$A:$C,2,FALSE))</f>
        <v/>
      </c>
      <c r="I4" s="16" t="str">
        <f>IF(ISNA(VLOOKUP(MID($A4,7,1),Kanji_2_HanViet!$A:$C,2,FALSE)),"",VLOOKUP(MID($A4,7,1),Kanji_2_HanViet!$A:$C,2,FALSE))</f>
        <v/>
      </c>
      <c r="J4" s="16" t="str">
        <f>IF(ISNA(VLOOKUP(MID($A4,8,1),Kanji_2_HanViet!$A:$C,2,FALSE)),"",VLOOKUP(MID($A4,8,1),Kanji_2_HanViet!$A:$C,2,FALSE))</f>
        <v/>
      </c>
      <c r="K4" s="16" t="str">
        <f>IF(ISNA(VLOOKUP(MID($A4,9,1),Kanji_2_HanViet!$A:$C,2,FALSE)),"",VLOOKUP(MID($A4,9,1),Kanji_2_HanViet!$A:$C,2,FALSE))</f>
        <v/>
      </c>
    </row>
    <row r="5" spans="1:11">
      <c r="A5" s="14" t="str">
        <f>Master!B11</f>
        <v>明るい</v>
      </c>
      <c r="B5" s="17" t="str">
        <f t="shared" si="0"/>
        <v>MINH</v>
      </c>
      <c r="C5" s="16" t="str">
        <f>IF(ISNA(VLOOKUP(MID($A5,1,1),Kanji_2_HanViet!$A:$C,2,FALSE)),"",VLOOKUP(MID($A5,1,1),Kanji_2_HanViet!$A:$C,2,FALSE))</f>
        <v>MINH</v>
      </c>
      <c r="D5" s="16" t="str">
        <f>IF(ISNA(VLOOKUP(MID($A5,2,1),Kanji_2_HanViet!$A:$C,2,FALSE)),"",VLOOKUP(MID($A5,2,1),Kanji_2_HanViet!$A:$C,2,FALSE))</f>
        <v/>
      </c>
      <c r="E5" s="16" t="str">
        <f>IF(ISNA(VLOOKUP(MID($A5,3,1),Kanji_2_HanViet!$A:$C,2,FALSE)),"",VLOOKUP(MID($A5,3,1),Kanji_2_HanViet!$A:$C,2,FALSE))</f>
        <v/>
      </c>
      <c r="F5" s="16" t="str">
        <f>IF(ISNA(VLOOKUP(MID($A5,4,1),Kanji_2_HanViet!$A:$C,2,FALSE)),"",VLOOKUP(MID($A5,4,1),Kanji_2_HanViet!$A:$C,2,FALSE))</f>
        <v/>
      </c>
      <c r="G5" s="16" t="str">
        <f>IF(ISNA(VLOOKUP(MID($A5,5,1),Kanji_2_HanViet!$A:$C,2,FALSE)),"",VLOOKUP(MID($A5,5,1),Kanji_2_HanViet!$A:$C,2,FALSE))</f>
        <v/>
      </c>
      <c r="H5" s="16" t="str">
        <f>IF(ISNA(VLOOKUP(MID($A5,6,1),Kanji_2_HanViet!$A:$C,2,FALSE)),"",VLOOKUP(MID($A5,6,1),Kanji_2_HanViet!$A:$C,2,FALSE))</f>
        <v/>
      </c>
      <c r="I5" s="16" t="str">
        <f>IF(ISNA(VLOOKUP(MID($A5,7,1),Kanji_2_HanViet!$A:$C,2,FALSE)),"",VLOOKUP(MID($A5,7,1),Kanji_2_HanViet!$A:$C,2,FALSE))</f>
        <v/>
      </c>
      <c r="J5" s="16" t="str">
        <f>IF(ISNA(VLOOKUP(MID($A5,8,1),Kanji_2_HanViet!$A:$C,2,FALSE)),"",VLOOKUP(MID($A5,8,1),Kanji_2_HanViet!$A:$C,2,FALSE))</f>
        <v/>
      </c>
      <c r="K5" s="16" t="str">
        <f>IF(ISNA(VLOOKUP(MID($A5,9,1),Kanji_2_HanViet!$A:$C,2,FALSE)),"",VLOOKUP(MID($A5,9,1),Kanji_2_HanViet!$A:$C,2,FALSE))</f>
        <v/>
      </c>
    </row>
    <row r="6" spans="1:11">
      <c r="A6" s="14" t="str">
        <f>Master!B12</f>
        <v>性格が明るい</v>
      </c>
      <c r="B6" s="17" t="str">
        <f t="shared" si="0"/>
        <v>TÍNH/TÁNH CÁCH MINH</v>
      </c>
      <c r="C6" s="16" t="str">
        <f>IF(ISNA(VLOOKUP(MID($A6,1,1),Kanji_2_HanViet!$A:$C,2,FALSE)),"",VLOOKUP(MID($A6,1,1),Kanji_2_HanViet!$A:$C,2,FALSE))</f>
        <v>TÍNH/TÁNH</v>
      </c>
      <c r="D6" s="16" t="str">
        <f>IF(ISNA(VLOOKUP(MID($A6,2,1),Kanji_2_HanViet!$A:$C,2,FALSE)),"",VLOOKUP(MID($A6,2,1),Kanji_2_HanViet!$A:$C,2,FALSE))</f>
        <v>CÁCH</v>
      </c>
      <c r="E6" s="16" t="str">
        <f>IF(ISNA(VLOOKUP(MID($A6,3,1),Kanji_2_HanViet!$A:$C,2,FALSE)),"",VLOOKUP(MID($A6,3,1),Kanji_2_HanViet!$A:$C,2,FALSE))</f>
        <v/>
      </c>
      <c r="F6" s="16" t="str">
        <f>IF(ISNA(VLOOKUP(MID($A6,4,1),Kanji_2_HanViet!$A:$C,2,FALSE)),"",VLOOKUP(MID($A6,4,1),Kanji_2_HanViet!$A:$C,2,FALSE))</f>
        <v>MINH</v>
      </c>
      <c r="G6" s="16" t="str">
        <f>IF(ISNA(VLOOKUP(MID($A6,5,1),Kanji_2_HanViet!$A:$C,2,FALSE)),"",VLOOKUP(MID($A6,5,1),Kanji_2_HanViet!$A:$C,2,FALSE))</f>
        <v/>
      </c>
      <c r="H6" s="16" t="str">
        <f>IF(ISNA(VLOOKUP(MID($A6,6,1),Kanji_2_HanViet!$A:$C,2,FALSE)),"",VLOOKUP(MID($A6,6,1),Kanji_2_HanViet!$A:$C,2,FALSE))</f>
        <v/>
      </c>
      <c r="I6" s="16" t="str">
        <f>IF(ISNA(VLOOKUP(MID($A6,7,1),Kanji_2_HanViet!$A:$C,2,FALSE)),"",VLOOKUP(MID($A6,7,1),Kanji_2_HanViet!$A:$C,2,FALSE))</f>
        <v/>
      </c>
      <c r="J6" s="16" t="str">
        <f>IF(ISNA(VLOOKUP(MID($A6,8,1),Kanji_2_HanViet!$A:$C,2,FALSE)),"",VLOOKUP(MID($A6,8,1),Kanji_2_HanViet!$A:$C,2,FALSE))</f>
        <v/>
      </c>
      <c r="K6" s="16" t="str">
        <f>IF(ISNA(VLOOKUP(MID($A6,9,1),Kanji_2_HanViet!$A:$C,2,FALSE)),"",VLOOKUP(MID($A6,9,1),Kanji_2_HanViet!$A:$C,2,FALSE))</f>
        <v/>
      </c>
    </row>
    <row r="7" spans="1:11">
      <c r="A7" s="14" t="str">
        <f>Master!B13</f>
        <v>父親</v>
      </c>
      <c r="B7" s="17" t="str">
        <f t="shared" si="0"/>
        <v>PHỤ THÂN</v>
      </c>
      <c r="C7" s="16" t="str">
        <f>IF(ISNA(VLOOKUP(MID($A7,1,1),Kanji_2_HanViet!$A:$C,2,FALSE)),"",VLOOKUP(MID($A7,1,1),Kanji_2_HanViet!$A:$C,2,FALSE))</f>
        <v>PHỤ</v>
      </c>
      <c r="D7" s="16" t="str">
        <f>IF(ISNA(VLOOKUP(MID($A7,2,1),Kanji_2_HanViet!$A:$C,2,FALSE)),"",VLOOKUP(MID($A7,2,1),Kanji_2_HanViet!$A:$C,2,FALSE))</f>
        <v>THÂN</v>
      </c>
      <c r="E7" s="16" t="str">
        <f>IF(ISNA(VLOOKUP(MID($A7,3,1),Kanji_2_HanViet!$A:$C,2,FALSE)),"",VLOOKUP(MID($A7,3,1),Kanji_2_HanViet!$A:$C,2,FALSE))</f>
        <v/>
      </c>
      <c r="F7" s="16" t="str">
        <f>IF(ISNA(VLOOKUP(MID($A7,4,1),Kanji_2_HanViet!$A:$C,2,FALSE)),"",VLOOKUP(MID($A7,4,1),Kanji_2_HanViet!$A:$C,2,FALSE))</f>
        <v/>
      </c>
      <c r="G7" s="16" t="str">
        <f>IF(ISNA(VLOOKUP(MID($A7,5,1),Kanji_2_HanViet!$A:$C,2,FALSE)),"",VLOOKUP(MID($A7,5,1),Kanji_2_HanViet!$A:$C,2,FALSE))</f>
        <v/>
      </c>
      <c r="H7" s="16" t="str">
        <f>IF(ISNA(VLOOKUP(MID($A7,6,1),Kanji_2_HanViet!$A:$C,2,FALSE)),"",VLOOKUP(MID($A7,6,1),Kanji_2_HanViet!$A:$C,2,FALSE))</f>
        <v/>
      </c>
      <c r="I7" s="16" t="str">
        <f>IF(ISNA(VLOOKUP(MID($A7,7,1),Kanji_2_HanViet!$A:$C,2,FALSE)),"",VLOOKUP(MID($A7,7,1),Kanji_2_HanViet!$A:$C,2,FALSE))</f>
        <v/>
      </c>
      <c r="J7" s="16" t="str">
        <f>IF(ISNA(VLOOKUP(MID($A7,8,1),Kanji_2_HanViet!$A:$C,2,FALSE)),"",VLOOKUP(MID($A7,8,1),Kanji_2_HanViet!$A:$C,2,FALSE))</f>
        <v/>
      </c>
      <c r="K7" s="16" t="str">
        <f>IF(ISNA(VLOOKUP(MID($A7,9,1),Kanji_2_HanViet!$A:$C,2,FALSE)),"",VLOOKUP(MID($A7,9,1),Kanji_2_HanViet!$A:$C,2,FALSE))</f>
        <v/>
      </c>
    </row>
    <row r="8" spans="1:11">
      <c r="A8" s="14" t="str">
        <f>Master!B14</f>
        <v>湖</v>
      </c>
      <c r="B8" s="17" t="str">
        <f t="shared" si="0"/>
        <v>HỒ</v>
      </c>
      <c r="C8" s="16" t="str">
        <f>IF(ISNA(VLOOKUP(MID($A8,1,1),Kanji_2_HanViet!$A:$C,2,FALSE)),"",VLOOKUP(MID($A8,1,1),Kanji_2_HanViet!$A:$C,2,FALSE))</f>
        <v>HỒ</v>
      </c>
      <c r="D8" s="16" t="str">
        <f>IF(ISNA(VLOOKUP(MID($A8,2,1),Kanji_2_HanViet!$A:$C,2,FALSE)),"",VLOOKUP(MID($A8,2,1),Kanji_2_HanViet!$A:$C,2,FALSE))</f>
        <v/>
      </c>
      <c r="E8" s="16" t="str">
        <f>IF(ISNA(VLOOKUP(MID($A8,3,1),Kanji_2_HanViet!$A:$C,2,FALSE)),"",VLOOKUP(MID($A8,3,1),Kanji_2_HanViet!$A:$C,2,FALSE))</f>
        <v/>
      </c>
      <c r="F8" s="16" t="str">
        <f>IF(ISNA(VLOOKUP(MID($A8,4,1),Kanji_2_HanViet!$A:$C,2,FALSE)),"",VLOOKUP(MID($A8,4,1),Kanji_2_HanViet!$A:$C,2,FALSE))</f>
        <v/>
      </c>
      <c r="G8" s="16" t="str">
        <f>IF(ISNA(VLOOKUP(MID($A8,5,1),Kanji_2_HanViet!$A:$C,2,FALSE)),"",VLOOKUP(MID($A8,5,1),Kanji_2_HanViet!$A:$C,2,FALSE))</f>
        <v/>
      </c>
      <c r="H8" s="16" t="str">
        <f>IF(ISNA(VLOOKUP(MID($A8,6,1),Kanji_2_HanViet!$A:$C,2,FALSE)),"",VLOOKUP(MID($A8,6,1),Kanji_2_HanViet!$A:$C,2,FALSE))</f>
        <v/>
      </c>
      <c r="I8" s="16" t="str">
        <f>IF(ISNA(VLOOKUP(MID($A8,7,1),Kanji_2_HanViet!$A:$C,2,FALSE)),"",VLOOKUP(MID($A8,7,1),Kanji_2_HanViet!$A:$C,2,FALSE))</f>
        <v/>
      </c>
      <c r="J8" s="16" t="str">
        <f>IF(ISNA(VLOOKUP(MID($A8,8,1),Kanji_2_HanViet!$A:$C,2,FALSE)),"",VLOOKUP(MID($A8,8,1),Kanji_2_HanViet!$A:$C,2,FALSE))</f>
        <v/>
      </c>
      <c r="K8" s="16" t="str">
        <f>IF(ISNA(VLOOKUP(MID($A8,9,1),Kanji_2_HanViet!$A:$C,2,FALSE)),"",VLOOKUP(MID($A8,9,1),Kanji_2_HanViet!$A:$C,2,FALSE))</f>
        <v/>
      </c>
    </row>
    <row r="9" spans="1:11">
      <c r="A9" s="14" t="str">
        <f>Master!B15</f>
        <v>目指す</v>
      </c>
      <c r="B9" s="17" t="str">
        <f t="shared" si="0"/>
        <v>MỤC CHỈ</v>
      </c>
      <c r="C9" s="16" t="str">
        <f>IF(ISNA(VLOOKUP(MID($A9,1,1),Kanji_2_HanViet!$A:$C,2,FALSE)),"",VLOOKUP(MID($A9,1,1),Kanji_2_HanViet!$A:$C,2,FALSE))</f>
        <v>MỤC</v>
      </c>
      <c r="D9" s="16" t="str">
        <f>IF(ISNA(VLOOKUP(MID($A9,2,1),Kanji_2_HanViet!$A:$C,2,FALSE)),"",VLOOKUP(MID($A9,2,1),Kanji_2_HanViet!$A:$C,2,FALSE))</f>
        <v>CHỈ</v>
      </c>
      <c r="E9" s="16" t="str">
        <f>IF(ISNA(VLOOKUP(MID($A9,3,1),Kanji_2_HanViet!$A:$C,2,FALSE)),"",VLOOKUP(MID($A9,3,1),Kanji_2_HanViet!$A:$C,2,FALSE))</f>
        <v/>
      </c>
      <c r="F9" s="16" t="str">
        <f>IF(ISNA(VLOOKUP(MID($A9,4,1),Kanji_2_HanViet!$A:$C,2,FALSE)),"",VLOOKUP(MID($A9,4,1),Kanji_2_HanViet!$A:$C,2,FALSE))</f>
        <v/>
      </c>
      <c r="G9" s="16" t="str">
        <f>IF(ISNA(VLOOKUP(MID($A9,5,1),Kanji_2_HanViet!$A:$C,2,FALSE)),"",VLOOKUP(MID($A9,5,1),Kanji_2_HanViet!$A:$C,2,FALSE))</f>
        <v/>
      </c>
      <c r="H9" s="16" t="str">
        <f>IF(ISNA(VLOOKUP(MID($A9,6,1),Kanji_2_HanViet!$A:$C,2,FALSE)),"",VLOOKUP(MID($A9,6,1),Kanji_2_HanViet!$A:$C,2,FALSE))</f>
        <v/>
      </c>
      <c r="I9" s="16" t="str">
        <f>IF(ISNA(VLOOKUP(MID($A9,7,1),Kanji_2_HanViet!$A:$C,2,FALSE)),"",VLOOKUP(MID($A9,7,1),Kanji_2_HanViet!$A:$C,2,FALSE))</f>
        <v/>
      </c>
      <c r="J9" s="16" t="str">
        <f>IF(ISNA(VLOOKUP(MID($A9,8,1),Kanji_2_HanViet!$A:$C,2,FALSE)),"",VLOOKUP(MID($A9,8,1),Kanji_2_HanViet!$A:$C,2,FALSE))</f>
        <v/>
      </c>
      <c r="K9" s="16" t="str">
        <f>IF(ISNA(VLOOKUP(MID($A9,9,1),Kanji_2_HanViet!$A:$C,2,FALSE)),"",VLOOKUP(MID($A9,9,1),Kanji_2_HanViet!$A:$C,2,FALSE))</f>
        <v/>
      </c>
    </row>
    <row r="10" spans="1:11">
      <c r="A10" s="14" t="str">
        <f>Master!B16</f>
        <v>命</v>
      </c>
      <c r="B10" s="17" t="str">
        <f t="shared" si="0"/>
        <v>MỆNH</v>
      </c>
      <c r="C10" s="16" t="str">
        <f>IF(ISNA(VLOOKUP(MID($A10,1,1),Kanji_2_HanViet!$A:$C,2,FALSE)),"",VLOOKUP(MID($A10,1,1),Kanji_2_HanViet!$A:$C,2,FALSE))</f>
        <v>MỆNH</v>
      </c>
      <c r="D10" s="16" t="str">
        <f>IF(ISNA(VLOOKUP(MID($A10,2,1),Kanji_2_HanViet!$A:$C,2,FALSE)),"",VLOOKUP(MID($A10,2,1),Kanji_2_HanViet!$A:$C,2,FALSE))</f>
        <v/>
      </c>
      <c r="E10" s="16" t="str">
        <f>IF(ISNA(VLOOKUP(MID($A10,3,1),Kanji_2_HanViet!$A:$C,2,FALSE)),"",VLOOKUP(MID($A10,3,1),Kanji_2_HanViet!$A:$C,2,FALSE))</f>
        <v/>
      </c>
      <c r="F10" s="16" t="str">
        <f>IF(ISNA(VLOOKUP(MID($A10,4,1),Kanji_2_HanViet!$A:$C,2,FALSE)),"",VLOOKUP(MID($A10,4,1),Kanji_2_HanViet!$A:$C,2,FALSE))</f>
        <v/>
      </c>
      <c r="G10" s="16" t="str">
        <f>IF(ISNA(VLOOKUP(MID($A10,5,1),Kanji_2_HanViet!$A:$C,2,FALSE)),"",VLOOKUP(MID($A10,5,1),Kanji_2_HanViet!$A:$C,2,FALSE))</f>
        <v/>
      </c>
      <c r="H10" s="16" t="str">
        <f>IF(ISNA(VLOOKUP(MID($A10,6,1),Kanji_2_HanViet!$A:$C,2,FALSE)),"",VLOOKUP(MID($A10,6,1),Kanji_2_HanViet!$A:$C,2,FALSE))</f>
        <v/>
      </c>
      <c r="I10" s="16" t="str">
        <f>IF(ISNA(VLOOKUP(MID($A10,7,1),Kanji_2_HanViet!$A:$C,2,FALSE)),"",VLOOKUP(MID($A10,7,1),Kanji_2_HanViet!$A:$C,2,FALSE))</f>
        <v/>
      </c>
      <c r="J10" s="16" t="str">
        <f>IF(ISNA(VLOOKUP(MID($A10,8,1),Kanji_2_HanViet!$A:$C,2,FALSE)),"",VLOOKUP(MID($A10,8,1),Kanji_2_HanViet!$A:$C,2,FALSE))</f>
        <v/>
      </c>
      <c r="K10" s="16" t="str">
        <f>IF(ISNA(VLOOKUP(MID($A10,9,1),Kanji_2_HanViet!$A:$C,2,FALSE)),"",VLOOKUP(MID($A10,9,1),Kanji_2_HanViet!$A:$C,2,FALSE))</f>
        <v/>
      </c>
    </row>
    <row r="11" spans="1:11">
      <c r="A11" s="14" t="str">
        <f>Master!B17</f>
        <v>初詣</v>
      </c>
      <c r="B11" s="17" t="str">
        <f t="shared" si="0"/>
        <v>SƠ NGHỆ</v>
      </c>
      <c r="C11" s="16" t="str">
        <f>IF(ISNA(VLOOKUP(MID($A11,1,1),Kanji_2_HanViet!$A:$C,2,FALSE)),"",VLOOKUP(MID($A11,1,1),Kanji_2_HanViet!$A:$C,2,FALSE))</f>
        <v>SƠ</v>
      </c>
      <c r="D11" s="16" t="str">
        <f>IF(ISNA(VLOOKUP(MID($A11,2,1),Kanji_2_HanViet!$A:$C,2,FALSE)),"",VLOOKUP(MID($A11,2,1),Kanji_2_HanViet!$A:$C,2,FALSE))</f>
        <v>NGHỆ</v>
      </c>
      <c r="E11" s="16" t="str">
        <f>IF(ISNA(VLOOKUP(MID($A11,3,1),Kanji_2_HanViet!$A:$C,2,FALSE)),"",VLOOKUP(MID($A11,3,1),Kanji_2_HanViet!$A:$C,2,FALSE))</f>
        <v/>
      </c>
      <c r="F11" s="16" t="str">
        <f>IF(ISNA(VLOOKUP(MID($A11,4,1),Kanji_2_HanViet!$A:$C,2,FALSE)),"",VLOOKUP(MID($A11,4,1),Kanji_2_HanViet!$A:$C,2,FALSE))</f>
        <v/>
      </c>
      <c r="G11" s="16" t="str">
        <f>IF(ISNA(VLOOKUP(MID($A11,5,1),Kanji_2_HanViet!$A:$C,2,FALSE)),"",VLOOKUP(MID($A11,5,1),Kanji_2_HanViet!$A:$C,2,FALSE))</f>
        <v/>
      </c>
      <c r="H11" s="16" t="str">
        <f>IF(ISNA(VLOOKUP(MID($A11,6,1),Kanji_2_HanViet!$A:$C,2,FALSE)),"",VLOOKUP(MID($A11,6,1),Kanji_2_HanViet!$A:$C,2,FALSE))</f>
        <v/>
      </c>
      <c r="I11" s="16" t="str">
        <f>IF(ISNA(VLOOKUP(MID($A11,7,1),Kanji_2_HanViet!$A:$C,2,FALSE)),"",VLOOKUP(MID($A11,7,1),Kanji_2_HanViet!$A:$C,2,FALSE))</f>
        <v/>
      </c>
      <c r="J11" s="16" t="str">
        <f>IF(ISNA(VLOOKUP(MID($A11,8,1),Kanji_2_HanViet!$A:$C,2,FALSE)),"",VLOOKUP(MID($A11,8,1),Kanji_2_HanViet!$A:$C,2,FALSE))</f>
        <v/>
      </c>
      <c r="K11" s="16" t="str">
        <f>IF(ISNA(VLOOKUP(MID($A11,9,1),Kanji_2_HanViet!$A:$C,2,FALSE)),"",VLOOKUP(MID($A11,9,1),Kanji_2_HanViet!$A:$C,2,FALSE))</f>
        <v/>
      </c>
    </row>
    <row r="12" spans="1:11">
      <c r="A12" s="14">
        <f>Master!B18</f>
        <v>0</v>
      </c>
      <c r="B12" s="17" t="str">
        <f t="shared" si="0"/>
        <v/>
      </c>
      <c r="C12" s="16" t="str">
        <f>IF(ISNA(VLOOKUP(MID($A12,1,1),Kanji_2_HanViet!$A:$C,2,FALSE)),"",VLOOKUP(MID($A12,1,1),Kanji_2_HanViet!$A:$C,2,FALSE))</f>
        <v/>
      </c>
      <c r="D12" s="16" t="str">
        <f>IF(ISNA(VLOOKUP(MID($A12,2,1),Kanji_2_HanViet!$A:$C,2,FALSE)),"",VLOOKUP(MID($A12,2,1),Kanji_2_HanViet!$A:$C,2,FALSE))</f>
        <v/>
      </c>
      <c r="E12" s="16" t="str">
        <f>IF(ISNA(VLOOKUP(MID($A12,3,1),Kanji_2_HanViet!$A:$C,2,FALSE)),"",VLOOKUP(MID($A12,3,1),Kanji_2_HanViet!$A:$C,2,FALSE))</f>
        <v/>
      </c>
      <c r="F12" s="16" t="str">
        <f>IF(ISNA(VLOOKUP(MID($A12,4,1),Kanji_2_HanViet!$A:$C,2,FALSE)),"",VLOOKUP(MID($A12,4,1),Kanji_2_HanViet!$A:$C,2,FALSE))</f>
        <v/>
      </c>
      <c r="G12" s="16" t="str">
        <f>IF(ISNA(VLOOKUP(MID($A12,5,1),Kanji_2_HanViet!$A:$C,2,FALSE)),"",VLOOKUP(MID($A12,5,1),Kanji_2_HanViet!$A:$C,2,FALSE))</f>
        <v/>
      </c>
      <c r="H12" s="16" t="str">
        <f>IF(ISNA(VLOOKUP(MID($A12,6,1),Kanji_2_HanViet!$A:$C,2,FALSE)),"",VLOOKUP(MID($A12,6,1),Kanji_2_HanViet!$A:$C,2,FALSE))</f>
        <v/>
      </c>
      <c r="I12" s="16" t="str">
        <f>IF(ISNA(VLOOKUP(MID($A12,7,1),Kanji_2_HanViet!$A:$C,2,FALSE)),"",VLOOKUP(MID($A12,7,1),Kanji_2_HanViet!$A:$C,2,FALSE))</f>
        <v/>
      </c>
      <c r="J12" s="16" t="str">
        <f>IF(ISNA(VLOOKUP(MID($A12,8,1),Kanji_2_HanViet!$A:$C,2,FALSE)),"",VLOOKUP(MID($A12,8,1),Kanji_2_HanViet!$A:$C,2,FALSE))</f>
        <v/>
      </c>
      <c r="K12" s="16" t="str">
        <f>IF(ISNA(VLOOKUP(MID($A12,9,1),Kanji_2_HanViet!$A:$C,2,FALSE)),"",VLOOKUP(MID($A12,9,1),Kanji_2_HanViet!$A:$C,2,FALSE))</f>
        <v/>
      </c>
    </row>
    <row r="13" spans="1:11">
      <c r="A13" s="14">
        <f>Master!B19</f>
        <v>0</v>
      </c>
      <c r="B13" s="17" t="str">
        <f t="shared" si="0"/>
        <v/>
      </c>
      <c r="C13" s="16" t="str">
        <f>IF(ISNA(VLOOKUP(MID($A13,1,1),Kanji_2_HanViet!$A:$C,2,FALSE)),"",VLOOKUP(MID($A13,1,1),Kanji_2_HanViet!$A:$C,2,FALSE))</f>
        <v/>
      </c>
      <c r="D13" s="16" t="str">
        <f>IF(ISNA(VLOOKUP(MID($A13,2,1),Kanji_2_HanViet!$A:$C,2,FALSE)),"",VLOOKUP(MID($A13,2,1),Kanji_2_HanViet!$A:$C,2,FALSE))</f>
        <v/>
      </c>
      <c r="E13" s="16" t="str">
        <f>IF(ISNA(VLOOKUP(MID($A13,3,1),Kanji_2_HanViet!$A:$C,2,FALSE)),"",VLOOKUP(MID($A13,3,1),Kanji_2_HanViet!$A:$C,2,FALSE))</f>
        <v/>
      </c>
      <c r="F13" s="16" t="str">
        <f>IF(ISNA(VLOOKUP(MID($A13,4,1),Kanji_2_HanViet!$A:$C,2,FALSE)),"",VLOOKUP(MID($A13,4,1),Kanji_2_HanViet!$A:$C,2,FALSE))</f>
        <v/>
      </c>
      <c r="G13" s="16" t="str">
        <f>IF(ISNA(VLOOKUP(MID($A13,5,1),Kanji_2_HanViet!$A:$C,2,FALSE)),"",VLOOKUP(MID($A13,5,1),Kanji_2_HanViet!$A:$C,2,FALSE))</f>
        <v/>
      </c>
      <c r="H13" s="16" t="str">
        <f>IF(ISNA(VLOOKUP(MID($A13,6,1),Kanji_2_HanViet!$A:$C,2,FALSE)),"",VLOOKUP(MID($A13,6,1),Kanji_2_HanViet!$A:$C,2,FALSE))</f>
        <v/>
      </c>
      <c r="I13" s="16" t="str">
        <f>IF(ISNA(VLOOKUP(MID($A13,7,1),Kanji_2_HanViet!$A:$C,2,FALSE)),"",VLOOKUP(MID($A13,7,1),Kanji_2_HanViet!$A:$C,2,FALSE))</f>
        <v/>
      </c>
      <c r="J13" s="16" t="str">
        <f>IF(ISNA(VLOOKUP(MID($A13,8,1),Kanji_2_HanViet!$A:$C,2,FALSE)),"",VLOOKUP(MID($A13,8,1),Kanji_2_HanViet!$A:$C,2,FALSE))</f>
        <v/>
      </c>
      <c r="K13" s="16" t="str">
        <f>IF(ISNA(VLOOKUP(MID($A13,9,1),Kanji_2_HanViet!$A:$C,2,FALSE)),"",VLOOKUP(MID($A13,9,1),Kanji_2_HanViet!$A:$C,2,FALSE))</f>
        <v/>
      </c>
    </row>
    <row r="14" spans="1:11">
      <c r="A14" s="14">
        <f>Master!B20</f>
        <v>0</v>
      </c>
      <c r="B14" s="17" t="str">
        <f t="shared" si="0"/>
        <v/>
      </c>
      <c r="C14" s="16" t="str">
        <f>IF(ISNA(VLOOKUP(MID($A14,1,1),Kanji_2_HanViet!$A:$C,2,FALSE)),"",VLOOKUP(MID($A14,1,1),Kanji_2_HanViet!$A:$C,2,FALSE))</f>
        <v/>
      </c>
      <c r="D14" s="16" t="str">
        <f>IF(ISNA(VLOOKUP(MID($A14,2,1),Kanji_2_HanViet!$A:$C,2,FALSE)),"",VLOOKUP(MID($A14,2,1),Kanji_2_HanViet!$A:$C,2,FALSE))</f>
        <v/>
      </c>
      <c r="E14" s="16" t="str">
        <f>IF(ISNA(VLOOKUP(MID($A14,3,1),Kanji_2_HanViet!$A:$C,2,FALSE)),"",VLOOKUP(MID($A14,3,1),Kanji_2_HanViet!$A:$C,2,FALSE))</f>
        <v/>
      </c>
      <c r="F14" s="16" t="str">
        <f>IF(ISNA(VLOOKUP(MID($A14,4,1),Kanji_2_HanViet!$A:$C,2,FALSE)),"",VLOOKUP(MID($A14,4,1),Kanji_2_HanViet!$A:$C,2,FALSE))</f>
        <v/>
      </c>
      <c r="G14" s="16" t="str">
        <f>IF(ISNA(VLOOKUP(MID($A14,5,1),Kanji_2_HanViet!$A:$C,2,FALSE)),"",VLOOKUP(MID($A14,5,1),Kanji_2_HanViet!$A:$C,2,FALSE))</f>
        <v/>
      </c>
      <c r="H14" s="16" t="str">
        <f>IF(ISNA(VLOOKUP(MID($A14,6,1),Kanji_2_HanViet!$A:$C,2,FALSE)),"",VLOOKUP(MID($A14,6,1),Kanji_2_HanViet!$A:$C,2,FALSE))</f>
        <v/>
      </c>
      <c r="I14" s="16" t="str">
        <f>IF(ISNA(VLOOKUP(MID($A14,7,1),Kanji_2_HanViet!$A:$C,2,FALSE)),"",VLOOKUP(MID($A14,7,1),Kanji_2_HanViet!$A:$C,2,FALSE))</f>
        <v/>
      </c>
      <c r="J14" s="16" t="str">
        <f>IF(ISNA(VLOOKUP(MID($A14,8,1),Kanji_2_HanViet!$A:$C,2,FALSE)),"",VLOOKUP(MID($A14,8,1),Kanji_2_HanViet!$A:$C,2,FALSE))</f>
        <v/>
      </c>
      <c r="K14" s="16" t="str">
        <f>IF(ISNA(VLOOKUP(MID($A14,9,1),Kanji_2_HanViet!$A:$C,2,FALSE)),"",VLOOKUP(MID($A14,9,1),Kanji_2_HanViet!$A:$C,2,FALSE))</f>
        <v/>
      </c>
    </row>
    <row r="15" spans="1:11">
      <c r="A15" s="14">
        <f>Master!B21</f>
        <v>0</v>
      </c>
      <c r="B15" s="17" t="str">
        <f t="shared" si="0"/>
        <v/>
      </c>
      <c r="C15" s="16" t="str">
        <f>IF(ISNA(VLOOKUP(MID($A15,1,1),Kanji_2_HanViet!$A:$C,2,FALSE)),"",VLOOKUP(MID($A15,1,1),Kanji_2_HanViet!$A:$C,2,FALSE))</f>
        <v/>
      </c>
      <c r="D15" s="16" t="str">
        <f>IF(ISNA(VLOOKUP(MID($A15,2,1),Kanji_2_HanViet!$A:$C,2,FALSE)),"",VLOOKUP(MID($A15,2,1),Kanji_2_HanViet!$A:$C,2,FALSE))</f>
        <v/>
      </c>
      <c r="E15" s="16" t="str">
        <f>IF(ISNA(VLOOKUP(MID($A15,3,1),Kanji_2_HanViet!$A:$C,2,FALSE)),"",VLOOKUP(MID($A15,3,1),Kanji_2_HanViet!$A:$C,2,FALSE))</f>
        <v/>
      </c>
      <c r="F15" s="16" t="str">
        <f>IF(ISNA(VLOOKUP(MID($A15,4,1),Kanji_2_HanViet!$A:$C,2,FALSE)),"",VLOOKUP(MID($A15,4,1),Kanji_2_HanViet!$A:$C,2,FALSE))</f>
        <v/>
      </c>
      <c r="G15" s="16" t="str">
        <f>IF(ISNA(VLOOKUP(MID($A15,5,1),Kanji_2_HanViet!$A:$C,2,FALSE)),"",VLOOKUP(MID($A15,5,1),Kanji_2_HanViet!$A:$C,2,FALSE))</f>
        <v/>
      </c>
      <c r="H15" s="16" t="str">
        <f>IF(ISNA(VLOOKUP(MID($A15,6,1),Kanji_2_HanViet!$A:$C,2,FALSE)),"",VLOOKUP(MID($A15,6,1),Kanji_2_HanViet!$A:$C,2,FALSE))</f>
        <v/>
      </c>
      <c r="I15" s="16" t="str">
        <f>IF(ISNA(VLOOKUP(MID($A15,7,1),Kanji_2_HanViet!$A:$C,2,FALSE)),"",VLOOKUP(MID($A15,7,1),Kanji_2_HanViet!$A:$C,2,FALSE))</f>
        <v/>
      </c>
      <c r="J15" s="16" t="str">
        <f>IF(ISNA(VLOOKUP(MID($A15,8,1),Kanji_2_HanViet!$A:$C,2,FALSE)),"",VLOOKUP(MID($A15,8,1),Kanji_2_HanViet!$A:$C,2,FALSE))</f>
        <v/>
      </c>
      <c r="K15" s="16" t="str">
        <f>IF(ISNA(VLOOKUP(MID($A15,9,1),Kanji_2_HanViet!$A:$C,2,FALSE)),"",VLOOKUP(MID($A15,9,1),Kanji_2_HanViet!$A:$C,2,FALSE))</f>
        <v/>
      </c>
    </row>
    <row r="16" spans="1:11">
      <c r="A16" s="14">
        <f>Master!B22</f>
        <v>0</v>
      </c>
      <c r="B16" s="17" t="str">
        <f t="shared" si="0"/>
        <v/>
      </c>
      <c r="C16" s="16" t="str">
        <f>IF(ISNA(VLOOKUP(MID($A16,1,1),Kanji_2_HanViet!$A:$C,2,FALSE)),"",VLOOKUP(MID($A16,1,1),Kanji_2_HanViet!$A:$C,2,FALSE))</f>
        <v/>
      </c>
      <c r="D16" s="16" t="str">
        <f>IF(ISNA(VLOOKUP(MID($A16,2,1),Kanji_2_HanViet!$A:$C,2,FALSE)),"",VLOOKUP(MID($A16,2,1),Kanji_2_HanViet!$A:$C,2,FALSE))</f>
        <v/>
      </c>
      <c r="E16" s="16" t="str">
        <f>IF(ISNA(VLOOKUP(MID($A16,3,1),Kanji_2_HanViet!$A:$C,2,FALSE)),"",VLOOKUP(MID($A16,3,1),Kanji_2_HanViet!$A:$C,2,FALSE))</f>
        <v/>
      </c>
      <c r="F16" s="16" t="str">
        <f>IF(ISNA(VLOOKUP(MID($A16,4,1),Kanji_2_HanViet!$A:$C,2,FALSE)),"",VLOOKUP(MID($A16,4,1),Kanji_2_HanViet!$A:$C,2,FALSE))</f>
        <v/>
      </c>
      <c r="G16" s="16" t="str">
        <f>IF(ISNA(VLOOKUP(MID($A16,5,1),Kanji_2_HanViet!$A:$C,2,FALSE)),"",VLOOKUP(MID($A16,5,1),Kanji_2_HanViet!$A:$C,2,FALSE))</f>
        <v/>
      </c>
      <c r="H16" s="16" t="str">
        <f>IF(ISNA(VLOOKUP(MID($A16,6,1),Kanji_2_HanViet!$A:$C,2,FALSE)),"",VLOOKUP(MID($A16,6,1),Kanji_2_HanViet!$A:$C,2,FALSE))</f>
        <v/>
      </c>
      <c r="I16" s="16" t="str">
        <f>IF(ISNA(VLOOKUP(MID($A16,7,1),Kanji_2_HanViet!$A:$C,2,FALSE)),"",VLOOKUP(MID($A16,7,1),Kanji_2_HanViet!$A:$C,2,FALSE))</f>
        <v/>
      </c>
      <c r="J16" s="16" t="str">
        <f>IF(ISNA(VLOOKUP(MID($A16,8,1),Kanji_2_HanViet!$A:$C,2,FALSE)),"",VLOOKUP(MID($A16,8,1),Kanji_2_HanViet!$A:$C,2,FALSE))</f>
        <v/>
      </c>
      <c r="K16" s="16" t="str">
        <f>IF(ISNA(VLOOKUP(MID($A16,9,1),Kanji_2_HanViet!$A:$C,2,FALSE)),"",VLOOKUP(MID($A16,9,1),Kanji_2_HanViet!$A:$C,2,FALSE))</f>
        <v/>
      </c>
    </row>
    <row r="17" spans="1:11">
      <c r="A17" s="14">
        <f>Master!B23</f>
        <v>0</v>
      </c>
      <c r="B17" s="17" t="str">
        <f t="shared" si="0"/>
        <v/>
      </c>
      <c r="C17" s="16" t="str">
        <f>IF(ISNA(VLOOKUP(MID($A17,1,1),Kanji_2_HanViet!$A:$C,2,FALSE)),"",VLOOKUP(MID($A17,1,1),Kanji_2_HanViet!$A:$C,2,FALSE))</f>
        <v/>
      </c>
      <c r="D17" s="16" t="str">
        <f>IF(ISNA(VLOOKUP(MID($A17,2,1),Kanji_2_HanViet!$A:$C,2,FALSE)),"",VLOOKUP(MID($A17,2,1),Kanji_2_HanViet!$A:$C,2,FALSE))</f>
        <v/>
      </c>
      <c r="E17" s="16" t="str">
        <f>IF(ISNA(VLOOKUP(MID($A17,3,1),Kanji_2_HanViet!$A:$C,2,FALSE)),"",VLOOKUP(MID($A17,3,1),Kanji_2_HanViet!$A:$C,2,FALSE))</f>
        <v/>
      </c>
      <c r="F17" s="16" t="str">
        <f>IF(ISNA(VLOOKUP(MID($A17,4,1),Kanji_2_HanViet!$A:$C,2,FALSE)),"",VLOOKUP(MID($A17,4,1),Kanji_2_HanViet!$A:$C,2,FALSE))</f>
        <v/>
      </c>
      <c r="G17" s="16" t="str">
        <f>IF(ISNA(VLOOKUP(MID($A17,5,1),Kanji_2_HanViet!$A:$C,2,FALSE)),"",VLOOKUP(MID($A17,5,1),Kanji_2_HanViet!$A:$C,2,FALSE))</f>
        <v/>
      </c>
      <c r="H17" s="16" t="str">
        <f>IF(ISNA(VLOOKUP(MID($A17,6,1),Kanji_2_HanViet!$A:$C,2,FALSE)),"",VLOOKUP(MID($A17,6,1),Kanji_2_HanViet!$A:$C,2,FALSE))</f>
        <v/>
      </c>
      <c r="I17" s="16" t="str">
        <f>IF(ISNA(VLOOKUP(MID($A17,7,1),Kanji_2_HanViet!$A:$C,2,FALSE)),"",VLOOKUP(MID($A17,7,1),Kanji_2_HanViet!$A:$C,2,FALSE))</f>
        <v/>
      </c>
      <c r="J17" s="16" t="str">
        <f>IF(ISNA(VLOOKUP(MID($A17,8,1),Kanji_2_HanViet!$A:$C,2,FALSE)),"",VLOOKUP(MID($A17,8,1),Kanji_2_HanViet!$A:$C,2,FALSE))</f>
        <v/>
      </c>
      <c r="K17" s="16" t="str">
        <f>IF(ISNA(VLOOKUP(MID($A17,9,1),Kanji_2_HanViet!$A:$C,2,FALSE)),"",VLOOKUP(MID($A17,9,1),Kanji_2_HanViet!$A:$C,2,FALSE))</f>
        <v/>
      </c>
    </row>
    <row r="18" spans="1:11">
      <c r="A18" s="14">
        <f>Master!B24</f>
        <v>0</v>
      </c>
      <c r="B18" s="17" t="str">
        <f t="shared" si="0"/>
        <v/>
      </c>
      <c r="C18" s="16" t="str">
        <f>IF(ISNA(VLOOKUP(MID($A18,1,1),Kanji_2_HanViet!$A:$C,2,FALSE)),"",VLOOKUP(MID($A18,1,1),Kanji_2_HanViet!$A:$C,2,FALSE))</f>
        <v/>
      </c>
      <c r="D18" s="16" t="str">
        <f>IF(ISNA(VLOOKUP(MID($A18,2,1),Kanji_2_HanViet!$A:$C,2,FALSE)),"",VLOOKUP(MID($A18,2,1),Kanji_2_HanViet!$A:$C,2,FALSE))</f>
        <v/>
      </c>
      <c r="E18" s="16" t="str">
        <f>IF(ISNA(VLOOKUP(MID($A18,3,1),Kanji_2_HanViet!$A:$C,2,FALSE)),"",VLOOKUP(MID($A18,3,1),Kanji_2_HanViet!$A:$C,2,FALSE))</f>
        <v/>
      </c>
      <c r="F18" s="16" t="str">
        <f>IF(ISNA(VLOOKUP(MID($A18,4,1),Kanji_2_HanViet!$A:$C,2,FALSE)),"",VLOOKUP(MID($A18,4,1),Kanji_2_HanViet!$A:$C,2,FALSE))</f>
        <v/>
      </c>
      <c r="G18" s="16" t="str">
        <f>IF(ISNA(VLOOKUP(MID($A18,5,1),Kanji_2_HanViet!$A:$C,2,FALSE)),"",VLOOKUP(MID($A18,5,1),Kanji_2_HanViet!$A:$C,2,FALSE))</f>
        <v/>
      </c>
      <c r="H18" s="16" t="str">
        <f>IF(ISNA(VLOOKUP(MID($A18,6,1),Kanji_2_HanViet!$A:$C,2,FALSE)),"",VLOOKUP(MID($A18,6,1),Kanji_2_HanViet!$A:$C,2,FALSE))</f>
        <v/>
      </c>
      <c r="I18" s="16" t="str">
        <f>IF(ISNA(VLOOKUP(MID($A18,7,1),Kanji_2_HanViet!$A:$C,2,FALSE)),"",VLOOKUP(MID($A18,7,1),Kanji_2_HanViet!$A:$C,2,FALSE))</f>
        <v/>
      </c>
      <c r="J18" s="16" t="str">
        <f>IF(ISNA(VLOOKUP(MID($A18,8,1),Kanji_2_HanViet!$A:$C,2,FALSE)),"",VLOOKUP(MID($A18,8,1),Kanji_2_HanViet!$A:$C,2,FALSE))</f>
        <v/>
      </c>
      <c r="K18" s="16" t="str">
        <f>IF(ISNA(VLOOKUP(MID($A18,9,1),Kanji_2_HanViet!$A:$C,2,FALSE)),"",VLOOKUP(MID($A18,9,1),Kanji_2_HanViet!$A:$C,2,FALSE))</f>
        <v/>
      </c>
    </row>
    <row r="19" spans="1:11">
      <c r="A19" s="14">
        <f>Master!B25</f>
        <v>0</v>
      </c>
      <c r="B19" s="17" t="str">
        <f t="shared" si="0"/>
        <v/>
      </c>
      <c r="C19" s="16" t="str">
        <f>IF(ISNA(VLOOKUP(MID($A19,1,1),Kanji_2_HanViet!$A:$C,2,FALSE)),"",VLOOKUP(MID($A19,1,1),Kanji_2_HanViet!$A:$C,2,FALSE))</f>
        <v/>
      </c>
      <c r="D19" s="16" t="str">
        <f>IF(ISNA(VLOOKUP(MID($A19,2,1),Kanji_2_HanViet!$A:$C,2,FALSE)),"",VLOOKUP(MID($A19,2,1),Kanji_2_HanViet!$A:$C,2,FALSE))</f>
        <v/>
      </c>
      <c r="E19" s="16" t="str">
        <f>IF(ISNA(VLOOKUP(MID($A19,3,1),Kanji_2_HanViet!$A:$C,2,FALSE)),"",VLOOKUP(MID($A19,3,1),Kanji_2_HanViet!$A:$C,2,FALSE))</f>
        <v/>
      </c>
      <c r="F19" s="16" t="str">
        <f>IF(ISNA(VLOOKUP(MID($A19,4,1),Kanji_2_HanViet!$A:$C,2,FALSE)),"",VLOOKUP(MID($A19,4,1),Kanji_2_HanViet!$A:$C,2,FALSE))</f>
        <v/>
      </c>
      <c r="G19" s="16" t="str">
        <f>IF(ISNA(VLOOKUP(MID($A19,5,1),Kanji_2_HanViet!$A:$C,2,FALSE)),"",VLOOKUP(MID($A19,5,1),Kanji_2_HanViet!$A:$C,2,FALSE))</f>
        <v/>
      </c>
      <c r="H19" s="16" t="str">
        <f>IF(ISNA(VLOOKUP(MID($A19,6,1),Kanji_2_HanViet!$A:$C,2,FALSE)),"",VLOOKUP(MID($A19,6,1),Kanji_2_HanViet!$A:$C,2,FALSE))</f>
        <v/>
      </c>
      <c r="I19" s="16" t="str">
        <f>IF(ISNA(VLOOKUP(MID($A19,7,1),Kanji_2_HanViet!$A:$C,2,FALSE)),"",VLOOKUP(MID($A19,7,1),Kanji_2_HanViet!$A:$C,2,FALSE))</f>
        <v/>
      </c>
      <c r="J19" s="16" t="str">
        <f>IF(ISNA(VLOOKUP(MID($A19,8,1),Kanji_2_HanViet!$A:$C,2,FALSE)),"",VLOOKUP(MID($A19,8,1),Kanji_2_HanViet!$A:$C,2,FALSE))</f>
        <v/>
      </c>
      <c r="K19" s="16" t="str">
        <f>IF(ISNA(VLOOKUP(MID($A19,9,1),Kanji_2_HanViet!$A:$C,2,FALSE)),"",VLOOKUP(MID($A19,9,1),Kanji_2_HanViet!$A:$C,2,FALSE))</f>
        <v/>
      </c>
    </row>
    <row r="20" spans="1:11">
      <c r="A20" s="14">
        <f>Master!B26</f>
        <v>0</v>
      </c>
      <c r="B20" s="17" t="str">
        <f t="shared" si="0"/>
        <v/>
      </c>
      <c r="C20" s="16" t="str">
        <f>IF(ISNA(VLOOKUP(MID($A20,1,1),Kanji_2_HanViet!$A:$C,2,FALSE)),"",VLOOKUP(MID($A20,1,1),Kanji_2_HanViet!$A:$C,2,FALSE))</f>
        <v/>
      </c>
      <c r="D20" s="16" t="str">
        <f>IF(ISNA(VLOOKUP(MID($A20,2,1),Kanji_2_HanViet!$A:$C,2,FALSE)),"",VLOOKUP(MID($A20,2,1),Kanji_2_HanViet!$A:$C,2,FALSE))</f>
        <v/>
      </c>
      <c r="E20" s="16" t="str">
        <f>IF(ISNA(VLOOKUP(MID($A20,3,1),Kanji_2_HanViet!$A:$C,2,FALSE)),"",VLOOKUP(MID($A20,3,1),Kanji_2_HanViet!$A:$C,2,FALSE))</f>
        <v/>
      </c>
      <c r="F20" s="16" t="str">
        <f>IF(ISNA(VLOOKUP(MID($A20,4,1),Kanji_2_HanViet!$A:$C,2,FALSE)),"",VLOOKUP(MID($A20,4,1),Kanji_2_HanViet!$A:$C,2,FALSE))</f>
        <v/>
      </c>
      <c r="G20" s="16" t="str">
        <f>IF(ISNA(VLOOKUP(MID($A20,5,1),Kanji_2_HanViet!$A:$C,2,FALSE)),"",VLOOKUP(MID($A20,5,1),Kanji_2_HanViet!$A:$C,2,FALSE))</f>
        <v/>
      </c>
      <c r="H20" s="16" t="str">
        <f>IF(ISNA(VLOOKUP(MID($A20,6,1),Kanji_2_HanViet!$A:$C,2,FALSE)),"",VLOOKUP(MID($A20,6,1),Kanji_2_HanViet!$A:$C,2,FALSE))</f>
        <v/>
      </c>
      <c r="I20" s="16" t="str">
        <f>IF(ISNA(VLOOKUP(MID($A20,7,1),Kanji_2_HanViet!$A:$C,2,FALSE)),"",VLOOKUP(MID($A20,7,1),Kanji_2_HanViet!$A:$C,2,FALSE))</f>
        <v/>
      </c>
      <c r="J20" s="16" t="str">
        <f>IF(ISNA(VLOOKUP(MID($A20,8,1),Kanji_2_HanViet!$A:$C,2,FALSE)),"",VLOOKUP(MID($A20,8,1),Kanji_2_HanViet!$A:$C,2,FALSE))</f>
        <v/>
      </c>
      <c r="K20" s="16" t="str">
        <f>IF(ISNA(VLOOKUP(MID($A20,9,1),Kanji_2_HanViet!$A:$C,2,FALSE)),"",VLOOKUP(MID($A20,9,1),Kanji_2_HanViet!$A:$C,2,FALSE))</f>
        <v/>
      </c>
    </row>
    <row r="21" spans="1:11">
      <c r="A21" s="14">
        <f>Master!B27</f>
        <v>0</v>
      </c>
      <c r="B21" s="17" t="str">
        <f t="shared" si="0"/>
        <v/>
      </c>
      <c r="C21" s="16" t="str">
        <f>IF(ISNA(VLOOKUP(MID($A21,1,1),Kanji_2_HanViet!$A:$C,2,FALSE)),"",VLOOKUP(MID($A21,1,1),Kanji_2_HanViet!$A:$C,2,FALSE))</f>
        <v/>
      </c>
      <c r="D21" s="16" t="str">
        <f>IF(ISNA(VLOOKUP(MID($A21,2,1),Kanji_2_HanViet!$A:$C,2,FALSE)),"",VLOOKUP(MID($A21,2,1),Kanji_2_HanViet!$A:$C,2,FALSE))</f>
        <v/>
      </c>
      <c r="E21" s="16" t="str">
        <f>IF(ISNA(VLOOKUP(MID($A21,3,1),Kanji_2_HanViet!$A:$C,2,FALSE)),"",VLOOKUP(MID($A21,3,1),Kanji_2_HanViet!$A:$C,2,FALSE))</f>
        <v/>
      </c>
      <c r="F21" s="16" t="str">
        <f>IF(ISNA(VLOOKUP(MID($A21,4,1),Kanji_2_HanViet!$A:$C,2,FALSE)),"",VLOOKUP(MID($A21,4,1),Kanji_2_HanViet!$A:$C,2,FALSE))</f>
        <v/>
      </c>
      <c r="G21" s="16" t="str">
        <f>IF(ISNA(VLOOKUP(MID($A21,5,1),Kanji_2_HanViet!$A:$C,2,FALSE)),"",VLOOKUP(MID($A21,5,1),Kanji_2_HanViet!$A:$C,2,FALSE))</f>
        <v/>
      </c>
      <c r="H21" s="16" t="str">
        <f>IF(ISNA(VLOOKUP(MID($A21,6,1),Kanji_2_HanViet!$A:$C,2,FALSE)),"",VLOOKUP(MID($A21,6,1),Kanji_2_HanViet!$A:$C,2,FALSE))</f>
        <v/>
      </c>
      <c r="I21" s="16" t="str">
        <f>IF(ISNA(VLOOKUP(MID($A21,7,1),Kanji_2_HanViet!$A:$C,2,FALSE)),"",VLOOKUP(MID($A21,7,1),Kanji_2_HanViet!$A:$C,2,FALSE))</f>
        <v/>
      </c>
      <c r="J21" s="16" t="str">
        <f>IF(ISNA(VLOOKUP(MID($A21,8,1),Kanji_2_HanViet!$A:$C,2,FALSE)),"",VLOOKUP(MID($A21,8,1),Kanji_2_HanViet!$A:$C,2,FALSE))</f>
        <v/>
      </c>
      <c r="K21" s="16" t="str">
        <f>IF(ISNA(VLOOKUP(MID($A21,9,1),Kanji_2_HanViet!$A:$C,2,FALSE)),"",VLOOKUP(MID($A21,9,1),Kanji_2_HanViet!$A:$C,2,FALSE))</f>
        <v/>
      </c>
    </row>
    <row r="22" spans="1:11">
      <c r="A22" s="14">
        <f>Master!B28</f>
        <v>0</v>
      </c>
      <c r="B22" s="17" t="str">
        <f t="shared" si="0"/>
        <v/>
      </c>
      <c r="C22" s="16" t="str">
        <f>IF(ISNA(VLOOKUP(MID($A22,1,1),Kanji_2_HanViet!$A:$C,2,FALSE)),"",VLOOKUP(MID($A22,1,1),Kanji_2_HanViet!$A:$C,2,FALSE))</f>
        <v/>
      </c>
      <c r="D22" s="16" t="str">
        <f>IF(ISNA(VLOOKUP(MID($A22,2,1),Kanji_2_HanViet!$A:$C,2,FALSE)),"",VLOOKUP(MID($A22,2,1),Kanji_2_HanViet!$A:$C,2,FALSE))</f>
        <v/>
      </c>
      <c r="E22" s="16" t="str">
        <f>IF(ISNA(VLOOKUP(MID($A22,3,1),Kanji_2_HanViet!$A:$C,2,FALSE)),"",VLOOKUP(MID($A22,3,1),Kanji_2_HanViet!$A:$C,2,FALSE))</f>
        <v/>
      </c>
      <c r="F22" s="16" t="str">
        <f>IF(ISNA(VLOOKUP(MID($A22,4,1),Kanji_2_HanViet!$A:$C,2,FALSE)),"",VLOOKUP(MID($A22,4,1),Kanji_2_HanViet!$A:$C,2,FALSE))</f>
        <v/>
      </c>
      <c r="G22" s="16" t="str">
        <f>IF(ISNA(VLOOKUP(MID($A22,5,1),Kanji_2_HanViet!$A:$C,2,FALSE)),"",VLOOKUP(MID($A22,5,1),Kanji_2_HanViet!$A:$C,2,FALSE))</f>
        <v/>
      </c>
      <c r="H22" s="16" t="str">
        <f>IF(ISNA(VLOOKUP(MID($A22,6,1),Kanji_2_HanViet!$A:$C,2,FALSE)),"",VLOOKUP(MID($A22,6,1),Kanji_2_HanViet!$A:$C,2,FALSE))</f>
        <v/>
      </c>
      <c r="I22" s="16" t="str">
        <f>IF(ISNA(VLOOKUP(MID($A22,7,1),Kanji_2_HanViet!$A:$C,2,FALSE)),"",VLOOKUP(MID($A22,7,1),Kanji_2_HanViet!$A:$C,2,FALSE))</f>
        <v/>
      </c>
      <c r="J22" s="16" t="str">
        <f>IF(ISNA(VLOOKUP(MID($A22,8,1),Kanji_2_HanViet!$A:$C,2,FALSE)),"",VLOOKUP(MID($A22,8,1),Kanji_2_HanViet!$A:$C,2,FALSE))</f>
        <v/>
      </c>
      <c r="K22" s="16" t="str">
        <f>IF(ISNA(VLOOKUP(MID($A22,9,1),Kanji_2_HanViet!$A:$C,2,FALSE)),"",VLOOKUP(MID($A22,9,1),Kanji_2_HanViet!$A:$C,2,FALSE))</f>
        <v/>
      </c>
    </row>
    <row r="23" spans="1:11">
      <c r="A23" s="14">
        <f>Master!B30</f>
        <v>0</v>
      </c>
      <c r="B23" s="17" t="str">
        <f t="shared" si="0"/>
        <v/>
      </c>
      <c r="C23" s="16" t="str">
        <f>IF(ISNA(VLOOKUP(MID($A23,1,1),Kanji_2_HanViet!$A:$C,2,FALSE)),"",VLOOKUP(MID($A23,1,1),Kanji_2_HanViet!$A:$C,2,FALSE))</f>
        <v/>
      </c>
      <c r="D23" s="16" t="str">
        <f>IF(ISNA(VLOOKUP(MID($A23,2,1),Kanji_2_HanViet!$A:$C,2,FALSE)),"",VLOOKUP(MID($A23,2,1),Kanji_2_HanViet!$A:$C,2,FALSE))</f>
        <v/>
      </c>
      <c r="E23" s="16" t="str">
        <f>IF(ISNA(VLOOKUP(MID($A23,3,1),Kanji_2_HanViet!$A:$C,2,FALSE)),"",VLOOKUP(MID($A23,3,1),Kanji_2_HanViet!$A:$C,2,FALSE))</f>
        <v/>
      </c>
      <c r="F23" s="16" t="str">
        <f>IF(ISNA(VLOOKUP(MID($A23,4,1),Kanji_2_HanViet!$A:$C,2,FALSE)),"",VLOOKUP(MID($A23,4,1),Kanji_2_HanViet!$A:$C,2,FALSE))</f>
        <v/>
      </c>
      <c r="G23" s="16" t="str">
        <f>IF(ISNA(VLOOKUP(MID($A23,5,1),Kanji_2_HanViet!$A:$C,2,FALSE)),"",VLOOKUP(MID($A23,5,1),Kanji_2_HanViet!$A:$C,2,FALSE))</f>
        <v/>
      </c>
      <c r="H23" s="16" t="str">
        <f>IF(ISNA(VLOOKUP(MID($A23,6,1),Kanji_2_HanViet!$A:$C,2,FALSE)),"",VLOOKUP(MID($A23,6,1),Kanji_2_HanViet!$A:$C,2,FALSE))</f>
        <v/>
      </c>
      <c r="I23" s="16" t="str">
        <f>IF(ISNA(VLOOKUP(MID($A23,7,1),Kanji_2_HanViet!$A:$C,2,FALSE)),"",VLOOKUP(MID($A23,7,1),Kanji_2_HanViet!$A:$C,2,FALSE))</f>
        <v/>
      </c>
      <c r="J23" s="16" t="str">
        <f>IF(ISNA(VLOOKUP(MID($A23,8,1),Kanji_2_HanViet!$A:$C,2,FALSE)),"",VLOOKUP(MID($A23,8,1),Kanji_2_HanViet!$A:$C,2,FALSE))</f>
        <v/>
      </c>
      <c r="K23" s="16" t="str">
        <f>IF(ISNA(VLOOKUP(MID($A23,9,1),Kanji_2_HanViet!$A:$C,2,FALSE)),"",VLOOKUP(MID($A23,9,1),Kanji_2_HanViet!$A:$C,2,FALSE))</f>
        <v/>
      </c>
    </row>
    <row r="24" spans="1:11">
      <c r="A24" s="14">
        <f>Master!B31</f>
        <v>0</v>
      </c>
      <c r="B24" s="17" t="str">
        <f t="shared" si="0"/>
        <v/>
      </c>
      <c r="C24" s="16" t="str">
        <f>IF(ISNA(VLOOKUP(MID($A24,1,1),Kanji_2_HanViet!$A:$C,2,FALSE)),"",VLOOKUP(MID($A24,1,1),Kanji_2_HanViet!$A:$C,2,FALSE))</f>
        <v/>
      </c>
      <c r="D24" s="16" t="str">
        <f>IF(ISNA(VLOOKUP(MID($A24,2,1),Kanji_2_HanViet!$A:$C,2,FALSE)),"",VLOOKUP(MID($A24,2,1),Kanji_2_HanViet!$A:$C,2,FALSE))</f>
        <v/>
      </c>
      <c r="E24" s="16" t="str">
        <f>IF(ISNA(VLOOKUP(MID($A24,3,1),Kanji_2_HanViet!$A:$C,2,FALSE)),"",VLOOKUP(MID($A24,3,1),Kanji_2_HanViet!$A:$C,2,FALSE))</f>
        <v/>
      </c>
      <c r="F24" s="16" t="str">
        <f>IF(ISNA(VLOOKUP(MID($A24,4,1),Kanji_2_HanViet!$A:$C,2,FALSE)),"",VLOOKUP(MID($A24,4,1),Kanji_2_HanViet!$A:$C,2,FALSE))</f>
        <v/>
      </c>
      <c r="G24" s="16" t="str">
        <f>IF(ISNA(VLOOKUP(MID($A24,5,1),Kanji_2_HanViet!$A:$C,2,FALSE)),"",VLOOKUP(MID($A24,5,1),Kanji_2_HanViet!$A:$C,2,FALSE))</f>
        <v/>
      </c>
      <c r="H24" s="16" t="str">
        <f>IF(ISNA(VLOOKUP(MID($A24,6,1),Kanji_2_HanViet!$A:$C,2,FALSE)),"",VLOOKUP(MID($A24,6,1),Kanji_2_HanViet!$A:$C,2,FALSE))</f>
        <v/>
      </c>
      <c r="I24" s="16" t="str">
        <f>IF(ISNA(VLOOKUP(MID($A24,7,1),Kanji_2_HanViet!$A:$C,2,FALSE)),"",VLOOKUP(MID($A24,7,1),Kanji_2_HanViet!$A:$C,2,FALSE))</f>
        <v/>
      </c>
      <c r="J24" s="16" t="str">
        <f>IF(ISNA(VLOOKUP(MID($A24,8,1),Kanji_2_HanViet!$A:$C,2,FALSE)),"",VLOOKUP(MID($A24,8,1),Kanji_2_HanViet!$A:$C,2,FALSE))</f>
        <v/>
      </c>
      <c r="K24" s="16" t="str">
        <f>IF(ISNA(VLOOKUP(MID($A24,9,1),Kanji_2_HanViet!$A:$C,2,FALSE)),"",VLOOKUP(MID($A24,9,1),Kanji_2_HanViet!$A:$C,2,FALSE))</f>
        <v/>
      </c>
    </row>
    <row r="25" spans="1:11">
      <c r="A25" s="14">
        <f>Master!B32</f>
        <v>0</v>
      </c>
      <c r="B25" s="17" t="str">
        <f t="shared" si="0"/>
        <v/>
      </c>
      <c r="C25" s="16" t="str">
        <f>IF(ISNA(VLOOKUP(MID($A25,1,1),Kanji_2_HanViet!$A:$C,2,FALSE)),"",VLOOKUP(MID($A25,1,1),Kanji_2_HanViet!$A:$C,2,FALSE))</f>
        <v/>
      </c>
      <c r="D25" s="16" t="str">
        <f>IF(ISNA(VLOOKUP(MID($A25,2,1),Kanji_2_HanViet!$A:$C,2,FALSE)),"",VLOOKUP(MID($A25,2,1),Kanji_2_HanViet!$A:$C,2,FALSE))</f>
        <v/>
      </c>
      <c r="E25" s="16" t="str">
        <f>IF(ISNA(VLOOKUP(MID($A25,3,1),Kanji_2_HanViet!$A:$C,2,FALSE)),"",VLOOKUP(MID($A25,3,1),Kanji_2_HanViet!$A:$C,2,FALSE))</f>
        <v/>
      </c>
      <c r="F25" s="16" t="str">
        <f>IF(ISNA(VLOOKUP(MID($A25,4,1),Kanji_2_HanViet!$A:$C,2,FALSE)),"",VLOOKUP(MID($A25,4,1),Kanji_2_HanViet!$A:$C,2,FALSE))</f>
        <v/>
      </c>
      <c r="G25" s="16" t="str">
        <f>IF(ISNA(VLOOKUP(MID($A25,5,1),Kanji_2_HanViet!$A:$C,2,FALSE)),"",VLOOKUP(MID($A25,5,1),Kanji_2_HanViet!$A:$C,2,FALSE))</f>
        <v/>
      </c>
      <c r="H25" s="16" t="str">
        <f>IF(ISNA(VLOOKUP(MID($A25,6,1),Kanji_2_HanViet!$A:$C,2,FALSE)),"",VLOOKUP(MID($A25,6,1),Kanji_2_HanViet!$A:$C,2,FALSE))</f>
        <v/>
      </c>
      <c r="I25" s="16" t="str">
        <f>IF(ISNA(VLOOKUP(MID($A25,7,1),Kanji_2_HanViet!$A:$C,2,FALSE)),"",VLOOKUP(MID($A25,7,1),Kanji_2_HanViet!$A:$C,2,FALSE))</f>
        <v/>
      </c>
      <c r="J25" s="16" t="str">
        <f>IF(ISNA(VLOOKUP(MID($A25,8,1),Kanji_2_HanViet!$A:$C,2,FALSE)),"",VLOOKUP(MID($A25,8,1),Kanji_2_HanViet!$A:$C,2,FALSE))</f>
        <v/>
      </c>
      <c r="K25" s="16" t="str">
        <f>IF(ISNA(VLOOKUP(MID($A25,9,1),Kanji_2_HanViet!$A:$C,2,FALSE)),"",VLOOKUP(MID($A25,9,1),Kanji_2_HanViet!$A:$C,2,FALSE))</f>
        <v/>
      </c>
    </row>
    <row r="26" spans="1:11">
      <c r="A26" s="14">
        <f>Master!B33</f>
        <v>0</v>
      </c>
      <c r="B26" s="17" t="str">
        <f t="shared" si="0"/>
        <v/>
      </c>
      <c r="C26" s="16" t="str">
        <f>IF(ISNA(VLOOKUP(MID($A26,1,1),Kanji_2_HanViet!$A:$C,2,FALSE)),"",VLOOKUP(MID($A26,1,1),Kanji_2_HanViet!$A:$C,2,FALSE))</f>
        <v/>
      </c>
      <c r="D26" s="16" t="str">
        <f>IF(ISNA(VLOOKUP(MID($A26,2,1),Kanji_2_HanViet!$A:$C,2,FALSE)),"",VLOOKUP(MID($A26,2,1),Kanji_2_HanViet!$A:$C,2,FALSE))</f>
        <v/>
      </c>
      <c r="E26" s="16" t="str">
        <f>IF(ISNA(VLOOKUP(MID($A26,3,1),Kanji_2_HanViet!$A:$C,2,FALSE)),"",VLOOKUP(MID($A26,3,1),Kanji_2_HanViet!$A:$C,2,FALSE))</f>
        <v/>
      </c>
      <c r="F26" s="16" t="str">
        <f>IF(ISNA(VLOOKUP(MID($A26,4,1),Kanji_2_HanViet!$A:$C,2,FALSE)),"",VLOOKUP(MID($A26,4,1),Kanji_2_HanViet!$A:$C,2,FALSE))</f>
        <v/>
      </c>
      <c r="G26" s="16" t="str">
        <f>IF(ISNA(VLOOKUP(MID($A26,5,1),Kanji_2_HanViet!$A:$C,2,FALSE)),"",VLOOKUP(MID($A26,5,1),Kanji_2_HanViet!$A:$C,2,FALSE))</f>
        <v/>
      </c>
      <c r="H26" s="16" t="str">
        <f>IF(ISNA(VLOOKUP(MID($A26,6,1),Kanji_2_HanViet!$A:$C,2,FALSE)),"",VLOOKUP(MID($A26,6,1),Kanji_2_HanViet!$A:$C,2,FALSE))</f>
        <v/>
      </c>
      <c r="I26" s="16" t="str">
        <f>IF(ISNA(VLOOKUP(MID($A26,7,1),Kanji_2_HanViet!$A:$C,2,FALSE)),"",VLOOKUP(MID($A26,7,1),Kanji_2_HanViet!$A:$C,2,FALSE))</f>
        <v/>
      </c>
      <c r="J26" s="16" t="str">
        <f>IF(ISNA(VLOOKUP(MID($A26,8,1),Kanji_2_HanViet!$A:$C,2,FALSE)),"",VLOOKUP(MID($A26,8,1),Kanji_2_HanViet!$A:$C,2,FALSE))</f>
        <v/>
      </c>
      <c r="K26" s="16" t="str">
        <f>IF(ISNA(VLOOKUP(MID($A26,9,1),Kanji_2_HanViet!$A:$C,2,FALSE)),"",VLOOKUP(MID($A26,9,1),Kanji_2_HanViet!$A:$C,2,FALSE))</f>
        <v/>
      </c>
    </row>
    <row r="27" spans="1:11">
      <c r="A27" s="14">
        <f>Master!B34</f>
        <v>0</v>
      </c>
      <c r="B27" s="17" t="str">
        <f t="shared" si="0"/>
        <v/>
      </c>
      <c r="C27" s="16" t="str">
        <f>IF(ISNA(VLOOKUP(MID($A27,1,1),Kanji_2_HanViet!$A:$C,2,FALSE)),"",VLOOKUP(MID($A27,1,1),Kanji_2_HanViet!$A:$C,2,FALSE))</f>
        <v/>
      </c>
      <c r="D27" s="16" t="str">
        <f>IF(ISNA(VLOOKUP(MID($A27,2,1),Kanji_2_HanViet!$A:$C,2,FALSE)),"",VLOOKUP(MID($A27,2,1),Kanji_2_HanViet!$A:$C,2,FALSE))</f>
        <v/>
      </c>
      <c r="E27" s="16" t="str">
        <f>IF(ISNA(VLOOKUP(MID($A27,3,1),Kanji_2_HanViet!$A:$C,2,FALSE)),"",VLOOKUP(MID($A27,3,1),Kanji_2_HanViet!$A:$C,2,FALSE))</f>
        <v/>
      </c>
      <c r="F27" s="16" t="str">
        <f>IF(ISNA(VLOOKUP(MID($A27,4,1),Kanji_2_HanViet!$A:$C,2,FALSE)),"",VLOOKUP(MID($A27,4,1),Kanji_2_HanViet!$A:$C,2,FALSE))</f>
        <v/>
      </c>
      <c r="G27" s="16" t="str">
        <f>IF(ISNA(VLOOKUP(MID($A27,5,1),Kanji_2_HanViet!$A:$C,2,FALSE)),"",VLOOKUP(MID($A27,5,1),Kanji_2_HanViet!$A:$C,2,FALSE))</f>
        <v/>
      </c>
      <c r="H27" s="16" t="str">
        <f>IF(ISNA(VLOOKUP(MID($A27,6,1),Kanji_2_HanViet!$A:$C,2,FALSE)),"",VLOOKUP(MID($A27,6,1),Kanji_2_HanViet!$A:$C,2,FALSE))</f>
        <v/>
      </c>
      <c r="I27" s="16" t="str">
        <f>IF(ISNA(VLOOKUP(MID($A27,7,1),Kanji_2_HanViet!$A:$C,2,FALSE)),"",VLOOKUP(MID($A27,7,1),Kanji_2_HanViet!$A:$C,2,FALSE))</f>
        <v/>
      </c>
      <c r="J27" s="16" t="str">
        <f>IF(ISNA(VLOOKUP(MID($A27,8,1),Kanji_2_HanViet!$A:$C,2,FALSE)),"",VLOOKUP(MID($A27,8,1),Kanji_2_HanViet!$A:$C,2,FALSE))</f>
        <v/>
      </c>
      <c r="K27" s="16" t="str">
        <f>IF(ISNA(VLOOKUP(MID($A27,9,1),Kanji_2_HanViet!$A:$C,2,FALSE)),"",VLOOKUP(MID($A27,9,1),Kanji_2_HanViet!$A:$C,2,FALSE))</f>
        <v/>
      </c>
    </row>
    <row r="28" spans="1:11">
      <c r="A28" s="14">
        <f>Master!B35</f>
        <v>0</v>
      </c>
      <c r="B28" s="17" t="str">
        <f t="shared" si="0"/>
        <v/>
      </c>
      <c r="C28" s="16" t="str">
        <f>IF(ISNA(VLOOKUP(MID($A28,1,1),Kanji_2_HanViet!$A:$C,2,FALSE)),"",VLOOKUP(MID($A28,1,1),Kanji_2_HanViet!$A:$C,2,FALSE))</f>
        <v/>
      </c>
      <c r="D28" s="16" t="str">
        <f>IF(ISNA(VLOOKUP(MID($A28,2,1),Kanji_2_HanViet!$A:$C,2,FALSE)),"",VLOOKUP(MID($A28,2,1),Kanji_2_HanViet!$A:$C,2,FALSE))</f>
        <v/>
      </c>
      <c r="E28" s="16" t="str">
        <f>IF(ISNA(VLOOKUP(MID($A28,3,1),Kanji_2_HanViet!$A:$C,2,FALSE)),"",VLOOKUP(MID($A28,3,1),Kanji_2_HanViet!$A:$C,2,FALSE))</f>
        <v/>
      </c>
      <c r="F28" s="16" t="str">
        <f>IF(ISNA(VLOOKUP(MID($A28,4,1),Kanji_2_HanViet!$A:$C,2,FALSE)),"",VLOOKUP(MID($A28,4,1),Kanji_2_HanViet!$A:$C,2,FALSE))</f>
        <v/>
      </c>
      <c r="G28" s="16" t="str">
        <f>IF(ISNA(VLOOKUP(MID($A28,5,1),Kanji_2_HanViet!$A:$C,2,FALSE)),"",VLOOKUP(MID($A28,5,1),Kanji_2_HanViet!$A:$C,2,FALSE))</f>
        <v/>
      </c>
      <c r="H28" s="16" t="str">
        <f>IF(ISNA(VLOOKUP(MID($A28,6,1),Kanji_2_HanViet!$A:$C,2,FALSE)),"",VLOOKUP(MID($A28,6,1),Kanji_2_HanViet!$A:$C,2,FALSE))</f>
        <v/>
      </c>
      <c r="I28" s="16" t="str">
        <f>IF(ISNA(VLOOKUP(MID($A28,7,1),Kanji_2_HanViet!$A:$C,2,FALSE)),"",VLOOKUP(MID($A28,7,1),Kanji_2_HanViet!$A:$C,2,FALSE))</f>
        <v/>
      </c>
      <c r="J28" s="16" t="str">
        <f>IF(ISNA(VLOOKUP(MID($A28,8,1),Kanji_2_HanViet!$A:$C,2,FALSE)),"",VLOOKUP(MID($A28,8,1),Kanji_2_HanViet!$A:$C,2,FALSE))</f>
        <v/>
      </c>
      <c r="K28" s="16" t="str">
        <f>IF(ISNA(VLOOKUP(MID($A28,9,1),Kanji_2_HanViet!$A:$C,2,FALSE)),"",VLOOKUP(MID($A28,9,1),Kanji_2_HanViet!$A:$C,2,FALSE))</f>
        <v/>
      </c>
    </row>
    <row r="29" spans="1:11">
      <c r="A29" s="14">
        <f>Master!B36</f>
        <v>0</v>
      </c>
      <c r="B29" s="17" t="str">
        <f t="shared" si="0"/>
        <v/>
      </c>
      <c r="C29" s="16" t="str">
        <f>IF(ISNA(VLOOKUP(MID($A29,1,1),Kanji_2_HanViet!$A:$C,2,FALSE)),"",VLOOKUP(MID($A29,1,1),Kanji_2_HanViet!$A:$C,2,FALSE))</f>
        <v/>
      </c>
      <c r="D29" s="16" t="str">
        <f>IF(ISNA(VLOOKUP(MID($A29,2,1),Kanji_2_HanViet!$A:$C,2,FALSE)),"",VLOOKUP(MID($A29,2,1),Kanji_2_HanViet!$A:$C,2,FALSE))</f>
        <v/>
      </c>
      <c r="E29" s="16" t="str">
        <f>IF(ISNA(VLOOKUP(MID($A29,3,1),Kanji_2_HanViet!$A:$C,2,FALSE)),"",VLOOKUP(MID($A29,3,1),Kanji_2_HanViet!$A:$C,2,FALSE))</f>
        <v/>
      </c>
      <c r="F29" s="16" t="str">
        <f>IF(ISNA(VLOOKUP(MID($A29,4,1),Kanji_2_HanViet!$A:$C,2,FALSE)),"",VLOOKUP(MID($A29,4,1),Kanji_2_HanViet!$A:$C,2,FALSE))</f>
        <v/>
      </c>
      <c r="G29" s="16" t="str">
        <f>IF(ISNA(VLOOKUP(MID($A29,5,1),Kanji_2_HanViet!$A:$C,2,FALSE)),"",VLOOKUP(MID($A29,5,1),Kanji_2_HanViet!$A:$C,2,FALSE))</f>
        <v/>
      </c>
      <c r="H29" s="16" t="str">
        <f>IF(ISNA(VLOOKUP(MID($A29,6,1),Kanji_2_HanViet!$A:$C,2,FALSE)),"",VLOOKUP(MID($A29,6,1),Kanji_2_HanViet!$A:$C,2,FALSE))</f>
        <v/>
      </c>
      <c r="I29" s="16" t="str">
        <f>IF(ISNA(VLOOKUP(MID($A29,7,1),Kanji_2_HanViet!$A:$C,2,FALSE)),"",VLOOKUP(MID($A29,7,1),Kanji_2_HanViet!$A:$C,2,FALSE))</f>
        <v/>
      </c>
      <c r="J29" s="16" t="str">
        <f>IF(ISNA(VLOOKUP(MID($A29,8,1),Kanji_2_HanViet!$A:$C,2,FALSE)),"",VLOOKUP(MID($A29,8,1),Kanji_2_HanViet!$A:$C,2,FALSE))</f>
        <v/>
      </c>
      <c r="K29" s="16" t="str">
        <f>IF(ISNA(VLOOKUP(MID($A29,9,1),Kanji_2_HanViet!$A:$C,2,FALSE)),"",VLOOKUP(MID($A29,9,1),Kanji_2_HanViet!$A:$C,2,FALSE))</f>
        <v/>
      </c>
    </row>
    <row r="30" spans="1:11">
      <c r="A30" s="14">
        <f>Master!B37</f>
        <v>0</v>
      </c>
      <c r="B30" s="17" t="str">
        <f t="shared" si="0"/>
        <v/>
      </c>
      <c r="C30" s="16" t="str">
        <f>IF(ISNA(VLOOKUP(MID($A30,1,1),Kanji_2_HanViet!$A:$C,2,FALSE)),"",VLOOKUP(MID($A30,1,1),Kanji_2_HanViet!$A:$C,2,FALSE))</f>
        <v/>
      </c>
      <c r="D30" s="16" t="str">
        <f>IF(ISNA(VLOOKUP(MID($A30,2,1),Kanji_2_HanViet!$A:$C,2,FALSE)),"",VLOOKUP(MID($A30,2,1),Kanji_2_HanViet!$A:$C,2,FALSE))</f>
        <v/>
      </c>
      <c r="E30" s="16" t="str">
        <f>IF(ISNA(VLOOKUP(MID($A30,3,1),Kanji_2_HanViet!$A:$C,2,FALSE)),"",VLOOKUP(MID($A30,3,1),Kanji_2_HanViet!$A:$C,2,FALSE))</f>
        <v/>
      </c>
      <c r="F30" s="16" t="str">
        <f>IF(ISNA(VLOOKUP(MID($A30,4,1),Kanji_2_HanViet!$A:$C,2,FALSE)),"",VLOOKUP(MID($A30,4,1),Kanji_2_HanViet!$A:$C,2,FALSE))</f>
        <v/>
      </c>
      <c r="G30" s="16" t="str">
        <f>IF(ISNA(VLOOKUP(MID($A30,5,1),Kanji_2_HanViet!$A:$C,2,FALSE)),"",VLOOKUP(MID($A30,5,1),Kanji_2_HanViet!$A:$C,2,FALSE))</f>
        <v/>
      </c>
      <c r="H30" s="16" t="str">
        <f>IF(ISNA(VLOOKUP(MID($A30,6,1),Kanji_2_HanViet!$A:$C,2,FALSE)),"",VLOOKUP(MID($A30,6,1),Kanji_2_HanViet!$A:$C,2,FALSE))</f>
        <v/>
      </c>
      <c r="I30" s="16" t="str">
        <f>IF(ISNA(VLOOKUP(MID($A30,7,1),Kanji_2_HanViet!$A:$C,2,FALSE)),"",VLOOKUP(MID($A30,7,1),Kanji_2_HanViet!$A:$C,2,FALSE))</f>
        <v/>
      </c>
      <c r="J30" s="16" t="str">
        <f>IF(ISNA(VLOOKUP(MID($A30,8,1),Kanji_2_HanViet!$A:$C,2,FALSE)),"",VLOOKUP(MID($A30,8,1),Kanji_2_HanViet!$A:$C,2,FALSE))</f>
        <v/>
      </c>
      <c r="K30" s="16" t="str">
        <f>IF(ISNA(VLOOKUP(MID($A30,9,1),Kanji_2_HanViet!$A:$C,2,FALSE)),"",VLOOKUP(MID($A30,9,1),Kanji_2_HanViet!$A:$C,2,FALSE))</f>
        <v/>
      </c>
    </row>
    <row r="31" spans="1:11">
      <c r="A31" s="14">
        <f>Master!B38</f>
        <v>0</v>
      </c>
      <c r="B31" s="17" t="str">
        <f t="shared" si="0"/>
        <v/>
      </c>
      <c r="C31" s="16" t="str">
        <f>IF(ISNA(VLOOKUP(MID($A31,1,1),Kanji_2_HanViet!$A:$C,2,FALSE)),"",VLOOKUP(MID($A31,1,1),Kanji_2_HanViet!$A:$C,2,FALSE))</f>
        <v/>
      </c>
      <c r="D31" s="16" t="str">
        <f>IF(ISNA(VLOOKUP(MID($A31,2,1),Kanji_2_HanViet!$A:$C,2,FALSE)),"",VLOOKUP(MID($A31,2,1),Kanji_2_HanViet!$A:$C,2,FALSE))</f>
        <v/>
      </c>
      <c r="E31" s="16" t="str">
        <f>IF(ISNA(VLOOKUP(MID($A31,3,1),Kanji_2_HanViet!$A:$C,2,FALSE)),"",VLOOKUP(MID($A31,3,1),Kanji_2_HanViet!$A:$C,2,FALSE))</f>
        <v/>
      </c>
      <c r="F31" s="16" t="str">
        <f>IF(ISNA(VLOOKUP(MID($A31,4,1),Kanji_2_HanViet!$A:$C,2,FALSE)),"",VLOOKUP(MID($A31,4,1),Kanji_2_HanViet!$A:$C,2,FALSE))</f>
        <v/>
      </c>
      <c r="G31" s="16" t="str">
        <f>IF(ISNA(VLOOKUP(MID($A31,5,1),Kanji_2_HanViet!$A:$C,2,FALSE)),"",VLOOKUP(MID($A31,5,1),Kanji_2_HanViet!$A:$C,2,FALSE))</f>
        <v/>
      </c>
      <c r="H31" s="16" t="str">
        <f>IF(ISNA(VLOOKUP(MID($A31,6,1),Kanji_2_HanViet!$A:$C,2,FALSE)),"",VLOOKUP(MID($A31,6,1),Kanji_2_HanViet!$A:$C,2,FALSE))</f>
        <v/>
      </c>
      <c r="I31" s="16" t="str">
        <f>IF(ISNA(VLOOKUP(MID($A31,7,1),Kanji_2_HanViet!$A:$C,2,FALSE)),"",VLOOKUP(MID($A31,7,1),Kanji_2_HanViet!$A:$C,2,FALSE))</f>
        <v/>
      </c>
      <c r="J31" s="16" t="str">
        <f>IF(ISNA(VLOOKUP(MID($A31,8,1),Kanji_2_HanViet!$A:$C,2,FALSE)),"",VLOOKUP(MID($A31,8,1),Kanji_2_HanViet!$A:$C,2,FALSE))</f>
        <v/>
      </c>
      <c r="K31" s="16" t="str">
        <f>IF(ISNA(VLOOKUP(MID($A31,9,1),Kanji_2_HanViet!$A:$C,2,FALSE)),"",VLOOKUP(MID($A31,9,1),Kanji_2_HanViet!$A:$C,2,FALSE))</f>
        <v/>
      </c>
    </row>
    <row r="32" spans="1:11">
      <c r="A32" s="14">
        <f>Master!B39</f>
        <v>0</v>
      </c>
      <c r="B32" s="17" t="str">
        <f t="shared" si="0"/>
        <v/>
      </c>
      <c r="C32" s="16" t="str">
        <f>IF(ISNA(VLOOKUP(MID($A32,1,1),Kanji_2_HanViet!$A:$C,2,FALSE)),"",VLOOKUP(MID($A32,1,1),Kanji_2_HanViet!$A:$C,2,FALSE))</f>
        <v/>
      </c>
      <c r="D32" s="16" t="str">
        <f>IF(ISNA(VLOOKUP(MID($A32,2,1),Kanji_2_HanViet!$A:$C,2,FALSE)),"",VLOOKUP(MID($A32,2,1),Kanji_2_HanViet!$A:$C,2,FALSE))</f>
        <v/>
      </c>
      <c r="E32" s="16" t="str">
        <f>IF(ISNA(VLOOKUP(MID($A32,3,1),Kanji_2_HanViet!$A:$C,2,FALSE)),"",VLOOKUP(MID($A32,3,1),Kanji_2_HanViet!$A:$C,2,FALSE))</f>
        <v/>
      </c>
      <c r="F32" s="16" t="str">
        <f>IF(ISNA(VLOOKUP(MID($A32,4,1),Kanji_2_HanViet!$A:$C,2,FALSE)),"",VLOOKUP(MID($A32,4,1),Kanji_2_HanViet!$A:$C,2,FALSE))</f>
        <v/>
      </c>
      <c r="G32" s="16" t="str">
        <f>IF(ISNA(VLOOKUP(MID($A32,5,1),Kanji_2_HanViet!$A:$C,2,FALSE)),"",VLOOKUP(MID($A32,5,1),Kanji_2_HanViet!$A:$C,2,FALSE))</f>
        <v/>
      </c>
      <c r="H32" s="16" t="str">
        <f>IF(ISNA(VLOOKUP(MID($A32,6,1),Kanji_2_HanViet!$A:$C,2,FALSE)),"",VLOOKUP(MID($A32,6,1),Kanji_2_HanViet!$A:$C,2,FALSE))</f>
        <v/>
      </c>
      <c r="I32" s="16" t="str">
        <f>IF(ISNA(VLOOKUP(MID($A32,7,1),Kanji_2_HanViet!$A:$C,2,FALSE)),"",VLOOKUP(MID($A32,7,1),Kanji_2_HanViet!$A:$C,2,FALSE))</f>
        <v/>
      </c>
      <c r="J32" s="16" t="str">
        <f>IF(ISNA(VLOOKUP(MID($A32,8,1),Kanji_2_HanViet!$A:$C,2,FALSE)),"",VLOOKUP(MID($A32,8,1),Kanji_2_HanViet!$A:$C,2,FALSE))</f>
        <v/>
      </c>
      <c r="K32" s="16" t="str">
        <f>IF(ISNA(VLOOKUP(MID($A32,9,1),Kanji_2_HanViet!$A:$C,2,FALSE)),"",VLOOKUP(MID($A32,9,1),Kanji_2_HanViet!$A:$C,2,FALSE))</f>
        <v/>
      </c>
    </row>
    <row r="33" spans="1:11">
      <c r="A33" s="14">
        <f>Master!B40</f>
        <v>0</v>
      </c>
      <c r="B33" s="17" t="str">
        <f t="shared" si="0"/>
        <v/>
      </c>
      <c r="C33" s="16" t="str">
        <f>IF(ISNA(VLOOKUP(MID($A33,1,1),Kanji_2_HanViet!$A:$C,2,FALSE)),"",VLOOKUP(MID($A33,1,1),Kanji_2_HanViet!$A:$C,2,FALSE))</f>
        <v/>
      </c>
      <c r="D33" s="16" t="str">
        <f>IF(ISNA(VLOOKUP(MID($A33,2,1),Kanji_2_HanViet!$A:$C,2,FALSE)),"",VLOOKUP(MID($A33,2,1),Kanji_2_HanViet!$A:$C,2,FALSE))</f>
        <v/>
      </c>
      <c r="E33" s="16" t="str">
        <f>IF(ISNA(VLOOKUP(MID($A33,3,1),Kanji_2_HanViet!$A:$C,2,FALSE)),"",VLOOKUP(MID($A33,3,1),Kanji_2_HanViet!$A:$C,2,FALSE))</f>
        <v/>
      </c>
      <c r="F33" s="16" t="str">
        <f>IF(ISNA(VLOOKUP(MID($A33,4,1),Kanji_2_HanViet!$A:$C,2,FALSE)),"",VLOOKUP(MID($A33,4,1),Kanji_2_HanViet!$A:$C,2,FALSE))</f>
        <v/>
      </c>
      <c r="G33" s="16" t="str">
        <f>IF(ISNA(VLOOKUP(MID($A33,5,1),Kanji_2_HanViet!$A:$C,2,FALSE)),"",VLOOKUP(MID($A33,5,1),Kanji_2_HanViet!$A:$C,2,FALSE))</f>
        <v/>
      </c>
      <c r="H33" s="16" t="str">
        <f>IF(ISNA(VLOOKUP(MID($A33,6,1),Kanji_2_HanViet!$A:$C,2,FALSE)),"",VLOOKUP(MID($A33,6,1),Kanji_2_HanViet!$A:$C,2,FALSE))</f>
        <v/>
      </c>
      <c r="I33" s="16" t="str">
        <f>IF(ISNA(VLOOKUP(MID($A33,7,1),Kanji_2_HanViet!$A:$C,2,FALSE)),"",VLOOKUP(MID($A33,7,1),Kanji_2_HanViet!$A:$C,2,FALSE))</f>
        <v/>
      </c>
      <c r="J33" s="16" t="str">
        <f>IF(ISNA(VLOOKUP(MID($A33,8,1),Kanji_2_HanViet!$A:$C,2,FALSE)),"",VLOOKUP(MID($A33,8,1),Kanji_2_HanViet!$A:$C,2,FALSE))</f>
        <v/>
      </c>
      <c r="K33" s="16" t="str">
        <f>IF(ISNA(VLOOKUP(MID($A33,9,1),Kanji_2_HanViet!$A:$C,2,FALSE)),"",VLOOKUP(MID($A33,9,1),Kanji_2_HanViet!$A:$C,2,FALSE))</f>
        <v/>
      </c>
    </row>
    <row r="34" spans="1:11">
      <c r="A34" s="14">
        <f>Master!B41</f>
        <v>0</v>
      </c>
      <c r="B34" s="17" t="str">
        <f t="shared" si="0"/>
        <v/>
      </c>
      <c r="C34" s="16" t="str">
        <f>IF(ISNA(VLOOKUP(MID($A34,1,1),Kanji_2_HanViet!$A:$C,2,FALSE)),"",VLOOKUP(MID($A34,1,1),Kanji_2_HanViet!$A:$C,2,FALSE))</f>
        <v/>
      </c>
      <c r="D34" s="16" t="str">
        <f>IF(ISNA(VLOOKUP(MID($A34,2,1),Kanji_2_HanViet!$A:$C,2,FALSE)),"",VLOOKUP(MID($A34,2,1),Kanji_2_HanViet!$A:$C,2,FALSE))</f>
        <v/>
      </c>
      <c r="E34" s="16" t="str">
        <f>IF(ISNA(VLOOKUP(MID($A34,3,1),Kanji_2_HanViet!$A:$C,2,FALSE)),"",VLOOKUP(MID($A34,3,1),Kanji_2_HanViet!$A:$C,2,FALSE))</f>
        <v/>
      </c>
      <c r="F34" s="16" t="str">
        <f>IF(ISNA(VLOOKUP(MID($A34,4,1),Kanji_2_HanViet!$A:$C,2,FALSE)),"",VLOOKUP(MID($A34,4,1),Kanji_2_HanViet!$A:$C,2,FALSE))</f>
        <v/>
      </c>
      <c r="G34" s="16" t="str">
        <f>IF(ISNA(VLOOKUP(MID($A34,5,1),Kanji_2_HanViet!$A:$C,2,FALSE)),"",VLOOKUP(MID($A34,5,1),Kanji_2_HanViet!$A:$C,2,FALSE))</f>
        <v/>
      </c>
      <c r="H34" s="16" t="str">
        <f>IF(ISNA(VLOOKUP(MID($A34,6,1),Kanji_2_HanViet!$A:$C,2,FALSE)),"",VLOOKUP(MID($A34,6,1),Kanji_2_HanViet!$A:$C,2,FALSE))</f>
        <v/>
      </c>
      <c r="I34" s="16" t="str">
        <f>IF(ISNA(VLOOKUP(MID($A34,7,1),Kanji_2_HanViet!$A:$C,2,FALSE)),"",VLOOKUP(MID($A34,7,1),Kanji_2_HanViet!$A:$C,2,FALSE))</f>
        <v/>
      </c>
      <c r="J34" s="16" t="str">
        <f>IF(ISNA(VLOOKUP(MID($A34,8,1),Kanji_2_HanViet!$A:$C,2,FALSE)),"",VLOOKUP(MID($A34,8,1),Kanji_2_HanViet!$A:$C,2,FALSE))</f>
        <v/>
      </c>
      <c r="K34" s="16" t="str">
        <f>IF(ISNA(VLOOKUP(MID($A34,9,1),Kanji_2_HanViet!$A:$C,2,FALSE)),"",VLOOKUP(MID($A34,9,1),Kanji_2_HanViet!$A:$C,2,FALSE))</f>
        <v/>
      </c>
    </row>
    <row r="35" spans="1:11">
      <c r="A35" s="14">
        <f>Master!B42</f>
        <v>0</v>
      </c>
      <c r="B35" s="17" t="str">
        <f t="shared" si="0"/>
        <v/>
      </c>
      <c r="C35" s="16" t="str">
        <f>IF(ISNA(VLOOKUP(MID($A35,1,1),Kanji_2_HanViet!$A:$C,2,FALSE)),"",VLOOKUP(MID($A35,1,1),Kanji_2_HanViet!$A:$C,2,FALSE))</f>
        <v/>
      </c>
      <c r="D35" s="16" t="str">
        <f>IF(ISNA(VLOOKUP(MID($A35,2,1),Kanji_2_HanViet!$A:$C,2,FALSE)),"",VLOOKUP(MID($A35,2,1),Kanji_2_HanViet!$A:$C,2,FALSE))</f>
        <v/>
      </c>
      <c r="E35" s="16" t="str">
        <f>IF(ISNA(VLOOKUP(MID($A35,3,1),Kanji_2_HanViet!$A:$C,2,FALSE)),"",VLOOKUP(MID($A35,3,1),Kanji_2_HanViet!$A:$C,2,FALSE))</f>
        <v/>
      </c>
      <c r="F35" s="16" t="str">
        <f>IF(ISNA(VLOOKUP(MID($A35,4,1),Kanji_2_HanViet!$A:$C,2,FALSE)),"",VLOOKUP(MID($A35,4,1),Kanji_2_HanViet!$A:$C,2,FALSE))</f>
        <v/>
      </c>
      <c r="G35" s="16" t="str">
        <f>IF(ISNA(VLOOKUP(MID($A35,5,1),Kanji_2_HanViet!$A:$C,2,FALSE)),"",VLOOKUP(MID($A35,5,1),Kanji_2_HanViet!$A:$C,2,FALSE))</f>
        <v/>
      </c>
      <c r="H35" s="16" t="str">
        <f>IF(ISNA(VLOOKUP(MID($A35,6,1),Kanji_2_HanViet!$A:$C,2,FALSE)),"",VLOOKUP(MID($A35,6,1),Kanji_2_HanViet!$A:$C,2,FALSE))</f>
        <v/>
      </c>
      <c r="I35" s="16" t="str">
        <f>IF(ISNA(VLOOKUP(MID($A35,7,1),Kanji_2_HanViet!$A:$C,2,FALSE)),"",VLOOKUP(MID($A35,7,1),Kanji_2_HanViet!$A:$C,2,FALSE))</f>
        <v/>
      </c>
      <c r="J35" s="16" t="str">
        <f>IF(ISNA(VLOOKUP(MID($A35,8,1),Kanji_2_HanViet!$A:$C,2,FALSE)),"",VLOOKUP(MID($A35,8,1),Kanji_2_HanViet!$A:$C,2,FALSE))</f>
        <v/>
      </c>
      <c r="K35" s="16" t="str">
        <f>IF(ISNA(VLOOKUP(MID($A35,9,1),Kanji_2_HanViet!$A:$C,2,FALSE)),"",VLOOKUP(MID($A35,9,1),Kanji_2_HanViet!$A:$C,2,FALSE))</f>
        <v/>
      </c>
    </row>
    <row r="36" spans="1:11">
      <c r="A36" s="14">
        <f>Master!B43</f>
        <v>0</v>
      </c>
      <c r="B36" s="17" t="str">
        <f t="shared" si="0"/>
        <v/>
      </c>
      <c r="C36" s="16" t="str">
        <f>IF(ISNA(VLOOKUP(MID($A36,1,1),Kanji_2_HanViet!$A:$C,2,FALSE)),"",VLOOKUP(MID($A36,1,1),Kanji_2_HanViet!$A:$C,2,FALSE))</f>
        <v/>
      </c>
      <c r="D36" s="16" t="str">
        <f>IF(ISNA(VLOOKUP(MID($A36,2,1),Kanji_2_HanViet!$A:$C,2,FALSE)),"",VLOOKUP(MID($A36,2,1),Kanji_2_HanViet!$A:$C,2,FALSE))</f>
        <v/>
      </c>
      <c r="E36" s="16" t="str">
        <f>IF(ISNA(VLOOKUP(MID($A36,3,1),Kanji_2_HanViet!$A:$C,2,FALSE)),"",VLOOKUP(MID($A36,3,1),Kanji_2_HanViet!$A:$C,2,FALSE))</f>
        <v/>
      </c>
      <c r="F36" s="16" t="str">
        <f>IF(ISNA(VLOOKUP(MID($A36,4,1),Kanji_2_HanViet!$A:$C,2,FALSE)),"",VLOOKUP(MID($A36,4,1),Kanji_2_HanViet!$A:$C,2,FALSE))</f>
        <v/>
      </c>
      <c r="G36" s="16" t="str">
        <f>IF(ISNA(VLOOKUP(MID($A36,5,1),Kanji_2_HanViet!$A:$C,2,FALSE)),"",VLOOKUP(MID($A36,5,1),Kanji_2_HanViet!$A:$C,2,FALSE))</f>
        <v/>
      </c>
      <c r="H36" s="16" t="str">
        <f>IF(ISNA(VLOOKUP(MID($A36,6,1),Kanji_2_HanViet!$A:$C,2,FALSE)),"",VLOOKUP(MID($A36,6,1),Kanji_2_HanViet!$A:$C,2,FALSE))</f>
        <v/>
      </c>
      <c r="I36" s="16" t="str">
        <f>IF(ISNA(VLOOKUP(MID($A36,7,1),Kanji_2_HanViet!$A:$C,2,FALSE)),"",VLOOKUP(MID($A36,7,1),Kanji_2_HanViet!$A:$C,2,FALSE))</f>
        <v/>
      </c>
      <c r="J36" s="16" t="str">
        <f>IF(ISNA(VLOOKUP(MID($A36,8,1),Kanji_2_HanViet!$A:$C,2,FALSE)),"",VLOOKUP(MID($A36,8,1),Kanji_2_HanViet!$A:$C,2,FALSE))</f>
        <v/>
      </c>
      <c r="K36" s="16" t="str">
        <f>IF(ISNA(VLOOKUP(MID($A36,9,1),Kanji_2_HanViet!$A:$C,2,FALSE)),"",VLOOKUP(MID($A36,9,1),Kanji_2_HanViet!$A:$C,2,FALSE))</f>
        <v/>
      </c>
    </row>
    <row r="37" spans="1:11">
      <c r="A37" s="14">
        <f>Master!B44</f>
        <v>0</v>
      </c>
      <c r="B37" s="17" t="str">
        <f t="shared" si="0"/>
        <v/>
      </c>
      <c r="C37" s="16" t="str">
        <f>IF(ISNA(VLOOKUP(MID($A37,1,1),Kanji_2_HanViet!$A:$C,2,FALSE)),"",VLOOKUP(MID($A37,1,1),Kanji_2_HanViet!$A:$C,2,FALSE))</f>
        <v/>
      </c>
      <c r="D37" s="16" t="str">
        <f>IF(ISNA(VLOOKUP(MID($A37,2,1),Kanji_2_HanViet!$A:$C,2,FALSE)),"",VLOOKUP(MID($A37,2,1),Kanji_2_HanViet!$A:$C,2,FALSE))</f>
        <v/>
      </c>
      <c r="E37" s="16" t="str">
        <f>IF(ISNA(VLOOKUP(MID($A37,3,1),Kanji_2_HanViet!$A:$C,2,FALSE)),"",VLOOKUP(MID($A37,3,1),Kanji_2_HanViet!$A:$C,2,FALSE))</f>
        <v/>
      </c>
      <c r="F37" s="16" t="str">
        <f>IF(ISNA(VLOOKUP(MID($A37,4,1),Kanji_2_HanViet!$A:$C,2,FALSE)),"",VLOOKUP(MID($A37,4,1),Kanji_2_HanViet!$A:$C,2,FALSE))</f>
        <v/>
      </c>
      <c r="G37" s="16" t="str">
        <f>IF(ISNA(VLOOKUP(MID($A37,5,1),Kanji_2_HanViet!$A:$C,2,FALSE)),"",VLOOKUP(MID($A37,5,1),Kanji_2_HanViet!$A:$C,2,FALSE))</f>
        <v/>
      </c>
      <c r="H37" s="16" t="str">
        <f>IF(ISNA(VLOOKUP(MID($A37,6,1),Kanji_2_HanViet!$A:$C,2,FALSE)),"",VLOOKUP(MID($A37,6,1),Kanji_2_HanViet!$A:$C,2,FALSE))</f>
        <v/>
      </c>
      <c r="I37" s="16" t="str">
        <f>IF(ISNA(VLOOKUP(MID($A37,7,1),Kanji_2_HanViet!$A:$C,2,FALSE)),"",VLOOKUP(MID($A37,7,1),Kanji_2_HanViet!$A:$C,2,FALSE))</f>
        <v/>
      </c>
      <c r="J37" s="16" t="str">
        <f>IF(ISNA(VLOOKUP(MID($A37,8,1),Kanji_2_HanViet!$A:$C,2,FALSE)),"",VLOOKUP(MID($A37,8,1),Kanji_2_HanViet!$A:$C,2,FALSE))</f>
        <v/>
      </c>
      <c r="K37" s="16" t="str">
        <f>IF(ISNA(VLOOKUP(MID($A37,9,1),Kanji_2_HanViet!$A:$C,2,FALSE)),"",VLOOKUP(MID($A37,9,1),Kanji_2_HanViet!$A:$C,2,FALSE))</f>
        <v/>
      </c>
    </row>
    <row r="38" spans="1:11">
      <c r="A38" s="14">
        <f>Master!B45</f>
        <v>0</v>
      </c>
      <c r="B38" s="17" t="str">
        <f t="shared" si="0"/>
        <v/>
      </c>
      <c r="C38" s="16" t="str">
        <f>IF(ISNA(VLOOKUP(MID($A38,1,1),Kanji_2_HanViet!$A:$C,2,FALSE)),"",VLOOKUP(MID($A38,1,1),Kanji_2_HanViet!$A:$C,2,FALSE))</f>
        <v/>
      </c>
      <c r="D38" s="16" t="str">
        <f>IF(ISNA(VLOOKUP(MID($A38,2,1),Kanji_2_HanViet!$A:$C,2,FALSE)),"",VLOOKUP(MID($A38,2,1),Kanji_2_HanViet!$A:$C,2,FALSE))</f>
        <v/>
      </c>
      <c r="E38" s="16" t="str">
        <f>IF(ISNA(VLOOKUP(MID($A38,3,1),Kanji_2_HanViet!$A:$C,2,FALSE)),"",VLOOKUP(MID($A38,3,1),Kanji_2_HanViet!$A:$C,2,FALSE))</f>
        <v/>
      </c>
      <c r="F38" s="16" t="str">
        <f>IF(ISNA(VLOOKUP(MID($A38,4,1),Kanji_2_HanViet!$A:$C,2,FALSE)),"",VLOOKUP(MID($A38,4,1),Kanji_2_HanViet!$A:$C,2,FALSE))</f>
        <v/>
      </c>
      <c r="G38" s="16" t="str">
        <f>IF(ISNA(VLOOKUP(MID($A38,5,1),Kanji_2_HanViet!$A:$C,2,FALSE)),"",VLOOKUP(MID($A38,5,1),Kanji_2_HanViet!$A:$C,2,FALSE))</f>
        <v/>
      </c>
      <c r="H38" s="16" t="str">
        <f>IF(ISNA(VLOOKUP(MID($A38,6,1),Kanji_2_HanViet!$A:$C,2,FALSE)),"",VLOOKUP(MID($A38,6,1),Kanji_2_HanViet!$A:$C,2,FALSE))</f>
        <v/>
      </c>
      <c r="I38" s="16" t="str">
        <f>IF(ISNA(VLOOKUP(MID($A38,7,1),Kanji_2_HanViet!$A:$C,2,FALSE)),"",VLOOKUP(MID($A38,7,1),Kanji_2_HanViet!$A:$C,2,FALSE))</f>
        <v/>
      </c>
      <c r="J38" s="16" t="str">
        <f>IF(ISNA(VLOOKUP(MID($A38,8,1),Kanji_2_HanViet!$A:$C,2,FALSE)),"",VLOOKUP(MID($A38,8,1),Kanji_2_HanViet!$A:$C,2,FALSE))</f>
        <v/>
      </c>
      <c r="K38" s="16" t="str">
        <f>IF(ISNA(VLOOKUP(MID($A38,9,1),Kanji_2_HanViet!$A:$C,2,FALSE)),"",VLOOKUP(MID($A38,9,1),Kanji_2_HanViet!$A:$C,2,FALSE))</f>
        <v/>
      </c>
    </row>
    <row r="39" spans="1:11">
      <c r="A39" s="14">
        <f>Master!B46</f>
        <v>0</v>
      </c>
      <c r="B39" s="17" t="str">
        <f t="shared" si="0"/>
        <v/>
      </c>
      <c r="C39" s="16" t="str">
        <f>IF(ISNA(VLOOKUP(MID($A39,1,1),Kanji_2_HanViet!$A:$C,2,FALSE)),"",VLOOKUP(MID($A39,1,1),Kanji_2_HanViet!$A:$C,2,FALSE))</f>
        <v/>
      </c>
      <c r="D39" s="16" t="str">
        <f>IF(ISNA(VLOOKUP(MID($A39,2,1),Kanji_2_HanViet!$A:$C,2,FALSE)),"",VLOOKUP(MID($A39,2,1),Kanji_2_HanViet!$A:$C,2,FALSE))</f>
        <v/>
      </c>
      <c r="E39" s="16" t="str">
        <f>IF(ISNA(VLOOKUP(MID($A39,3,1),Kanji_2_HanViet!$A:$C,2,FALSE)),"",VLOOKUP(MID($A39,3,1),Kanji_2_HanViet!$A:$C,2,FALSE))</f>
        <v/>
      </c>
      <c r="F39" s="16" t="str">
        <f>IF(ISNA(VLOOKUP(MID($A39,4,1),Kanji_2_HanViet!$A:$C,2,FALSE)),"",VLOOKUP(MID($A39,4,1),Kanji_2_HanViet!$A:$C,2,FALSE))</f>
        <v/>
      </c>
      <c r="G39" s="16" t="str">
        <f>IF(ISNA(VLOOKUP(MID($A39,5,1),Kanji_2_HanViet!$A:$C,2,FALSE)),"",VLOOKUP(MID($A39,5,1),Kanji_2_HanViet!$A:$C,2,FALSE))</f>
        <v/>
      </c>
      <c r="H39" s="16" t="str">
        <f>IF(ISNA(VLOOKUP(MID($A39,6,1),Kanji_2_HanViet!$A:$C,2,FALSE)),"",VLOOKUP(MID($A39,6,1),Kanji_2_HanViet!$A:$C,2,FALSE))</f>
        <v/>
      </c>
      <c r="I39" s="16" t="str">
        <f>IF(ISNA(VLOOKUP(MID($A39,7,1),Kanji_2_HanViet!$A:$C,2,FALSE)),"",VLOOKUP(MID($A39,7,1),Kanji_2_HanViet!$A:$C,2,FALSE))</f>
        <v/>
      </c>
      <c r="J39" s="16" t="str">
        <f>IF(ISNA(VLOOKUP(MID($A39,8,1),Kanji_2_HanViet!$A:$C,2,FALSE)),"",VLOOKUP(MID($A39,8,1),Kanji_2_HanViet!$A:$C,2,FALSE))</f>
        <v/>
      </c>
      <c r="K39" s="16" t="str">
        <f>IF(ISNA(VLOOKUP(MID($A39,9,1),Kanji_2_HanViet!$A:$C,2,FALSE)),"",VLOOKUP(MID($A39,9,1),Kanji_2_HanViet!$A:$C,2,FALSE))</f>
        <v/>
      </c>
    </row>
    <row r="40" spans="1:11">
      <c r="A40" s="14">
        <f>Master!B47</f>
        <v>0</v>
      </c>
      <c r="B40" s="17" t="str">
        <f t="shared" si="0"/>
        <v/>
      </c>
      <c r="C40" s="16" t="str">
        <f>IF(ISNA(VLOOKUP(MID($A40,1,1),Kanji_2_HanViet!$A:$C,2,FALSE)),"",VLOOKUP(MID($A40,1,1),Kanji_2_HanViet!$A:$C,2,FALSE))</f>
        <v/>
      </c>
      <c r="D40" s="16" t="str">
        <f>IF(ISNA(VLOOKUP(MID($A40,2,1),Kanji_2_HanViet!$A:$C,2,FALSE)),"",VLOOKUP(MID($A40,2,1),Kanji_2_HanViet!$A:$C,2,FALSE))</f>
        <v/>
      </c>
      <c r="E40" s="16" t="str">
        <f>IF(ISNA(VLOOKUP(MID($A40,3,1),Kanji_2_HanViet!$A:$C,2,FALSE)),"",VLOOKUP(MID($A40,3,1),Kanji_2_HanViet!$A:$C,2,FALSE))</f>
        <v/>
      </c>
      <c r="F40" s="16" t="str">
        <f>IF(ISNA(VLOOKUP(MID($A40,4,1),Kanji_2_HanViet!$A:$C,2,FALSE)),"",VLOOKUP(MID($A40,4,1),Kanji_2_HanViet!$A:$C,2,FALSE))</f>
        <v/>
      </c>
      <c r="G40" s="16" t="str">
        <f>IF(ISNA(VLOOKUP(MID($A40,5,1),Kanji_2_HanViet!$A:$C,2,FALSE)),"",VLOOKUP(MID($A40,5,1),Kanji_2_HanViet!$A:$C,2,FALSE))</f>
        <v/>
      </c>
      <c r="H40" s="16" t="str">
        <f>IF(ISNA(VLOOKUP(MID($A40,6,1),Kanji_2_HanViet!$A:$C,2,FALSE)),"",VLOOKUP(MID($A40,6,1),Kanji_2_HanViet!$A:$C,2,FALSE))</f>
        <v/>
      </c>
      <c r="I40" s="16" t="str">
        <f>IF(ISNA(VLOOKUP(MID($A40,7,1),Kanji_2_HanViet!$A:$C,2,FALSE)),"",VLOOKUP(MID($A40,7,1),Kanji_2_HanViet!$A:$C,2,FALSE))</f>
        <v/>
      </c>
      <c r="J40" s="16" t="str">
        <f>IF(ISNA(VLOOKUP(MID($A40,8,1),Kanji_2_HanViet!$A:$C,2,FALSE)),"",VLOOKUP(MID($A40,8,1),Kanji_2_HanViet!$A:$C,2,FALSE))</f>
        <v/>
      </c>
      <c r="K40" s="16" t="str">
        <f>IF(ISNA(VLOOKUP(MID($A40,9,1),Kanji_2_HanViet!$A:$C,2,FALSE)),"",VLOOKUP(MID($A40,9,1),Kanji_2_HanViet!$A:$C,2,FALSE))</f>
        <v/>
      </c>
    </row>
    <row r="41" spans="1:11">
      <c r="A41" s="14">
        <f>Master!B48</f>
        <v>0</v>
      </c>
      <c r="B41" s="17" t="str">
        <f t="shared" si="0"/>
        <v/>
      </c>
      <c r="C41" s="16" t="str">
        <f>IF(ISNA(VLOOKUP(MID($A41,1,1),Kanji_2_HanViet!$A:$C,2,FALSE)),"",VLOOKUP(MID($A41,1,1),Kanji_2_HanViet!$A:$C,2,FALSE))</f>
        <v/>
      </c>
      <c r="D41" s="16" t="str">
        <f>IF(ISNA(VLOOKUP(MID($A41,2,1),Kanji_2_HanViet!$A:$C,2,FALSE)),"",VLOOKUP(MID($A41,2,1),Kanji_2_HanViet!$A:$C,2,FALSE))</f>
        <v/>
      </c>
      <c r="E41" s="16" t="str">
        <f>IF(ISNA(VLOOKUP(MID($A41,3,1),Kanji_2_HanViet!$A:$C,2,FALSE)),"",VLOOKUP(MID($A41,3,1),Kanji_2_HanViet!$A:$C,2,FALSE))</f>
        <v/>
      </c>
      <c r="F41" s="16" t="str">
        <f>IF(ISNA(VLOOKUP(MID($A41,4,1),Kanji_2_HanViet!$A:$C,2,FALSE)),"",VLOOKUP(MID($A41,4,1),Kanji_2_HanViet!$A:$C,2,FALSE))</f>
        <v/>
      </c>
      <c r="G41" s="16" t="str">
        <f>IF(ISNA(VLOOKUP(MID($A41,5,1),Kanji_2_HanViet!$A:$C,2,FALSE)),"",VLOOKUP(MID($A41,5,1),Kanji_2_HanViet!$A:$C,2,FALSE))</f>
        <v/>
      </c>
      <c r="H41" s="16" t="str">
        <f>IF(ISNA(VLOOKUP(MID($A41,6,1),Kanji_2_HanViet!$A:$C,2,FALSE)),"",VLOOKUP(MID($A41,6,1),Kanji_2_HanViet!$A:$C,2,FALSE))</f>
        <v/>
      </c>
      <c r="I41" s="16" t="str">
        <f>IF(ISNA(VLOOKUP(MID($A41,7,1),Kanji_2_HanViet!$A:$C,2,FALSE)),"",VLOOKUP(MID($A41,7,1),Kanji_2_HanViet!$A:$C,2,FALSE))</f>
        <v/>
      </c>
      <c r="J41" s="16" t="str">
        <f>IF(ISNA(VLOOKUP(MID($A41,8,1),Kanji_2_HanViet!$A:$C,2,FALSE)),"",VLOOKUP(MID($A41,8,1),Kanji_2_HanViet!$A:$C,2,FALSE))</f>
        <v/>
      </c>
      <c r="K41" s="16" t="str">
        <f>IF(ISNA(VLOOKUP(MID($A41,9,1),Kanji_2_HanViet!$A:$C,2,FALSE)),"",VLOOKUP(MID($A41,9,1),Kanji_2_HanViet!$A:$C,2,FALSE))</f>
        <v/>
      </c>
    </row>
    <row r="42" spans="1:11">
      <c r="A42" s="14">
        <f>Master!B49</f>
        <v>0</v>
      </c>
      <c r="B42" s="17" t="str">
        <f t="shared" si="0"/>
        <v/>
      </c>
      <c r="C42" s="16" t="str">
        <f>IF(ISNA(VLOOKUP(MID($A42,1,1),Kanji_2_HanViet!$A:$C,2,FALSE)),"",VLOOKUP(MID($A42,1,1),Kanji_2_HanViet!$A:$C,2,FALSE))</f>
        <v/>
      </c>
      <c r="D42" s="16" t="str">
        <f>IF(ISNA(VLOOKUP(MID($A42,2,1),Kanji_2_HanViet!$A:$C,2,FALSE)),"",VLOOKUP(MID($A42,2,1),Kanji_2_HanViet!$A:$C,2,FALSE))</f>
        <v/>
      </c>
      <c r="E42" s="16" t="str">
        <f>IF(ISNA(VLOOKUP(MID($A42,3,1),Kanji_2_HanViet!$A:$C,2,FALSE)),"",VLOOKUP(MID($A42,3,1),Kanji_2_HanViet!$A:$C,2,FALSE))</f>
        <v/>
      </c>
      <c r="F42" s="16" t="str">
        <f>IF(ISNA(VLOOKUP(MID($A42,4,1),Kanji_2_HanViet!$A:$C,2,FALSE)),"",VLOOKUP(MID($A42,4,1),Kanji_2_HanViet!$A:$C,2,FALSE))</f>
        <v/>
      </c>
      <c r="G42" s="16" t="str">
        <f>IF(ISNA(VLOOKUP(MID($A42,5,1),Kanji_2_HanViet!$A:$C,2,FALSE)),"",VLOOKUP(MID($A42,5,1),Kanji_2_HanViet!$A:$C,2,FALSE))</f>
        <v/>
      </c>
      <c r="H42" s="16" t="str">
        <f>IF(ISNA(VLOOKUP(MID($A42,6,1),Kanji_2_HanViet!$A:$C,2,FALSE)),"",VLOOKUP(MID($A42,6,1),Kanji_2_HanViet!$A:$C,2,FALSE))</f>
        <v/>
      </c>
      <c r="I42" s="16" t="str">
        <f>IF(ISNA(VLOOKUP(MID($A42,7,1),Kanji_2_HanViet!$A:$C,2,FALSE)),"",VLOOKUP(MID($A42,7,1),Kanji_2_HanViet!$A:$C,2,FALSE))</f>
        <v/>
      </c>
      <c r="J42" s="16" t="str">
        <f>IF(ISNA(VLOOKUP(MID($A42,8,1),Kanji_2_HanViet!$A:$C,2,FALSE)),"",VLOOKUP(MID($A42,8,1),Kanji_2_HanViet!$A:$C,2,FALSE))</f>
        <v/>
      </c>
      <c r="K42" s="16" t="str">
        <f>IF(ISNA(VLOOKUP(MID($A42,9,1),Kanji_2_HanViet!$A:$C,2,FALSE)),"",VLOOKUP(MID($A42,9,1),Kanji_2_HanViet!$A:$C,2,FALSE))</f>
        <v/>
      </c>
    </row>
    <row r="43" spans="1:11">
      <c r="A43" s="14">
        <f>Master!B50</f>
        <v>0</v>
      </c>
      <c r="B43" s="17" t="str">
        <f t="shared" si="0"/>
        <v/>
      </c>
      <c r="C43" s="16" t="str">
        <f>IF(ISNA(VLOOKUP(MID($A43,1,1),Kanji_2_HanViet!$A:$C,2,FALSE)),"",VLOOKUP(MID($A43,1,1),Kanji_2_HanViet!$A:$C,2,FALSE))</f>
        <v/>
      </c>
      <c r="D43" s="16" t="str">
        <f>IF(ISNA(VLOOKUP(MID($A43,2,1),Kanji_2_HanViet!$A:$C,2,FALSE)),"",VLOOKUP(MID($A43,2,1),Kanji_2_HanViet!$A:$C,2,FALSE))</f>
        <v/>
      </c>
      <c r="E43" s="16" t="str">
        <f>IF(ISNA(VLOOKUP(MID($A43,3,1),Kanji_2_HanViet!$A:$C,2,FALSE)),"",VLOOKUP(MID($A43,3,1),Kanji_2_HanViet!$A:$C,2,FALSE))</f>
        <v/>
      </c>
      <c r="F43" s="16" t="str">
        <f>IF(ISNA(VLOOKUP(MID($A43,4,1),Kanji_2_HanViet!$A:$C,2,FALSE)),"",VLOOKUP(MID($A43,4,1),Kanji_2_HanViet!$A:$C,2,FALSE))</f>
        <v/>
      </c>
      <c r="G43" s="16" t="str">
        <f>IF(ISNA(VLOOKUP(MID($A43,5,1),Kanji_2_HanViet!$A:$C,2,FALSE)),"",VLOOKUP(MID($A43,5,1),Kanji_2_HanViet!$A:$C,2,FALSE))</f>
        <v/>
      </c>
      <c r="H43" s="16" t="str">
        <f>IF(ISNA(VLOOKUP(MID($A43,6,1),Kanji_2_HanViet!$A:$C,2,FALSE)),"",VLOOKUP(MID($A43,6,1),Kanji_2_HanViet!$A:$C,2,FALSE))</f>
        <v/>
      </c>
      <c r="I43" s="16" t="str">
        <f>IF(ISNA(VLOOKUP(MID($A43,7,1),Kanji_2_HanViet!$A:$C,2,FALSE)),"",VLOOKUP(MID($A43,7,1),Kanji_2_HanViet!$A:$C,2,FALSE))</f>
        <v/>
      </c>
      <c r="J43" s="16" t="str">
        <f>IF(ISNA(VLOOKUP(MID($A43,8,1),Kanji_2_HanViet!$A:$C,2,FALSE)),"",VLOOKUP(MID($A43,8,1),Kanji_2_HanViet!$A:$C,2,FALSE))</f>
        <v/>
      </c>
      <c r="K43" s="16" t="str">
        <f>IF(ISNA(VLOOKUP(MID($A43,9,1),Kanji_2_HanViet!$A:$C,2,FALSE)),"",VLOOKUP(MID($A43,9,1),Kanji_2_HanViet!$A:$C,2,FALSE))</f>
        <v/>
      </c>
    </row>
    <row r="44" spans="1:11">
      <c r="A44" s="14">
        <f>Master!B51</f>
        <v>0</v>
      </c>
      <c r="B44" s="17" t="str">
        <f t="shared" si="0"/>
        <v/>
      </c>
      <c r="C44" s="16" t="str">
        <f>IF(ISNA(VLOOKUP(MID($A44,1,1),Kanji_2_HanViet!$A:$C,2,FALSE)),"",VLOOKUP(MID($A44,1,1),Kanji_2_HanViet!$A:$C,2,FALSE))</f>
        <v/>
      </c>
      <c r="D44" s="16" t="str">
        <f>IF(ISNA(VLOOKUP(MID($A44,2,1),Kanji_2_HanViet!$A:$C,2,FALSE)),"",VLOOKUP(MID($A44,2,1),Kanji_2_HanViet!$A:$C,2,FALSE))</f>
        <v/>
      </c>
      <c r="E44" s="16" t="str">
        <f>IF(ISNA(VLOOKUP(MID($A44,3,1),Kanji_2_HanViet!$A:$C,2,FALSE)),"",VLOOKUP(MID($A44,3,1),Kanji_2_HanViet!$A:$C,2,FALSE))</f>
        <v/>
      </c>
      <c r="F44" s="16" t="str">
        <f>IF(ISNA(VLOOKUP(MID($A44,4,1),Kanji_2_HanViet!$A:$C,2,FALSE)),"",VLOOKUP(MID($A44,4,1),Kanji_2_HanViet!$A:$C,2,FALSE))</f>
        <v/>
      </c>
      <c r="G44" s="16" t="str">
        <f>IF(ISNA(VLOOKUP(MID($A44,5,1),Kanji_2_HanViet!$A:$C,2,FALSE)),"",VLOOKUP(MID($A44,5,1),Kanji_2_HanViet!$A:$C,2,FALSE))</f>
        <v/>
      </c>
      <c r="H44" s="16" t="str">
        <f>IF(ISNA(VLOOKUP(MID($A44,6,1),Kanji_2_HanViet!$A:$C,2,FALSE)),"",VLOOKUP(MID($A44,6,1),Kanji_2_HanViet!$A:$C,2,FALSE))</f>
        <v/>
      </c>
      <c r="I44" s="16" t="str">
        <f>IF(ISNA(VLOOKUP(MID($A44,7,1),Kanji_2_HanViet!$A:$C,2,FALSE)),"",VLOOKUP(MID($A44,7,1),Kanji_2_HanViet!$A:$C,2,FALSE))</f>
        <v/>
      </c>
      <c r="J44" s="16" t="str">
        <f>IF(ISNA(VLOOKUP(MID($A44,8,1),Kanji_2_HanViet!$A:$C,2,FALSE)),"",VLOOKUP(MID($A44,8,1),Kanji_2_HanViet!$A:$C,2,FALSE))</f>
        <v/>
      </c>
      <c r="K44" s="16" t="str">
        <f>IF(ISNA(VLOOKUP(MID($A44,9,1),Kanji_2_HanViet!$A:$C,2,FALSE)),"",VLOOKUP(MID($A44,9,1),Kanji_2_HanViet!$A:$C,2,FALSE))</f>
        <v/>
      </c>
    </row>
    <row r="45" spans="1:11">
      <c r="A45" s="14">
        <f>Master!B52</f>
        <v>0</v>
      </c>
      <c r="B45" s="17" t="str">
        <f t="shared" si="0"/>
        <v/>
      </c>
      <c r="C45" s="16" t="str">
        <f>IF(ISNA(VLOOKUP(MID($A45,1,1),Kanji_2_HanViet!$A:$C,2,FALSE)),"",VLOOKUP(MID($A45,1,1),Kanji_2_HanViet!$A:$C,2,FALSE))</f>
        <v/>
      </c>
      <c r="D45" s="16" t="str">
        <f>IF(ISNA(VLOOKUP(MID($A45,2,1),Kanji_2_HanViet!$A:$C,2,FALSE)),"",VLOOKUP(MID($A45,2,1),Kanji_2_HanViet!$A:$C,2,FALSE))</f>
        <v/>
      </c>
      <c r="E45" s="16" t="str">
        <f>IF(ISNA(VLOOKUP(MID($A45,3,1),Kanji_2_HanViet!$A:$C,2,FALSE)),"",VLOOKUP(MID($A45,3,1),Kanji_2_HanViet!$A:$C,2,FALSE))</f>
        <v/>
      </c>
      <c r="F45" s="16" t="str">
        <f>IF(ISNA(VLOOKUP(MID($A45,4,1),Kanji_2_HanViet!$A:$C,2,FALSE)),"",VLOOKUP(MID($A45,4,1),Kanji_2_HanViet!$A:$C,2,FALSE))</f>
        <v/>
      </c>
      <c r="G45" s="16" t="str">
        <f>IF(ISNA(VLOOKUP(MID($A45,5,1),Kanji_2_HanViet!$A:$C,2,FALSE)),"",VLOOKUP(MID($A45,5,1),Kanji_2_HanViet!$A:$C,2,FALSE))</f>
        <v/>
      </c>
      <c r="H45" s="16" t="str">
        <f>IF(ISNA(VLOOKUP(MID($A45,6,1),Kanji_2_HanViet!$A:$C,2,FALSE)),"",VLOOKUP(MID($A45,6,1),Kanji_2_HanViet!$A:$C,2,FALSE))</f>
        <v/>
      </c>
      <c r="I45" s="16" t="str">
        <f>IF(ISNA(VLOOKUP(MID($A45,7,1),Kanji_2_HanViet!$A:$C,2,FALSE)),"",VLOOKUP(MID($A45,7,1),Kanji_2_HanViet!$A:$C,2,FALSE))</f>
        <v/>
      </c>
      <c r="J45" s="16" t="str">
        <f>IF(ISNA(VLOOKUP(MID($A45,8,1),Kanji_2_HanViet!$A:$C,2,FALSE)),"",VLOOKUP(MID($A45,8,1),Kanji_2_HanViet!$A:$C,2,FALSE))</f>
        <v/>
      </c>
      <c r="K45" s="16" t="str">
        <f>IF(ISNA(VLOOKUP(MID($A45,9,1),Kanji_2_HanViet!$A:$C,2,FALSE)),"",VLOOKUP(MID($A45,9,1),Kanji_2_HanViet!$A:$C,2,FALSE))</f>
        <v/>
      </c>
    </row>
    <row r="46" spans="1:11">
      <c r="A46" s="14">
        <f>Master!B53</f>
        <v>0</v>
      </c>
      <c r="B46" s="17" t="str">
        <f t="shared" si="0"/>
        <v/>
      </c>
      <c r="C46" s="16" t="str">
        <f>IF(ISNA(VLOOKUP(MID($A46,1,1),Kanji_2_HanViet!$A:$C,2,FALSE)),"",VLOOKUP(MID($A46,1,1),Kanji_2_HanViet!$A:$C,2,FALSE))</f>
        <v/>
      </c>
      <c r="D46" s="16" t="str">
        <f>IF(ISNA(VLOOKUP(MID($A46,2,1),Kanji_2_HanViet!$A:$C,2,FALSE)),"",VLOOKUP(MID($A46,2,1),Kanji_2_HanViet!$A:$C,2,FALSE))</f>
        <v/>
      </c>
      <c r="E46" s="16" t="str">
        <f>IF(ISNA(VLOOKUP(MID($A46,3,1),Kanji_2_HanViet!$A:$C,2,FALSE)),"",VLOOKUP(MID($A46,3,1),Kanji_2_HanViet!$A:$C,2,FALSE))</f>
        <v/>
      </c>
      <c r="F46" s="16" t="str">
        <f>IF(ISNA(VLOOKUP(MID($A46,4,1),Kanji_2_HanViet!$A:$C,2,FALSE)),"",VLOOKUP(MID($A46,4,1),Kanji_2_HanViet!$A:$C,2,FALSE))</f>
        <v/>
      </c>
      <c r="G46" s="16" t="str">
        <f>IF(ISNA(VLOOKUP(MID($A46,5,1),Kanji_2_HanViet!$A:$C,2,FALSE)),"",VLOOKUP(MID($A46,5,1),Kanji_2_HanViet!$A:$C,2,FALSE))</f>
        <v/>
      </c>
      <c r="H46" s="16" t="str">
        <f>IF(ISNA(VLOOKUP(MID($A46,6,1),Kanji_2_HanViet!$A:$C,2,FALSE)),"",VLOOKUP(MID($A46,6,1),Kanji_2_HanViet!$A:$C,2,FALSE))</f>
        <v/>
      </c>
      <c r="I46" s="16" t="str">
        <f>IF(ISNA(VLOOKUP(MID($A46,7,1),Kanji_2_HanViet!$A:$C,2,FALSE)),"",VLOOKUP(MID($A46,7,1),Kanji_2_HanViet!$A:$C,2,FALSE))</f>
        <v/>
      </c>
      <c r="J46" s="16" t="str">
        <f>IF(ISNA(VLOOKUP(MID($A46,8,1),Kanji_2_HanViet!$A:$C,2,FALSE)),"",VLOOKUP(MID($A46,8,1),Kanji_2_HanViet!$A:$C,2,FALSE))</f>
        <v/>
      </c>
      <c r="K46" s="16" t="str">
        <f>IF(ISNA(VLOOKUP(MID($A46,9,1),Kanji_2_HanViet!$A:$C,2,FALSE)),"",VLOOKUP(MID($A46,9,1),Kanji_2_HanViet!$A:$C,2,FALSE))</f>
        <v/>
      </c>
    </row>
    <row r="47" spans="1:11">
      <c r="A47" s="14">
        <f>Master!B54</f>
        <v>0</v>
      </c>
      <c r="B47" s="17" t="str">
        <f t="shared" si="0"/>
        <v/>
      </c>
      <c r="C47" s="16" t="str">
        <f>IF(ISNA(VLOOKUP(MID($A47,1,1),Kanji_2_HanViet!$A:$C,2,FALSE)),"",VLOOKUP(MID($A47,1,1),Kanji_2_HanViet!$A:$C,2,FALSE))</f>
        <v/>
      </c>
      <c r="D47" s="16" t="str">
        <f>IF(ISNA(VLOOKUP(MID($A47,2,1),Kanji_2_HanViet!$A:$C,2,FALSE)),"",VLOOKUP(MID($A47,2,1),Kanji_2_HanViet!$A:$C,2,FALSE))</f>
        <v/>
      </c>
      <c r="E47" s="16" t="str">
        <f>IF(ISNA(VLOOKUP(MID($A47,3,1),Kanji_2_HanViet!$A:$C,2,FALSE)),"",VLOOKUP(MID($A47,3,1),Kanji_2_HanViet!$A:$C,2,FALSE))</f>
        <v/>
      </c>
      <c r="F47" s="16" t="str">
        <f>IF(ISNA(VLOOKUP(MID($A47,4,1),Kanji_2_HanViet!$A:$C,2,FALSE)),"",VLOOKUP(MID($A47,4,1),Kanji_2_HanViet!$A:$C,2,FALSE))</f>
        <v/>
      </c>
      <c r="G47" s="16" t="str">
        <f>IF(ISNA(VLOOKUP(MID($A47,5,1),Kanji_2_HanViet!$A:$C,2,FALSE)),"",VLOOKUP(MID($A47,5,1),Kanji_2_HanViet!$A:$C,2,FALSE))</f>
        <v/>
      </c>
      <c r="H47" s="16" t="str">
        <f>IF(ISNA(VLOOKUP(MID($A47,6,1),Kanji_2_HanViet!$A:$C,2,FALSE)),"",VLOOKUP(MID($A47,6,1),Kanji_2_HanViet!$A:$C,2,FALSE))</f>
        <v/>
      </c>
      <c r="I47" s="16" t="str">
        <f>IF(ISNA(VLOOKUP(MID($A47,7,1),Kanji_2_HanViet!$A:$C,2,FALSE)),"",VLOOKUP(MID($A47,7,1),Kanji_2_HanViet!$A:$C,2,FALSE))</f>
        <v/>
      </c>
      <c r="J47" s="16" t="str">
        <f>IF(ISNA(VLOOKUP(MID($A47,8,1),Kanji_2_HanViet!$A:$C,2,FALSE)),"",VLOOKUP(MID($A47,8,1),Kanji_2_HanViet!$A:$C,2,FALSE))</f>
        <v/>
      </c>
      <c r="K47" s="16" t="str">
        <f>IF(ISNA(VLOOKUP(MID($A47,9,1),Kanji_2_HanViet!$A:$C,2,FALSE)),"",VLOOKUP(MID($A47,9,1),Kanji_2_HanViet!$A:$C,2,FALSE))</f>
        <v/>
      </c>
    </row>
    <row r="48" spans="1:11">
      <c r="A48" s="14">
        <f>Master!B55</f>
        <v>0</v>
      </c>
      <c r="B48" s="17" t="str">
        <f t="shared" si="0"/>
        <v/>
      </c>
      <c r="C48" s="16" t="str">
        <f>IF(ISNA(VLOOKUP(MID($A48,1,1),Kanji_2_HanViet!$A:$C,2,FALSE)),"",VLOOKUP(MID($A48,1,1),Kanji_2_HanViet!$A:$C,2,FALSE))</f>
        <v/>
      </c>
      <c r="D48" s="16" t="str">
        <f>IF(ISNA(VLOOKUP(MID($A48,2,1),Kanji_2_HanViet!$A:$C,2,FALSE)),"",VLOOKUP(MID($A48,2,1),Kanji_2_HanViet!$A:$C,2,FALSE))</f>
        <v/>
      </c>
      <c r="E48" s="16" t="str">
        <f>IF(ISNA(VLOOKUP(MID($A48,3,1),Kanji_2_HanViet!$A:$C,2,FALSE)),"",VLOOKUP(MID($A48,3,1),Kanji_2_HanViet!$A:$C,2,FALSE))</f>
        <v/>
      </c>
      <c r="F48" s="16" t="str">
        <f>IF(ISNA(VLOOKUP(MID($A48,4,1),Kanji_2_HanViet!$A:$C,2,FALSE)),"",VLOOKUP(MID($A48,4,1),Kanji_2_HanViet!$A:$C,2,FALSE))</f>
        <v/>
      </c>
      <c r="G48" s="16" t="str">
        <f>IF(ISNA(VLOOKUP(MID($A48,5,1),Kanji_2_HanViet!$A:$C,2,FALSE)),"",VLOOKUP(MID($A48,5,1),Kanji_2_HanViet!$A:$C,2,FALSE))</f>
        <v/>
      </c>
      <c r="H48" s="16" t="str">
        <f>IF(ISNA(VLOOKUP(MID($A48,6,1),Kanji_2_HanViet!$A:$C,2,FALSE)),"",VLOOKUP(MID($A48,6,1),Kanji_2_HanViet!$A:$C,2,FALSE))</f>
        <v/>
      </c>
      <c r="I48" s="16" t="str">
        <f>IF(ISNA(VLOOKUP(MID($A48,7,1),Kanji_2_HanViet!$A:$C,2,FALSE)),"",VLOOKUP(MID($A48,7,1),Kanji_2_HanViet!$A:$C,2,FALSE))</f>
        <v/>
      </c>
      <c r="J48" s="16" t="str">
        <f>IF(ISNA(VLOOKUP(MID($A48,8,1),Kanji_2_HanViet!$A:$C,2,FALSE)),"",VLOOKUP(MID($A48,8,1),Kanji_2_HanViet!$A:$C,2,FALSE))</f>
        <v/>
      </c>
      <c r="K48" s="16" t="str">
        <f>IF(ISNA(VLOOKUP(MID($A48,9,1),Kanji_2_HanViet!$A:$C,2,FALSE)),"",VLOOKUP(MID($A48,9,1),Kanji_2_HanViet!$A:$C,2,FALSE))</f>
        <v/>
      </c>
    </row>
    <row r="49" spans="1:11">
      <c r="A49" s="14">
        <f>Master!B56</f>
        <v>0</v>
      </c>
      <c r="B49" s="17" t="str">
        <f t="shared" si="0"/>
        <v/>
      </c>
      <c r="C49" s="16" t="str">
        <f>IF(ISNA(VLOOKUP(MID($A49,1,1),Kanji_2_HanViet!$A:$C,2,FALSE)),"",VLOOKUP(MID($A49,1,1),Kanji_2_HanViet!$A:$C,2,FALSE))</f>
        <v/>
      </c>
      <c r="D49" s="16" t="str">
        <f>IF(ISNA(VLOOKUP(MID($A49,2,1),Kanji_2_HanViet!$A:$C,2,FALSE)),"",VLOOKUP(MID($A49,2,1),Kanji_2_HanViet!$A:$C,2,FALSE))</f>
        <v/>
      </c>
      <c r="E49" s="16" t="str">
        <f>IF(ISNA(VLOOKUP(MID($A49,3,1),Kanji_2_HanViet!$A:$C,2,FALSE)),"",VLOOKUP(MID($A49,3,1),Kanji_2_HanViet!$A:$C,2,FALSE))</f>
        <v/>
      </c>
      <c r="F49" s="16" t="str">
        <f>IF(ISNA(VLOOKUP(MID($A49,4,1),Kanji_2_HanViet!$A:$C,2,FALSE)),"",VLOOKUP(MID($A49,4,1),Kanji_2_HanViet!$A:$C,2,FALSE))</f>
        <v/>
      </c>
      <c r="G49" s="16" t="str">
        <f>IF(ISNA(VLOOKUP(MID($A49,5,1),Kanji_2_HanViet!$A:$C,2,FALSE)),"",VLOOKUP(MID($A49,5,1),Kanji_2_HanViet!$A:$C,2,FALSE))</f>
        <v/>
      </c>
      <c r="H49" s="16" t="str">
        <f>IF(ISNA(VLOOKUP(MID($A49,6,1),Kanji_2_HanViet!$A:$C,2,FALSE)),"",VLOOKUP(MID($A49,6,1),Kanji_2_HanViet!$A:$C,2,FALSE))</f>
        <v/>
      </c>
      <c r="I49" s="16" t="str">
        <f>IF(ISNA(VLOOKUP(MID($A49,7,1),Kanji_2_HanViet!$A:$C,2,FALSE)),"",VLOOKUP(MID($A49,7,1),Kanji_2_HanViet!$A:$C,2,FALSE))</f>
        <v/>
      </c>
      <c r="J49" s="16" t="str">
        <f>IF(ISNA(VLOOKUP(MID($A49,8,1),Kanji_2_HanViet!$A:$C,2,FALSE)),"",VLOOKUP(MID($A49,8,1),Kanji_2_HanViet!$A:$C,2,FALSE))</f>
        <v/>
      </c>
      <c r="K49" s="16" t="str">
        <f>IF(ISNA(VLOOKUP(MID($A49,9,1),Kanji_2_HanViet!$A:$C,2,FALSE)),"",VLOOKUP(MID($A49,9,1),Kanji_2_HanViet!$A:$C,2,FALSE))</f>
        <v/>
      </c>
    </row>
    <row r="50" spans="1:11">
      <c r="A50" s="14">
        <f>Master!B57</f>
        <v>0</v>
      </c>
      <c r="B50" s="17" t="str">
        <f t="shared" si="0"/>
        <v/>
      </c>
      <c r="C50" s="16" t="str">
        <f>IF(ISNA(VLOOKUP(MID($A50,1,1),Kanji_2_HanViet!$A:$C,2,FALSE)),"",VLOOKUP(MID($A50,1,1),Kanji_2_HanViet!$A:$C,2,FALSE))</f>
        <v/>
      </c>
      <c r="D50" s="16" t="str">
        <f>IF(ISNA(VLOOKUP(MID($A50,2,1),Kanji_2_HanViet!$A:$C,2,FALSE)),"",VLOOKUP(MID($A50,2,1),Kanji_2_HanViet!$A:$C,2,FALSE))</f>
        <v/>
      </c>
      <c r="E50" s="16" t="str">
        <f>IF(ISNA(VLOOKUP(MID($A50,3,1),Kanji_2_HanViet!$A:$C,2,FALSE)),"",VLOOKUP(MID($A50,3,1),Kanji_2_HanViet!$A:$C,2,FALSE))</f>
        <v/>
      </c>
      <c r="F50" s="16" t="str">
        <f>IF(ISNA(VLOOKUP(MID($A50,4,1),Kanji_2_HanViet!$A:$C,2,FALSE)),"",VLOOKUP(MID($A50,4,1),Kanji_2_HanViet!$A:$C,2,FALSE))</f>
        <v/>
      </c>
      <c r="G50" s="16" t="str">
        <f>IF(ISNA(VLOOKUP(MID($A50,5,1),Kanji_2_HanViet!$A:$C,2,FALSE)),"",VLOOKUP(MID($A50,5,1),Kanji_2_HanViet!$A:$C,2,FALSE))</f>
        <v/>
      </c>
      <c r="H50" s="16" t="str">
        <f>IF(ISNA(VLOOKUP(MID($A50,6,1),Kanji_2_HanViet!$A:$C,2,FALSE)),"",VLOOKUP(MID($A50,6,1),Kanji_2_HanViet!$A:$C,2,FALSE))</f>
        <v/>
      </c>
      <c r="I50" s="16" t="str">
        <f>IF(ISNA(VLOOKUP(MID($A50,7,1),Kanji_2_HanViet!$A:$C,2,FALSE)),"",VLOOKUP(MID($A50,7,1),Kanji_2_HanViet!$A:$C,2,FALSE))</f>
        <v/>
      </c>
      <c r="J50" s="16" t="str">
        <f>IF(ISNA(VLOOKUP(MID($A50,8,1),Kanji_2_HanViet!$A:$C,2,FALSE)),"",VLOOKUP(MID($A50,8,1),Kanji_2_HanViet!$A:$C,2,FALSE))</f>
        <v/>
      </c>
      <c r="K50" s="16" t="str">
        <f>IF(ISNA(VLOOKUP(MID($A50,9,1),Kanji_2_HanViet!$A:$C,2,FALSE)),"",VLOOKUP(MID($A50,9,1),Kanji_2_HanViet!$A:$C,2,FALSE))</f>
        <v/>
      </c>
    </row>
    <row r="51" spans="1:11">
      <c r="A51" s="14">
        <f>Master!B58</f>
        <v>0</v>
      </c>
      <c r="B51" s="17" t="str">
        <f t="shared" si="0"/>
        <v/>
      </c>
      <c r="C51" s="16" t="str">
        <f>IF(ISNA(VLOOKUP(MID($A51,1,1),Kanji_2_HanViet!$A:$C,2,FALSE)),"",VLOOKUP(MID($A51,1,1),Kanji_2_HanViet!$A:$C,2,FALSE))</f>
        <v/>
      </c>
      <c r="D51" s="16" t="str">
        <f>IF(ISNA(VLOOKUP(MID($A51,2,1),Kanji_2_HanViet!$A:$C,2,FALSE)),"",VLOOKUP(MID($A51,2,1),Kanji_2_HanViet!$A:$C,2,FALSE))</f>
        <v/>
      </c>
      <c r="E51" s="16" t="str">
        <f>IF(ISNA(VLOOKUP(MID($A51,3,1),Kanji_2_HanViet!$A:$C,2,FALSE)),"",VLOOKUP(MID($A51,3,1),Kanji_2_HanViet!$A:$C,2,FALSE))</f>
        <v/>
      </c>
      <c r="F51" s="16" t="str">
        <f>IF(ISNA(VLOOKUP(MID($A51,4,1),Kanji_2_HanViet!$A:$C,2,FALSE)),"",VLOOKUP(MID($A51,4,1),Kanji_2_HanViet!$A:$C,2,FALSE))</f>
        <v/>
      </c>
      <c r="G51" s="16" t="str">
        <f>IF(ISNA(VLOOKUP(MID($A51,5,1),Kanji_2_HanViet!$A:$C,2,FALSE)),"",VLOOKUP(MID($A51,5,1),Kanji_2_HanViet!$A:$C,2,FALSE))</f>
        <v/>
      </c>
      <c r="H51" s="16" t="str">
        <f>IF(ISNA(VLOOKUP(MID($A51,6,1),Kanji_2_HanViet!$A:$C,2,FALSE)),"",VLOOKUP(MID($A51,6,1),Kanji_2_HanViet!$A:$C,2,FALSE))</f>
        <v/>
      </c>
      <c r="I51" s="16" t="str">
        <f>IF(ISNA(VLOOKUP(MID($A51,7,1),Kanji_2_HanViet!$A:$C,2,FALSE)),"",VLOOKUP(MID($A51,7,1),Kanji_2_HanViet!$A:$C,2,FALSE))</f>
        <v/>
      </c>
      <c r="J51" s="16" t="str">
        <f>IF(ISNA(VLOOKUP(MID($A51,8,1),Kanji_2_HanViet!$A:$C,2,FALSE)),"",VLOOKUP(MID($A51,8,1),Kanji_2_HanViet!$A:$C,2,FALSE))</f>
        <v/>
      </c>
      <c r="K51" s="16" t="str">
        <f>IF(ISNA(VLOOKUP(MID($A51,9,1),Kanji_2_HanViet!$A:$C,2,FALSE)),"",VLOOKUP(MID($A51,9,1),Kanji_2_HanViet!$A:$C,2,FALSE))</f>
        <v/>
      </c>
    </row>
    <row r="52" spans="1:11">
      <c r="A52" s="14">
        <f>Master!B59</f>
        <v>0</v>
      </c>
      <c r="B52" s="17" t="str">
        <f t="shared" si="0"/>
        <v/>
      </c>
      <c r="C52" s="16" t="str">
        <f>IF(ISNA(VLOOKUP(MID($A52,1,1),Kanji_2_HanViet!$A:$C,2,FALSE)),"",VLOOKUP(MID($A52,1,1),Kanji_2_HanViet!$A:$C,2,FALSE))</f>
        <v/>
      </c>
      <c r="D52" s="16" t="str">
        <f>IF(ISNA(VLOOKUP(MID($A52,2,1),Kanji_2_HanViet!$A:$C,2,FALSE)),"",VLOOKUP(MID($A52,2,1),Kanji_2_HanViet!$A:$C,2,FALSE))</f>
        <v/>
      </c>
      <c r="E52" s="16" t="str">
        <f>IF(ISNA(VLOOKUP(MID($A52,3,1),Kanji_2_HanViet!$A:$C,2,FALSE)),"",VLOOKUP(MID($A52,3,1),Kanji_2_HanViet!$A:$C,2,FALSE))</f>
        <v/>
      </c>
      <c r="F52" s="16" t="str">
        <f>IF(ISNA(VLOOKUP(MID($A52,4,1),Kanji_2_HanViet!$A:$C,2,FALSE)),"",VLOOKUP(MID($A52,4,1),Kanji_2_HanViet!$A:$C,2,FALSE))</f>
        <v/>
      </c>
      <c r="G52" s="16" t="str">
        <f>IF(ISNA(VLOOKUP(MID($A52,5,1),Kanji_2_HanViet!$A:$C,2,FALSE)),"",VLOOKUP(MID($A52,5,1),Kanji_2_HanViet!$A:$C,2,FALSE))</f>
        <v/>
      </c>
      <c r="H52" s="16" t="str">
        <f>IF(ISNA(VLOOKUP(MID($A52,6,1),Kanji_2_HanViet!$A:$C,2,FALSE)),"",VLOOKUP(MID($A52,6,1),Kanji_2_HanViet!$A:$C,2,FALSE))</f>
        <v/>
      </c>
      <c r="I52" s="16" t="str">
        <f>IF(ISNA(VLOOKUP(MID($A52,7,1),Kanji_2_HanViet!$A:$C,2,FALSE)),"",VLOOKUP(MID($A52,7,1),Kanji_2_HanViet!$A:$C,2,FALSE))</f>
        <v/>
      </c>
      <c r="J52" s="16" t="str">
        <f>IF(ISNA(VLOOKUP(MID($A52,8,1),Kanji_2_HanViet!$A:$C,2,FALSE)),"",VLOOKUP(MID($A52,8,1),Kanji_2_HanViet!$A:$C,2,FALSE))</f>
        <v/>
      </c>
      <c r="K52" s="16" t="str">
        <f>IF(ISNA(VLOOKUP(MID($A52,9,1),Kanji_2_HanViet!$A:$C,2,FALSE)),"",VLOOKUP(MID($A52,9,1),Kanji_2_HanViet!$A:$C,2,FALSE))</f>
        <v/>
      </c>
    </row>
    <row r="53" spans="1:11">
      <c r="A53" s="14">
        <f>Master!B60</f>
        <v>0</v>
      </c>
      <c r="B53" s="17" t="str">
        <f t="shared" si="0"/>
        <v/>
      </c>
      <c r="C53" s="16" t="str">
        <f>IF(ISNA(VLOOKUP(MID($A53,1,1),Kanji_2_HanViet!$A:$C,2,FALSE)),"",VLOOKUP(MID($A53,1,1),Kanji_2_HanViet!$A:$C,2,FALSE))</f>
        <v/>
      </c>
      <c r="D53" s="16" t="str">
        <f>IF(ISNA(VLOOKUP(MID($A53,2,1),Kanji_2_HanViet!$A:$C,2,FALSE)),"",VLOOKUP(MID($A53,2,1),Kanji_2_HanViet!$A:$C,2,FALSE))</f>
        <v/>
      </c>
      <c r="E53" s="16" t="str">
        <f>IF(ISNA(VLOOKUP(MID($A53,3,1),Kanji_2_HanViet!$A:$C,2,FALSE)),"",VLOOKUP(MID($A53,3,1),Kanji_2_HanViet!$A:$C,2,FALSE))</f>
        <v/>
      </c>
      <c r="F53" s="16" t="str">
        <f>IF(ISNA(VLOOKUP(MID($A53,4,1),Kanji_2_HanViet!$A:$C,2,FALSE)),"",VLOOKUP(MID($A53,4,1),Kanji_2_HanViet!$A:$C,2,FALSE))</f>
        <v/>
      </c>
      <c r="G53" s="16" t="str">
        <f>IF(ISNA(VLOOKUP(MID($A53,5,1),Kanji_2_HanViet!$A:$C,2,FALSE)),"",VLOOKUP(MID($A53,5,1),Kanji_2_HanViet!$A:$C,2,FALSE))</f>
        <v/>
      </c>
      <c r="H53" s="16" t="str">
        <f>IF(ISNA(VLOOKUP(MID($A53,6,1),Kanji_2_HanViet!$A:$C,2,FALSE)),"",VLOOKUP(MID($A53,6,1),Kanji_2_HanViet!$A:$C,2,FALSE))</f>
        <v/>
      </c>
      <c r="I53" s="16" t="str">
        <f>IF(ISNA(VLOOKUP(MID($A53,7,1),Kanji_2_HanViet!$A:$C,2,FALSE)),"",VLOOKUP(MID($A53,7,1),Kanji_2_HanViet!$A:$C,2,FALSE))</f>
        <v/>
      </c>
      <c r="J53" s="16" t="str">
        <f>IF(ISNA(VLOOKUP(MID($A53,8,1),Kanji_2_HanViet!$A:$C,2,FALSE)),"",VLOOKUP(MID($A53,8,1),Kanji_2_HanViet!$A:$C,2,FALSE))</f>
        <v/>
      </c>
      <c r="K53" s="16" t="str">
        <f>IF(ISNA(VLOOKUP(MID($A53,9,1),Kanji_2_HanViet!$A:$C,2,FALSE)),"",VLOOKUP(MID($A53,9,1),Kanji_2_HanViet!$A:$C,2,FALSE))</f>
        <v/>
      </c>
    </row>
    <row r="54" spans="1:11">
      <c r="A54" s="14">
        <f>Master!B61</f>
        <v>0</v>
      </c>
      <c r="B54" s="17" t="str">
        <f t="shared" si="0"/>
        <v/>
      </c>
      <c r="C54" s="16" t="str">
        <f>IF(ISNA(VLOOKUP(MID($A54,1,1),Kanji_2_HanViet!$A:$C,2,FALSE)),"",VLOOKUP(MID($A54,1,1),Kanji_2_HanViet!$A:$C,2,FALSE))</f>
        <v/>
      </c>
      <c r="D54" s="16" t="str">
        <f>IF(ISNA(VLOOKUP(MID($A54,2,1),Kanji_2_HanViet!$A:$C,2,FALSE)),"",VLOOKUP(MID($A54,2,1),Kanji_2_HanViet!$A:$C,2,FALSE))</f>
        <v/>
      </c>
      <c r="E54" s="16" t="str">
        <f>IF(ISNA(VLOOKUP(MID($A54,3,1),Kanji_2_HanViet!$A:$C,2,FALSE)),"",VLOOKUP(MID($A54,3,1),Kanji_2_HanViet!$A:$C,2,FALSE))</f>
        <v/>
      </c>
      <c r="F54" s="16" t="str">
        <f>IF(ISNA(VLOOKUP(MID($A54,4,1),Kanji_2_HanViet!$A:$C,2,FALSE)),"",VLOOKUP(MID($A54,4,1),Kanji_2_HanViet!$A:$C,2,FALSE))</f>
        <v/>
      </c>
      <c r="G54" s="16" t="str">
        <f>IF(ISNA(VLOOKUP(MID($A54,5,1),Kanji_2_HanViet!$A:$C,2,FALSE)),"",VLOOKUP(MID($A54,5,1),Kanji_2_HanViet!$A:$C,2,FALSE))</f>
        <v/>
      </c>
      <c r="H54" s="16" t="str">
        <f>IF(ISNA(VLOOKUP(MID($A54,6,1),Kanji_2_HanViet!$A:$C,2,FALSE)),"",VLOOKUP(MID($A54,6,1),Kanji_2_HanViet!$A:$C,2,FALSE))</f>
        <v/>
      </c>
      <c r="I54" s="16" t="str">
        <f>IF(ISNA(VLOOKUP(MID($A54,7,1),Kanji_2_HanViet!$A:$C,2,FALSE)),"",VLOOKUP(MID($A54,7,1),Kanji_2_HanViet!$A:$C,2,FALSE))</f>
        <v/>
      </c>
      <c r="J54" s="16" t="str">
        <f>IF(ISNA(VLOOKUP(MID($A54,8,1),Kanji_2_HanViet!$A:$C,2,FALSE)),"",VLOOKUP(MID($A54,8,1),Kanji_2_HanViet!$A:$C,2,FALSE))</f>
        <v/>
      </c>
      <c r="K54" s="16" t="str">
        <f>IF(ISNA(VLOOKUP(MID($A54,9,1),Kanji_2_HanViet!$A:$C,2,FALSE)),"",VLOOKUP(MID($A54,9,1),Kanji_2_HanViet!$A:$C,2,FALSE))</f>
        <v/>
      </c>
    </row>
    <row r="55" spans="1:11">
      <c r="A55" s="14">
        <f>Master!B62</f>
        <v>0</v>
      </c>
      <c r="B55" s="17" t="str">
        <f t="shared" si="0"/>
        <v/>
      </c>
      <c r="C55" s="16" t="str">
        <f>IF(ISNA(VLOOKUP(MID($A55,1,1),Kanji_2_HanViet!$A:$C,2,FALSE)),"",VLOOKUP(MID($A55,1,1),Kanji_2_HanViet!$A:$C,2,FALSE))</f>
        <v/>
      </c>
      <c r="D55" s="16" t="str">
        <f>IF(ISNA(VLOOKUP(MID($A55,2,1),Kanji_2_HanViet!$A:$C,2,FALSE)),"",VLOOKUP(MID($A55,2,1),Kanji_2_HanViet!$A:$C,2,FALSE))</f>
        <v/>
      </c>
      <c r="E55" s="16" t="str">
        <f>IF(ISNA(VLOOKUP(MID($A55,3,1),Kanji_2_HanViet!$A:$C,2,FALSE)),"",VLOOKUP(MID($A55,3,1),Kanji_2_HanViet!$A:$C,2,FALSE))</f>
        <v/>
      </c>
      <c r="F55" s="16" t="str">
        <f>IF(ISNA(VLOOKUP(MID($A55,4,1),Kanji_2_HanViet!$A:$C,2,FALSE)),"",VLOOKUP(MID($A55,4,1),Kanji_2_HanViet!$A:$C,2,FALSE))</f>
        <v/>
      </c>
      <c r="G55" s="16" t="str">
        <f>IF(ISNA(VLOOKUP(MID($A55,5,1),Kanji_2_HanViet!$A:$C,2,FALSE)),"",VLOOKUP(MID($A55,5,1),Kanji_2_HanViet!$A:$C,2,FALSE))</f>
        <v/>
      </c>
      <c r="H55" s="16" t="str">
        <f>IF(ISNA(VLOOKUP(MID($A55,6,1),Kanji_2_HanViet!$A:$C,2,FALSE)),"",VLOOKUP(MID($A55,6,1),Kanji_2_HanViet!$A:$C,2,FALSE))</f>
        <v/>
      </c>
      <c r="I55" s="16" t="str">
        <f>IF(ISNA(VLOOKUP(MID($A55,7,1),Kanji_2_HanViet!$A:$C,2,FALSE)),"",VLOOKUP(MID($A55,7,1),Kanji_2_HanViet!$A:$C,2,FALSE))</f>
        <v/>
      </c>
      <c r="J55" s="16" t="str">
        <f>IF(ISNA(VLOOKUP(MID($A55,8,1),Kanji_2_HanViet!$A:$C,2,FALSE)),"",VLOOKUP(MID($A55,8,1),Kanji_2_HanViet!$A:$C,2,FALSE))</f>
        <v/>
      </c>
      <c r="K55" s="16" t="str">
        <f>IF(ISNA(VLOOKUP(MID($A55,9,1),Kanji_2_HanViet!$A:$C,2,FALSE)),"",VLOOKUP(MID($A55,9,1),Kanji_2_HanViet!$A:$C,2,FALSE))</f>
        <v/>
      </c>
    </row>
    <row r="56" spans="1:11">
      <c r="A56" s="14">
        <f>Master!B63</f>
        <v>0</v>
      </c>
      <c r="B56" s="17" t="str">
        <f t="shared" si="0"/>
        <v/>
      </c>
      <c r="C56" s="16" t="str">
        <f>IF(ISNA(VLOOKUP(MID($A56,1,1),Kanji_2_HanViet!$A:$C,2,FALSE)),"",VLOOKUP(MID($A56,1,1),Kanji_2_HanViet!$A:$C,2,FALSE))</f>
        <v/>
      </c>
      <c r="D56" s="16" t="str">
        <f>IF(ISNA(VLOOKUP(MID($A56,2,1),Kanji_2_HanViet!$A:$C,2,FALSE)),"",VLOOKUP(MID($A56,2,1),Kanji_2_HanViet!$A:$C,2,FALSE))</f>
        <v/>
      </c>
      <c r="E56" s="16" t="str">
        <f>IF(ISNA(VLOOKUP(MID($A56,3,1),Kanji_2_HanViet!$A:$C,2,FALSE)),"",VLOOKUP(MID($A56,3,1),Kanji_2_HanViet!$A:$C,2,FALSE))</f>
        <v/>
      </c>
      <c r="F56" s="16" t="str">
        <f>IF(ISNA(VLOOKUP(MID($A56,4,1),Kanji_2_HanViet!$A:$C,2,FALSE)),"",VLOOKUP(MID($A56,4,1),Kanji_2_HanViet!$A:$C,2,FALSE))</f>
        <v/>
      </c>
      <c r="G56" s="16" t="str">
        <f>IF(ISNA(VLOOKUP(MID($A56,5,1),Kanji_2_HanViet!$A:$C,2,FALSE)),"",VLOOKUP(MID($A56,5,1),Kanji_2_HanViet!$A:$C,2,FALSE))</f>
        <v/>
      </c>
      <c r="H56" s="16" t="str">
        <f>IF(ISNA(VLOOKUP(MID($A56,6,1),Kanji_2_HanViet!$A:$C,2,FALSE)),"",VLOOKUP(MID($A56,6,1),Kanji_2_HanViet!$A:$C,2,FALSE))</f>
        <v/>
      </c>
      <c r="I56" s="16" t="str">
        <f>IF(ISNA(VLOOKUP(MID($A56,7,1),Kanji_2_HanViet!$A:$C,2,FALSE)),"",VLOOKUP(MID($A56,7,1),Kanji_2_HanViet!$A:$C,2,FALSE))</f>
        <v/>
      </c>
      <c r="J56" s="16" t="str">
        <f>IF(ISNA(VLOOKUP(MID($A56,8,1),Kanji_2_HanViet!$A:$C,2,FALSE)),"",VLOOKUP(MID($A56,8,1),Kanji_2_HanViet!$A:$C,2,FALSE))</f>
        <v/>
      </c>
      <c r="K56" s="16" t="str">
        <f>IF(ISNA(VLOOKUP(MID($A56,9,1),Kanji_2_HanViet!$A:$C,2,FALSE)),"",VLOOKUP(MID($A56,9,1),Kanji_2_HanViet!$A:$C,2,FALSE))</f>
        <v/>
      </c>
    </row>
    <row r="57" spans="1:11">
      <c r="A57" s="14">
        <f>Master!B64</f>
        <v>0</v>
      </c>
      <c r="B57" s="17" t="str">
        <f t="shared" si="0"/>
        <v/>
      </c>
      <c r="C57" s="16" t="str">
        <f>IF(ISNA(VLOOKUP(MID($A57,1,1),Kanji_2_HanViet!$A:$C,2,FALSE)),"",VLOOKUP(MID($A57,1,1),Kanji_2_HanViet!$A:$C,2,FALSE))</f>
        <v/>
      </c>
      <c r="D57" s="16" t="str">
        <f>IF(ISNA(VLOOKUP(MID($A57,2,1),Kanji_2_HanViet!$A:$C,2,FALSE)),"",VLOOKUP(MID($A57,2,1),Kanji_2_HanViet!$A:$C,2,FALSE))</f>
        <v/>
      </c>
      <c r="E57" s="16" t="str">
        <f>IF(ISNA(VLOOKUP(MID($A57,3,1),Kanji_2_HanViet!$A:$C,2,FALSE)),"",VLOOKUP(MID($A57,3,1),Kanji_2_HanViet!$A:$C,2,FALSE))</f>
        <v/>
      </c>
      <c r="F57" s="16" t="str">
        <f>IF(ISNA(VLOOKUP(MID($A57,4,1),Kanji_2_HanViet!$A:$C,2,FALSE)),"",VLOOKUP(MID($A57,4,1),Kanji_2_HanViet!$A:$C,2,FALSE))</f>
        <v/>
      </c>
      <c r="G57" s="16" t="str">
        <f>IF(ISNA(VLOOKUP(MID($A57,5,1),Kanji_2_HanViet!$A:$C,2,FALSE)),"",VLOOKUP(MID($A57,5,1),Kanji_2_HanViet!$A:$C,2,FALSE))</f>
        <v/>
      </c>
      <c r="H57" s="16" t="str">
        <f>IF(ISNA(VLOOKUP(MID($A57,6,1),Kanji_2_HanViet!$A:$C,2,FALSE)),"",VLOOKUP(MID($A57,6,1),Kanji_2_HanViet!$A:$C,2,FALSE))</f>
        <v/>
      </c>
      <c r="I57" s="16" t="str">
        <f>IF(ISNA(VLOOKUP(MID($A57,7,1),Kanji_2_HanViet!$A:$C,2,FALSE)),"",VLOOKUP(MID($A57,7,1),Kanji_2_HanViet!$A:$C,2,FALSE))</f>
        <v/>
      </c>
      <c r="J57" s="16" t="str">
        <f>IF(ISNA(VLOOKUP(MID($A57,8,1),Kanji_2_HanViet!$A:$C,2,FALSE)),"",VLOOKUP(MID($A57,8,1),Kanji_2_HanViet!$A:$C,2,FALSE))</f>
        <v/>
      </c>
      <c r="K57" s="16" t="str">
        <f>IF(ISNA(VLOOKUP(MID($A57,9,1),Kanji_2_HanViet!$A:$C,2,FALSE)),"",VLOOKUP(MID($A57,9,1),Kanji_2_HanViet!$A:$C,2,FALSE))</f>
        <v/>
      </c>
    </row>
    <row r="58" spans="1:11">
      <c r="A58" s="14">
        <f>Master!B65</f>
        <v>0</v>
      </c>
      <c r="B58" s="17" t="str">
        <f t="shared" si="0"/>
        <v/>
      </c>
      <c r="C58" s="16" t="str">
        <f>IF(ISNA(VLOOKUP(MID($A58,1,1),Kanji_2_HanViet!$A:$C,2,FALSE)),"",VLOOKUP(MID($A58,1,1),Kanji_2_HanViet!$A:$C,2,FALSE))</f>
        <v/>
      </c>
      <c r="D58" s="16" t="str">
        <f>IF(ISNA(VLOOKUP(MID($A58,2,1),Kanji_2_HanViet!$A:$C,2,FALSE)),"",VLOOKUP(MID($A58,2,1),Kanji_2_HanViet!$A:$C,2,FALSE))</f>
        <v/>
      </c>
      <c r="E58" s="16" t="str">
        <f>IF(ISNA(VLOOKUP(MID($A58,3,1),Kanji_2_HanViet!$A:$C,2,FALSE)),"",VLOOKUP(MID($A58,3,1),Kanji_2_HanViet!$A:$C,2,FALSE))</f>
        <v/>
      </c>
      <c r="F58" s="16" t="str">
        <f>IF(ISNA(VLOOKUP(MID($A58,4,1),Kanji_2_HanViet!$A:$C,2,FALSE)),"",VLOOKUP(MID($A58,4,1),Kanji_2_HanViet!$A:$C,2,FALSE))</f>
        <v/>
      </c>
      <c r="G58" s="16" t="str">
        <f>IF(ISNA(VLOOKUP(MID($A58,5,1),Kanji_2_HanViet!$A:$C,2,FALSE)),"",VLOOKUP(MID($A58,5,1),Kanji_2_HanViet!$A:$C,2,FALSE))</f>
        <v/>
      </c>
      <c r="H58" s="16" t="str">
        <f>IF(ISNA(VLOOKUP(MID($A58,6,1),Kanji_2_HanViet!$A:$C,2,FALSE)),"",VLOOKUP(MID($A58,6,1),Kanji_2_HanViet!$A:$C,2,FALSE))</f>
        <v/>
      </c>
      <c r="I58" s="16" t="str">
        <f>IF(ISNA(VLOOKUP(MID($A58,7,1),Kanji_2_HanViet!$A:$C,2,FALSE)),"",VLOOKUP(MID($A58,7,1),Kanji_2_HanViet!$A:$C,2,FALSE))</f>
        <v/>
      </c>
      <c r="J58" s="16" t="str">
        <f>IF(ISNA(VLOOKUP(MID($A58,8,1),Kanji_2_HanViet!$A:$C,2,FALSE)),"",VLOOKUP(MID($A58,8,1),Kanji_2_HanViet!$A:$C,2,FALSE))</f>
        <v/>
      </c>
      <c r="K58" s="16" t="str">
        <f>IF(ISNA(VLOOKUP(MID($A58,9,1),Kanji_2_HanViet!$A:$C,2,FALSE)),"",VLOOKUP(MID($A58,9,1),Kanji_2_HanViet!$A:$C,2,FALSE))</f>
        <v/>
      </c>
    </row>
    <row r="59" spans="1:11">
      <c r="A59" s="14">
        <f>Master!B66</f>
        <v>0</v>
      </c>
      <c r="B59" s="17" t="str">
        <f t="shared" si="0"/>
        <v/>
      </c>
      <c r="C59" s="16" t="str">
        <f>IF(ISNA(VLOOKUP(MID($A59,1,1),Kanji_2_HanViet!$A:$C,2,FALSE)),"",VLOOKUP(MID($A59,1,1),Kanji_2_HanViet!$A:$C,2,FALSE))</f>
        <v/>
      </c>
      <c r="D59" s="16" t="str">
        <f>IF(ISNA(VLOOKUP(MID($A59,2,1),Kanji_2_HanViet!$A:$C,2,FALSE)),"",VLOOKUP(MID($A59,2,1),Kanji_2_HanViet!$A:$C,2,FALSE))</f>
        <v/>
      </c>
      <c r="E59" s="16" t="str">
        <f>IF(ISNA(VLOOKUP(MID($A59,3,1),Kanji_2_HanViet!$A:$C,2,FALSE)),"",VLOOKUP(MID($A59,3,1),Kanji_2_HanViet!$A:$C,2,FALSE))</f>
        <v/>
      </c>
      <c r="F59" s="16" t="str">
        <f>IF(ISNA(VLOOKUP(MID($A59,4,1),Kanji_2_HanViet!$A:$C,2,FALSE)),"",VLOOKUP(MID($A59,4,1),Kanji_2_HanViet!$A:$C,2,FALSE))</f>
        <v/>
      </c>
      <c r="G59" s="16" t="str">
        <f>IF(ISNA(VLOOKUP(MID($A59,5,1),Kanji_2_HanViet!$A:$C,2,FALSE)),"",VLOOKUP(MID($A59,5,1),Kanji_2_HanViet!$A:$C,2,FALSE))</f>
        <v/>
      </c>
      <c r="H59" s="16" t="str">
        <f>IF(ISNA(VLOOKUP(MID($A59,6,1),Kanji_2_HanViet!$A:$C,2,FALSE)),"",VLOOKUP(MID($A59,6,1),Kanji_2_HanViet!$A:$C,2,FALSE))</f>
        <v/>
      </c>
      <c r="I59" s="16" t="str">
        <f>IF(ISNA(VLOOKUP(MID($A59,7,1),Kanji_2_HanViet!$A:$C,2,FALSE)),"",VLOOKUP(MID($A59,7,1),Kanji_2_HanViet!$A:$C,2,FALSE))</f>
        <v/>
      </c>
      <c r="J59" s="16" t="str">
        <f>IF(ISNA(VLOOKUP(MID($A59,8,1),Kanji_2_HanViet!$A:$C,2,FALSE)),"",VLOOKUP(MID($A59,8,1),Kanji_2_HanViet!$A:$C,2,FALSE))</f>
        <v/>
      </c>
      <c r="K59" s="16" t="str">
        <f>IF(ISNA(VLOOKUP(MID($A59,9,1),Kanji_2_HanViet!$A:$C,2,FALSE)),"",VLOOKUP(MID($A59,9,1),Kanji_2_HanViet!$A:$C,2,FALSE))</f>
        <v/>
      </c>
    </row>
    <row r="60" spans="1:11">
      <c r="A60" s="14">
        <f>Master!B67</f>
        <v>0</v>
      </c>
      <c r="B60" s="17" t="str">
        <f t="shared" si="0"/>
        <v/>
      </c>
      <c r="C60" s="16" t="str">
        <f>IF(ISNA(VLOOKUP(MID($A60,1,1),Kanji_2_HanViet!$A:$C,2,FALSE)),"",VLOOKUP(MID($A60,1,1),Kanji_2_HanViet!$A:$C,2,FALSE))</f>
        <v/>
      </c>
      <c r="D60" s="16" t="str">
        <f>IF(ISNA(VLOOKUP(MID($A60,2,1),Kanji_2_HanViet!$A:$C,2,FALSE)),"",VLOOKUP(MID($A60,2,1),Kanji_2_HanViet!$A:$C,2,FALSE))</f>
        <v/>
      </c>
      <c r="E60" s="16" t="str">
        <f>IF(ISNA(VLOOKUP(MID($A60,3,1),Kanji_2_HanViet!$A:$C,2,FALSE)),"",VLOOKUP(MID($A60,3,1),Kanji_2_HanViet!$A:$C,2,FALSE))</f>
        <v/>
      </c>
      <c r="F60" s="16" t="str">
        <f>IF(ISNA(VLOOKUP(MID($A60,4,1),Kanji_2_HanViet!$A:$C,2,FALSE)),"",VLOOKUP(MID($A60,4,1),Kanji_2_HanViet!$A:$C,2,FALSE))</f>
        <v/>
      </c>
      <c r="G60" s="16" t="str">
        <f>IF(ISNA(VLOOKUP(MID($A60,5,1),Kanji_2_HanViet!$A:$C,2,FALSE)),"",VLOOKUP(MID($A60,5,1),Kanji_2_HanViet!$A:$C,2,FALSE))</f>
        <v/>
      </c>
      <c r="H60" s="16" t="str">
        <f>IF(ISNA(VLOOKUP(MID($A60,6,1),Kanji_2_HanViet!$A:$C,2,FALSE)),"",VLOOKUP(MID($A60,6,1),Kanji_2_HanViet!$A:$C,2,FALSE))</f>
        <v/>
      </c>
      <c r="I60" s="16" t="str">
        <f>IF(ISNA(VLOOKUP(MID($A60,7,1),Kanji_2_HanViet!$A:$C,2,FALSE)),"",VLOOKUP(MID($A60,7,1),Kanji_2_HanViet!$A:$C,2,FALSE))</f>
        <v/>
      </c>
      <c r="J60" s="16" t="str">
        <f>IF(ISNA(VLOOKUP(MID($A60,8,1),Kanji_2_HanViet!$A:$C,2,FALSE)),"",VLOOKUP(MID($A60,8,1),Kanji_2_HanViet!$A:$C,2,FALSE))</f>
        <v/>
      </c>
      <c r="K60" s="16" t="str">
        <f>IF(ISNA(VLOOKUP(MID($A60,9,1),Kanji_2_HanViet!$A:$C,2,FALSE)),"",VLOOKUP(MID($A60,9,1),Kanji_2_HanViet!$A:$C,2,FALSE))</f>
        <v/>
      </c>
    </row>
    <row r="61" spans="1:11">
      <c r="A61" s="14">
        <f>Master!B68</f>
        <v>0</v>
      </c>
      <c r="B61" s="17" t="str">
        <f t="shared" si="0"/>
        <v/>
      </c>
      <c r="C61" s="16" t="str">
        <f>IF(ISNA(VLOOKUP(MID($A61,1,1),Kanji_2_HanViet!$A:$C,2,FALSE)),"",VLOOKUP(MID($A61,1,1),Kanji_2_HanViet!$A:$C,2,FALSE))</f>
        <v/>
      </c>
      <c r="D61" s="16" t="str">
        <f>IF(ISNA(VLOOKUP(MID($A61,2,1),Kanji_2_HanViet!$A:$C,2,FALSE)),"",VLOOKUP(MID($A61,2,1),Kanji_2_HanViet!$A:$C,2,FALSE))</f>
        <v/>
      </c>
      <c r="E61" s="16" t="str">
        <f>IF(ISNA(VLOOKUP(MID($A61,3,1),Kanji_2_HanViet!$A:$C,2,FALSE)),"",VLOOKUP(MID($A61,3,1),Kanji_2_HanViet!$A:$C,2,FALSE))</f>
        <v/>
      </c>
      <c r="F61" s="16" t="str">
        <f>IF(ISNA(VLOOKUP(MID($A61,4,1),Kanji_2_HanViet!$A:$C,2,FALSE)),"",VLOOKUP(MID($A61,4,1),Kanji_2_HanViet!$A:$C,2,FALSE))</f>
        <v/>
      </c>
      <c r="G61" s="16" t="str">
        <f>IF(ISNA(VLOOKUP(MID($A61,5,1),Kanji_2_HanViet!$A:$C,2,FALSE)),"",VLOOKUP(MID($A61,5,1),Kanji_2_HanViet!$A:$C,2,FALSE))</f>
        <v/>
      </c>
      <c r="H61" s="16" t="str">
        <f>IF(ISNA(VLOOKUP(MID($A61,6,1),Kanji_2_HanViet!$A:$C,2,FALSE)),"",VLOOKUP(MID($A61,6,1),Kanji_2_HanViet!$A:$C,2,FALSE))</f>
        <v/>
      </c>
      <c r="I61" s="16" t="str">
        <f>IF(ISNA(VLOOKUP(MID($A61,7,1),Kanji_2_HanViet!$A:$C,2,FALSE)),"",VLOOKUP(MID($A61,7,1),Kanji_2_HanViet!$A:$C,2,FALSE))</f>
        <v/>
      </c>
      <c r="J61" s="16" t="str">
        <f>IF(ISNA(VLOOKUP(MID($A61,8,1),Kanji_2_HanViet!$A:$C,2,FALSE)),"",VLOOKUP(MID($A61,8,1),Kanji_2_HanViet!$A:$C,2,FALSE))</f>
        <v/>
      </c>
      <c r="K61" s="16" t="str">
        <f>IF(ISNA(VLOOKUP(MID($A61,9,1),Kanji_2_HanViet!$A:$C,2,FALSE)),"",VLOOKUP(MID($A61,9,1),Kanji_2_HanViet!$A:$C,2,FALSE))</f>
        <v/>
      </c>
    </row>
    <row r="62" spans="1:11">
      <c r="A62" s="14">
        <f>Master!B69</f>
        <v>0</v>
      </c>
      <c r="B62" s="17" t="str">
        <f t="shared" si="0"/>
        <v/>
      </c>
      <c r="C62" s="16" t="str">
        <f>IF(ISNA(VLOOKUP(MID($A62,1,1),Kanji_2_HanViet!$A:$C,2,FALSE)),"",VLOOKUP(MID($A62,1,1),Kanji_2_HanViet!$A:$C,2,FALSE))</f>
        <v/>
      </c>
      <c r="D62" s="16" t="str">
        <f>IF(ISNA(VLOOKUP(MID($A62,2,1),Kanji_2_HanViet!$A:$C,2,FALSE)),"",VLOOKUP(MID($A62,2,1),Kanji_2_HanViet!$A:$C,2,FALSE))</f>
        <v/>
      </c>
      <c r="E62" s="16" t="str">
        <f>IF(ISNA(VLOOKUP(MID($A62,3,1),Kanji_2_HanViet!$A:$C,2,FALSE)),"",VLOOKUP(MID($A62,3,1),Kanji_2_HanViet!$A:$C,2,FALSE))</f>
        <v/>
      </c>
      <c r="F62" s="16" t="str">
        <f>IF(ISNA(VLOOKUP(MID($A62,4,1),Kanji_2_HanViet!$A:$C,2,FALSE)),"",VLOOKUP(MID($A62,4,1),Kanji_2_HanViet!$A:$C,2,FALSE))</f>
        <v/>
      </c>
      <c r="G62" s="16" t="str">
        <f>IF(ISNA(VLOOKUP(MID($A62,5,1),Kanji_2_HanViet!$A:$C,2,FALSE)),"",VLOOKUP(MID($A62,5,1),Kanji_2_HanViet!$A:$C,2,FALSE))</f>
        <v/>
      </c>
      <c r="H62" s="16" t="str">
        <f>IF(ISNA(VLOOKUP(MID($A62,6,1),Kanji_2_HanViet!$A:$C,2,FALSE)),"",VLOOKUP(MID($A62,6,1),Kanji_2_HanViet!$A:$C,2,FALSE))</f>
        <v/>
      </c>
      <c r="I62" s="16" t="str">
        <f>IF(ISNA(VLOOKUP(MID($A62,7,1),Kanji_2_HanViet!$A:$C,2,FALSE)),"",VLOOKUP(MID($A62,7,1),Kanji_2_HanViet!$A:$C,2,FALSE))</f>
        <v/>
      </c>
      <c r="J62" s="16" t="str">
        <f>IF(ISNA(VLOOKUP(MID($A62,8,1),Kanji_2_HanViet!$A:$C,2,FALSE)),"",VLOOKUP(MID($A62,8,1),Kanji_2_HanViet!$A:$C,2,FALSE))</f>
        <v/>
      </c>
      <c r="K62" s="16" t="str">
        <f>IF(ISNA(VLOOKUP(MID($A62,9,1),Kanji_2_HanViet!$A:$C,2,FALSE)),"",VLOOKUP(MID($A62,9,1),Kanji_2_HanViet!$A:$C,2,FALSE))</f>
        <v/>
      </c>
    </row>
    <row r="63" spans="1:11">
      <c r="A63" s="14">
        <f>Master!B70</f>
        <v>0</v>
      </c>
      <c r="B63" s="17" t="str">
        <f t="shared" si="0"/>
        <v/>
      </c>
      <c r="C63" s="16" t="str">
        <f>IF(ISNA(VLOOKUP(MID($A63,1,1),Kanji_2_HanViet!$A:$C,2,FALSE)),"",VLOOKUP(MID($A63,1,1),Kanji_2_HanViet!$A:$C,2,FALSE))</f>
        <v/>
      </c>
      <c r="D63" s="16" t="str">
        <f>IF(ISNA(VLOOKUP(MID($A63,2,1),Kanji_2_HanViet!$A:$C,2,FALSE)),"",VLOOKUP(MID($A63,2,1),Kanji_2_HanViet!$A:$C,2,FALSE))</f>
        <v/>
      </c>
      <c r="E63" s="16" t="str">
        <f>IF(ISNA(VLOOKUP(MID($A63,3,1),Kanji_2_HanViet!$A:$C,2,FALSE)),"",VLOOKUP(MID($A63,3,1),Kanji_2_HanViet!$A:$C,2,FALSE))</f>
        <v/>
      </c>
      <c r="F63" s="16" t="str">
        <f>IF(ISNA(VLOOKUP(MID($A63,4,1),Kanji_2_HanViet!$A:$C,2,FALSE)),"",VLOOKUP(MID($A63,4,1),Kanji_2_HanViet!$A:$C,2,FALSE))</f>
        <v/>
      </c>
      <c r="G63" s="16" t="str">
        <f>IF(ISNA(VLOOKUP(MID($A63,5,1),Kanji_2_HanViet!$A:$C,2,FALSE)),"",VLOOKUP(MID($A63,5,1),Kanji_2_HanViet!$A:$C,2,FALSE))</f>
        <v/>
      </c>
      <c r="H63" s="16" t="str">
        <f>IF(ISNA(VLOOKUP(MID($A63,6,1),Kanji_2_HanViet!$A:$C,2,FALSE)),"",VLOOKUP(MID($A63,6,1),Kanji_2_HanViet!$A:$C,2,FALSE))</f>
        <v/>
      </c>
      <c r="I63" s="16" t="str">
        <f>IF(ISNA(VLOOKUP(MID($A63,7,1),Kanji_2_HanViet!$A:$C,2,FALSE)),"",VLOOKUP(MID($A63,7,1),Kanji_2_HanViet!$A:$C,2,FALSE))</f>
        <v/>
      </c>
      <c r="J63" s="16" t="str">
        <f>IF(ISNA(VLOOKUP(MID($A63,8,1),Kanji_2_HanViet!$A:$C,2,FALSE)),"",VLOOKUP(MID($A63,8,1),Kanji_2_HanViet!$A:$C,2,FALSE))</f>
        <v/>
      </c>
      <c r="K63" s="16" t="str">
        <f>IF(ISNA(VLOOKUP(MID($A63,9,1),Kanji_2_HanViet!$A:$C,2,FALSE)),"",VLOOKUP(MID($A63,9,1),Kanji_2_HanViet!$A:$C,2,FALSE))</f>
        <v/>
      </c>
    </row>
    <row r="64" spans="1:11">
      <c r="A64" s="14">
        <f>Master!B71</f>
        <v>0</v>
      </c>
      <c r="B64" s="17" t="str">
        <f t="shared" si="0"/>
        <v/>
      </c>
      <c r="C64" s="16" t="str">
        <f>IF(ISNA(VLOOKUP(MID($A64,1,1),Kanji_2_HanViet!$A:$C,2,FALSE)),"",VLOOKUP(MID($A64,1,1),Kanji_2_HanViet!$A:$C,2,FALSE))</f>
        <v/>
      </c>
      <c r="D64" s="16" t="str">
        <f>IF(ISNA(VLOOKUP(MID($A64,2,1),Kanji_2_HanViet!$A:$C,2,FALSE)),"",VLOOKUP(MID($A64,2,1),Kanji_2_HanViet!$A:$C,2,FALSE))</f>
        <v/>
      </c>
      <c r="E64" s="16" t="str">
        <f>IF(ISNA(VLOOKUP(MID($A64,3,1),Kanji_2_HanViet!$A:$C,2,FALSE)),"",VLOOKUP(MID($A64,3,1),Kanji_2_HanViet!$A:$C,2,FALSE))</f>
        <v/>
      </c>
      <c r="F64" s="16" t="str">
        <f>IF(ISNA(VLOOKUP(MID($A64,4,1),Kanji_2_HanViet!$A:$C,2,FALSE)),"",VLOOKUP(MID($A64,4,1),Kanji_2_HanViet!$A:$C,2,FALSE))</f>
        <v/>
      </c>
      <c r="G64" s="16" t="str">
        <f>IF(ISNA(VLOOKUP(MID($A64,5,1),Kanji_2_HanViet!$A:$C,2,FALSE)),"",VLOOKUP(MID($A64,5,1),Kanji_2_HanViet!$A:$C,2,FALSE))</f>
        <v/>
      </c>
      <c r="H64" s="16" t="str">
        <f>IF(ISNA(VLOOKUP(MID($A64,6,1),Kanji_2_HanViet!$A:$C,2,FALSE)),"",VLOOKUP(MID($A64,6,1),Kanji_2_HanViet!$A:$C,2,FALSE))</f>
        <v/>
      </c>
      <c r="I64" s="16" t="str">
        <f>IF(ISNA(VLOOKUP(MID($A64,7,1),Kanji_2_HanViet!$A:$C,2,FALSE)),"",VLOOKUP(MID($A64,7,1),Kanji_2_HanViet!$A:$C,2,FALSE))</f>
        <v/>
      </c>
      <c r="J64" s="16" t="str">
        <f>IF(ISNA(VLOOKUP(MID($A64,8,1),Kanji_2_HanViet!$A:$C,2,FALSE)),"",VLOOKUP(MID($A64,8,1),Kanji_2_HanViet!$A:$C,2,FALSE))</f>
        <v/>
      </c>
      <c r="K64" s="16" t="str">
        <f>IF(ISNA(VLOOKUP(MID($A64,9,1),Kanji_2_HanViet!$A:$C,2,FALSE)),"",VLOOKUP(MID($A64,9,1),Kanji_2_HanViet!$A:$C,2,FALSE))</f>
        <v/>
      </c>
    </row>
    <row r="65" spans="1:11">
      <c r="A65" s="14">
        <f>Master!B72</f>
        <v>0</v>
      </c>
      <c r="B65" s="17" t="str">
        <f t="shared" si="0"/>
        <v/>
      </c>
      <c r="C65" s="16" t="str">
        <f>IF(ISNA(VLOOKUP(MID($A65,1,1),Kanji_2_HanViet!$A:$C,2,FALSE)),"",VLOOKUP(MID($A65,1,1),Kanji_2_HanViet!$A:$C,2,FALSE))</f>
        <v/>
      </c>
      <c r="D65" s="16" t="str">
        <f>IF(ISNA(VLOOKUP(MID($A65,2,1),Kanji_2_HanViet!$A:$C,2,FALSE)),"",VLOOKUP(MID($A65,2,1),Kanji_2_HanViet!$A:$C,2,FALSE))</f>
        <v/>
      </c>
      <c r="E65" s="16" t="str">
        <f>IF(ISNA(VLOOKUP(MID($A65,3,1),Kanji_2_HanViet!$A:$C,2,FALSE)),"",VLOOKUP(MID($A65,3,1),Kanji_2_HanViet!$A:$C,2,FALSE))</f>
        <v/>
      </c>
      <c r="F65" s="16" t="str">
        <f>IF(ISNA(VLOOKUP(MID($A65,4,1),Kanji_2_HanViet!$A:$C,2,FALSE)),"",VLOOKUP(MID($A65,4,1),Kanji_2_HanViet!$A:$C,2,FALSE))</f>
        <v/>
      </c>
      <c r="G65" s="16" t="str">
        <f>IF(ISNA(VLOOKUP(MID($A65,5,1),Kanji_2_HanViet!$A:$C,2,FALSE)),"",VLOOKUP(MID($A65,5,1),Kanji_2_HanViet!$A:$C,2,FALSE))</f>
        <v/>
      </c>
      <c r="H65" s="16" t="str">
        <f>IF(ISNA(VLOOKUP(MID($A65,6,1),Kanji_2_HanViet!$A:$C,2,FALSE)),"",VLOOKUP(MID($A65,6,1),Kanji_2_HanViet!$A:$C,2,FALSE))</f>
        <v/>
      </c>
      <c r="I65" s="16" t="str">
        <f>IF(ISNA(VLOOKUP(MID($A65,7,1),Kanji_2_HanViet!$A:$C,2,FALSE)),"",VLOOKUP(MID($A65,7,1),Kanji_2_HanViet!$A:$C,2,FALSE))</f>
        <v/>
      </c>
      <c r="J65" s="16" t="str">
        <f>IF(ISNA(VLOOKUP(MID($A65,8,1),Kanji_2_HanViet!$A:$C,2,FALSE)),"",VLOOKUP(MID($A65,8,1),Kanji_2_HanViet!$A:$C,2,FALSE))</f>
        <v/>
      </c>
      <c r="K65" s="16" t="str">
        <f>IF(ISNA(VLOOKUP(MID($A65,9,1),Kanji_2_HanViet!$A:$C,2,FALSE)),"",VLOOKUP(MID($A65,9,1),Kanji_2_HanViet!$A:$C,2,FALSE))</f>
        <v/>
      </c>
    </row>
    <row r="66" spans="1:11">
      <c r="A66" s="14">
        <f>Master!B73</f>
        <v>0</v>
      </c>
      <c r="B66" s="17" t="str">
        <f t="shared" si="0"/>
        <v/>
      </c>
      <c r="C66" s="16" t="str">
        <f>IF(ISNA(VLOOKUP(MID($A66,1,1),Kanji_2_HanViet!$A:$C,2,FALSE)),"",VLOOKUP(MID($A66,1,1),Kanji_2_HanViet!$A:$C,2,FALSE))</f>
        <v/>
      </c>
      <c r="D66" s="16" t="str">
        <f>IF(ISNA(VLOOKUP(MID($A66,2,1),Kanji_2_HanViet!$A:$C,2,FALSE)),"",VLOOKUP(MID($A66,2,1),Kanji_2_HanViet!$A:$C,2,FALSE))</f>
        <v/>
      </c>
      <c r="E66" s="16" t="str">
        <f>IF(ISNA(VLOOKUP(MID($A66,3,1),Kanji_2_HanViet!$A:$C,2,FALSE)),"",VLOOKUP(MID($A66,3,1),Kanji_2_HanViet!$A:$C,2,FALSE))</f>
        <v/>
      </c>
      <c r="F66" s="16" t="str">
        <f>IF(ISNA(VLOOKUP(MID($A66,4,1),Kanji_2_HanViet!$A:$C,2,FALSE)),"",VLOOKUP(MID($A66,4,1),Kanji_2_HanViet!$A:$C,2,FALSE))</f>
        <v/>
      </c>
      <c r="G66" s="16" t="str">
        <f>IF(ISNA(VLOOKUP(MID($A66,5,1),Kanji_2_HanViet!$A:$C,2,FALSE)),"",VLOOKUP(MID($A66,5,1),Kanji_2_HanViet!$A:$C,2,FALSE))</f>
        <v/>
      </c>
      <c r="H66" s="16" t="str">
        <f>IF(ISNA(VLOOKUP(MID($A66,6,1),Kanji_2_HanViet!$A:$C,2,FALSE)),"",VLOOKUP(MID($A66,6,1),Kanji_2_HanViet!$A:$C,2,FALSE))</f>
        <v/>
      </c>
      <c r="I66" s="16" t="str">
        <f>IF(ISNA(VLOOKUP(MID($A66,7,1),Kanji_2_HanViet!$A:$C,2,FALSE)),"",VLOOKUP(MID($A66,7,1),Kanji_2_HanViet!$A:$C,2,FALSE))</f>
        <v/>
      </c>
      <c r="J66" s="16" t="str">
        <f>IF(ISNA(VLOOKUP(MID($A66,8,1),Kanji_2_HanViet!$A:$C,2,FALSE)),"",VLOOKUP(MID($A66,8,1),Kanji_2_HanViet!$A:$C,2,FALSE))</f>
        <v/>
      </c>
      <c r="K66" s="16" t="str">
        <f>IF(ISNA(VLOOKUP(MID($A66,9,1),Kanji_2_HanViet!$A:$C,2,FALSE)),"",VLOOKUP(MID($A66,9,1),Kanji_2_HanViet!$A:$C,2,FALSE))</f>
        <v/>
      </c>
    </row>
    <row r="67" spans="1:11">
      <c r="A67" s="14">
        <f>Master!B74</f>
        <v>0</v>
      </c>
      <c r="B67" s="17" t="str">
        <f t="shared" ref="B67:B130" si="1">TRIM(CONCATENATE($C67," ",$D67," ",$E67," ",$F67," ",$G67," ",$H67," ",$I67," ",$J67," ",$K67))</f>
        <v/>
      </c>
      <c r="C67" s="16" t="str">
        <f>IF(ISNA(VLOOKUP(MID($A67,1,1),Kanji_2_HanViet!$A:$C,2,FALSE)),"",VLOOKUP(MID($A67,1,1),Kanji_2_HanViet!$A:$C,2,FALSE))</f>
        <v/>
      </c>
      <c r="D67" s="16" t="str">
        <f>IF(ISNA(VLOOKUP(MID($A67,2,1),Kanji_2_HanViet!$A:$C,2,FALSE)),"",VLOOKUP(MID($A67,2,1),Kanji_2_HanViet!$A:$C,2,FALSE))</f>
        <v/>
      </c>
      <c r="E67" s="16" t="str">
        <f>IF(ISNA(VLOOKUP(MID($A67,3,1),Kanji_2_HanViet!$A:$C,2,FALSE)),"",VLOOKUP(MID($A67,3,1),Kanji_2_HanViet!$A:$C,2,FALSE))</f>
        <v/>
      </c>
      <c r="F67" s="16" t="str">
        <f>IF(ISNA(VLOOKUP(MID($A67,4,1),Kanji_2_HanViet!$A:$C,2,FALSE)),"",VLOOKUP(MID($A67,4,1),Kanji_2_HanViet!$A:$C,2,FALSE))</f>
        <v/>
      </c>
      <c r="G67" s="16" t="str">
        <f>IF(ISNA(VLOOKUP(MID($A67,5,1),Kanji_2_HanViet!$A:$C,2,FALSE)),"",VLOOKUP(MID($A67,5,1),Kanji_2_HanViet!$A:$C,2,FALSE))</f>
        <v/>
      </c>
      <c r="H67" s="16" t="str">
        <f>IF(ISNA(VLOOKUP(MID($A67,6,1),Kanji_2_HanViet!$A:$C,2,FALSE)),"",VLOOKUP(MID($A67,6,1),Kanji_2_HanViet!$A:$C,2,FALSE))</f>
        <v/>
      </c>
      <c r="I67" s="16" t="str">
        <f>IF(ISNA(VLOOKUP(MID($A67,7,1),Kanji_2_HanViet!$A:$C,2,FALSE)),"",VLOOKUP(MID($A67,7,1),Kanji_2_HanViet!$A:$C,2,FALSE))</f>
        <v/>
      </c>
      <c r="J67" s="16" t="str">
        <f>IF(ISNA(VLOOKUP(MID($A67,8,1),Kanji_2_HanViet!$A:$C,2,FALSE)),"",VLOOKUP(MID($A67,8,1),Kanji_2_HanViet!$A:$C,2,FALSE))</f>
        <v/>
      </c>
      <c r="K67" s="16" t="str">
        <f>IF(ISNA(VLOOKUP(MID($A67,9,1),Kanji_2_HanViet!$A:$C,2,FALSE)),"",VLOOKUP(MID($A67,9,1),Kanji_2_HanViet!$A:$C,2,FALSE))</f>
        <v/>
      </c>
    </row>
    <row r="68" spans="1:11">
      <c r="A68" s="14">
        <f>Master!B75</f>
        <v>0</v>
      </c>
      <c r="B68" s="17" t="str">
        <f t="shared" si="1"/>
        <v/>
      </c>
      <c r="C68" s="16" t="str">
        <f>IF(ISNA(VLOOKUP(MID($A68,1,1),Kanji_2_HanViet!$A:$C,2,FALSE)),"",VLOOKUP(MID($A68,1,1),Kanji_2_HanViet!$A:$C,2,FALSE))</f>
        <v/>
      </c>
      <c r="D68" s="16" t="str">
        <f>IF(ISNA(VLOOKUP(MID($A68,2,1),Kanji_2_HanViet!$A:$C,2,FALSE)),"",VLOOKUP(MID($A68,2,1),Kanji_2_HanViet!$A:$C,2,FALSE))</f>
        <v/>
      </c>
      <c r="E68" s="16" t="str">
        <f>IF(ISNA(VLOOKUP(MID($A68,3,1),Kanji_2_HanViet!$A:$C,2,FALSE)),"",VLOOKUP(MID($A68,3,1),Kanji_2_HanViet!$A:$C,2,FALSE))</f>
        <v/>
      </c>
      <c r="F68" s="16" t="str">
        <f>IF(ISNA(VLOOKUP(MID($A68,4,1),Kanji_2_HanViet!$A:$C,2,FALSE)),"",VLOOKUP(MID($A68,4,1),Kanji_2_HanViet!$A:$C,2,FALSE))</f>
        <v/>
      </c>
      <c r="G68" s="16" t="str">
        <f>IF(ISNA(VLOOKUP(MID($A68,5,1),Kanji_2_HanViet!$A:$C,2,FALSE)),"",VLOOKUP(MID($A68,5,1),Kanji_2_HanViet!$A:$C,2,FALSE))</f>
        <v/>
      </c>
      <c r="H68" s="16" t="str">
        <f>IF(ISNA(VLOOKUP(MID($A68,6,1),Kanji_2_HanViet!$A:$C,2,FALSE)),"",VLOOKUP(MID($A68,6,1),Kanji_2_HanViet!$A:$C,2,FALSE))</f>
        <v/>
      </c>
      <c r="I68" s="16" t="str">
        <f>IF(ISNA(VLOOKUP(MID($A68,7,1),Kanji_2_HanViet!$A:$C,2,FALSE)),"",VLOOKUP(MID($A68,7,1),Kanji_2_HanViet!$A:$C,2,FALSE))</f>
        <v/>
      </c>
      <c r="J68" s="16" t="str">
        <f>IF(ISNA(VLOOKUP(MID($A68,8,1),Kanji_2_HanViet!$A:$C,2,FALSE)),"",VLOOKUP(MID($A68,8,1),Kanji_2_HanViet!$A:$C,2,FALSE))</f>
        <v/>
      </c>
      <c r="K68" s="16" t="str">
        <f>IF(ISNA(VLOOKUP(MID($A68,9,1),Kanji_2_HanViet!$A:$C,2,FALSE)),"",VLOOKUP(MID($A68,9,1),Kanji_2_HanViet!$A:$C,2,FALSE))</f>
        <v/>
      </c>
    </row>
    <row r="69" spans="1:11">
      <c r="A69" s="14">
        <f>Master!B76</f>
        <v>0</v>
      </c>
      <c r="B69" s="17" t="str">
        <f t="shared" si="1"/>
        <v/>
      </c>
      <c r="C69" s="16" t="str">
        <f>IF(ISNA(VLOOKUP(MID($A69,1,1),Kanji_2_HanViet!$A:$C,2,FALSE)),"",VLOOKUP(MID($A69,1,1),Kanji_2_HanViet!$A:$C,2,FALSE))</f>
        <v/>
      </c>
      <c r="D69" s="16" t="str">
        <f>IF(ISNA(VLOOKUP(MID($A69,2,1),Kanji_2_HanViet!$A:$C,2,FALSE)),"",VLOOKUP(MID($A69,2,1),Kanji_2_HanViet!$A:$C,2,FALSE))</f>
        <v/>
      </c>
      <c r="E69" s="16" t="str">
        <f>IF(ISNA(VLOOKUP(MID($A69,3,1),Kanji_2_HanViet!$A:$C,2,FALSE)),"",VLOOKUP(MID($A69,3,1),Kanji_2_HanViet!$A:$C,2,FALSE))</f>
        <v/>
      </c>
      <c r="F69" s="16" t="str">
        <f>IF(ISNA(VLOOKUP(MID($A69,4,1),Kanji_2_HanViet!$A:$C,2,FALSE)),"",VLOOKUP(MID($A69,4,1),Kanji_2_HanViet!$A:$C,2,FALSE))</f>
        <v/>
      </c>
      <c r="G69" s="16" t="str">
        <f>IF(ISNA(VLOOKUP(MID($A69,5,1),Kanji_2_HanViet!$A:$C,2,FALSE)),"",VLOOKUP(MID($A69,5,1),Kanji_2_HanViet!$A:$C,2,FALSE))</f>
        <v/>
      </c>
      <c r="H69" s="16" t="str">
        <f>IF(ISNA(VLOOKUP(MID($A69,6,1),Kanji_2_HanViet!$A:$C,2,FALSE)),"",VLOOKUP(MID($A69,6,1),Kanji_2_HanViet!$A:$C,2,FALSE))</f>
        <v/>
      </c>
      <c r="I69" s="16" t="str">
        <f>IF(ISNA(VLOOKUP(MID($A69,7,1),Kanji_2_HanViet!$A:$C,2,FALSE)),"",VLOOKUP(MID($A69,7,1),Kanji_2_HanViet!$A:$C,2,FALSE))</f>
        <v/>
      </c>
      <c r="J69" s="16" t="str">
        <f>IF(ISNA(VLOOKUP(MID($A69,8,1),Kanji_2_HanViet!$A:$C,2,FALSE)),"",VLOOKUP(MID($A69,8,1),Kanji_2_HanViet!$A:$C,2,FALSE))</f>
        <v/>
      </c>
      <c r="K69" s="16" t="str">
        <f>IF(ISNA(VLOOKUP(MID($A69,9,1),Kanji_2_HanViet!$A:$C,2,FALSE)),"",VLOOKUP(MID($A69,9,1),Kanji_2_HanViet!$A:$C,2,FALSE))</f>
        <v/>
      </c>
    </row>
    <row r="70" spans="1:11">
      <c r="A70" s="14">
        <f>Master!B77</f>
        <v>0</v>
      </c>
      <c r="B70" s="17" t="str">
        <f t="shared" si="1"/>
        <v/>
      </c>
      <c r="C70" s="16" t="str">
        <f>IF(ISNA(VLOOKUP(MID($A70,1,1),Kanji_2_HanViet!$A:$C,2,FALSE)),"",VLOOKUP(MID($A70,1,1),Kanji_2_HanViet!$A:$C,2,FALSE))</f>
        <v/>
      </c>
      <c r="D70" s="16" t="str">
        <f>IF(ISNA(VLOOKUP(MID($A70,2,1),Kanji_2_HanViet!$A:$C,2,FALSE)),"",VLOOKUP(MID($A70,2,1),Kanji_2_HanViet!$A:$C,2,FALSE))</f>
        <v/>
      </c>
      <c r="E70" s="16" t="str">
        <f>IF(ISNA(VLOOKUP(MID($A70,3,1),Kanji_2_HanViet!$A:$C,2,FALSE)),"",VLOOKUP(MID($A70,3,1),Kanji_2_HanViet!$A:$C,2,FALSE))</f>
        <v/>
      </c>
      <c r="F70" s="16" t="str">
        <f>IF(ISNA(VLOOKUP(MID($A70,4,1),Kanji_2_HanViet!$A:$C,2,FALSE)),"",VLOOKUP(MID($A70,4,1),Kanji_2_HanViet!$A:$C,2,FALSE))</f>
        <v/>
      </c>
      <c r="G70" s="16" t="str">
        <f>IF(ISNA(VLOOKUP(MID($A70,5,1),Kanji_2_HanViet!$A:$C,2,FALSE)),"",VLOOKUP(MID($A70,5,1),Kanji_2_HanViet!$A:$C,2,FALSE))</f>
        <v/>
      </c>
      <c r="H70" s="16" t="str">
        <f>IF(ISNA(VLOOKUP(MID($A70,6,1),Kanji_2_HanViet!$A:$C,2,FALSE)),"",VLOOKUP(MID($A70,6,1),Kanji_2_HanViet!$A:$C,2,FALSE))</f>
        <v/>
      </c>
      <c r="I70" s="16" t="str">
        <f>IF(ISNA(VLOOKUP(MID($A70,7,1),Kanji_2_HanViet!$A:$C,2,FALSE)),"",VLOOKUP(MID($A70,7,1),Kanji_2_HanViet!$A:$C,2,FALSE))</f>
        <v/>
      </c>
      <c r="J70" s="16" t="str">
        <f>IF(ISNA(VLOOKUP(MID($A70,8,1),Kanji_2_HanViet!$A:$C,2,FALSE)),"",VLOOKUP(MID($A70,8,1),Kanji_2_HanViet!$A:$C,2,FALSE))</f>
        <v/>
      </c>
      <c r="K70" s="16" t="str">
        <f>IF(ISNA(VLOOKUP(MID($A70,9,1),Kanji_2_HanViet!$A:$C,2,FALSE)),"",VLOOKUP(MID($A70,9,1),Kanji_2_HanViet!$A:$C,2,FALSE))</f>
        <v/>
      </c>
    </row>
    <row r="71" spans="1:11">
      <c r="A71" s="14">
        <f>Master!B78</f>
        <v>0</v>
      </c>
      <c r="B71" s="17" t="str">
        <f t="shared" si="1"/>
        <v/>
      </c>
      <c r="C71" s="16" t="str">
        <f>IF(ISNA(VLOOKUP(MID($A71,1,1),Kanji_2_HanViet!$A:$C,2,FALSE)),"",VLOOKUP(MID($A71,1,1),Kanji_2_HanViet!$A:$C,2,FALSE))</f>
        <v/>
      </c>
      <c r="D71" s="16" t="str">
        <f>IF(ISNA(VLOOKUP(MID($A71,2,1),Kanji_2_HanViet!$A:$C,2,FALSE)),"",VLOOKUP(MID($A71,2,1),Kanji_2_HanViet!$A:$C,2,FALSE))</f>
        <v/>
      </c>
      <c r="E71" s="16" t="str">
        <f>IF(ISNA(VLOOKUP(MID($A71,3,1),Kanji_2_HanViet!$A:$C,2,FALSE)),"",VLOOKUP(MID($A71,3,1),Kanji_2_HanViet!$A:$C,2,FALSE))</f>
        <v/>
      </c>
      <c r="F71" s="16" t="str">
        <f>IF(ISNA(VLOOKUP(MID($A71,4,1),Kanji_2_HanViet!$A:$C,2,FALSE)),"",VLOOKUP(MID($A71,4,1),Kanji_2_HanViet!$A:$C,2,FALSE))</f>
        <v/>
      </c>
      <c r="G71" s="16" t="str">
        <f>IF(ISNA(VLOOKUP(MID($A71,5,1),Kanji_2_HanViet!$A:$C,2,FALSE)),"",VLOOKUP(MID($A71,5,1),Kanji_2_HanViet!$A:$C,2,FALSE))</f>
        <v/>
      </c>
      <c r="H71" s="16" t="str">
        <f>IF(ISNA(VLOOKUP(MID($A71,6,1),Kanji_2_HanViet!$A:$C,2,FALSE)),"",VLOOKUP(MID($A71,6,1),Kanji_2_HanViet!$A:$C,2,FALSE))</f>
        <v/>
      </c>
      <c r="I71" s="16" t="str">
        <f>IF(ISNA(VLOOKUP(MID($A71,7,1),Kanji_2_HanViet!$A:$C,2,FALSE)),"",VLOOKUP(MID($A71,7,1),Kanji_2_HanViet!$A:$C,2,FALSE))</f>
        <v/>
      </c>
      <c r="J71" s="16" t="str">
        <f>IF(ISNA(VLOOKUP(MID($A71,8,1),Kanji_2_HanViet!$A:$C,2,FALSE)),"",VLOOKUP(MID($A71,8,1),Kanji_2_HanViet!$A:$C,2,FALSE))</f>
        <v/>
      </c>
      <c r="K71" s="16" t="str">
        <f>IF(ISNA(VLOOKUP(MID($A71,9,1),Kanji_2_HanViet!$A:$C,2,FALSE)),"",VLOOKUP(MID($A71,9,1),Kanji_2_HanViet!$A:$C,2,FALSE))</f>
        <v/>
      </c>
    </row>
    <row r="72" spans="1:11">
      <c r="A72" s="14">
        <f>Master!B79</f>
        <v>0</v>
      </c>
      <c r="B72" s="17" t="str">
        <f t="shared" si="1"/>
        <v/>
      </c>
      <c r="C72" s="16" t="str">
        <f>IF(ISNA(VLOOKUP(MID($A72,1,1),Kanji_2_HanViet!$A:$C,2,FALSE)),"",VLOOKUP(MID($A72,1,1),Kanji_2_HanViet!$A:$C,2,FALSE))</f>
        <v/>
      </c>
      <c r="D72" s="16" t="str">
        <f>IF(ISNA(VLOOKUP(MID($A72,2,1),Kanji_2_HanViet!$A:$C,2,FALSE)),"",VLOOKUP(MID($A72,2,1),Kanji_2_HanViet!$A:$C,2,FALSE))</f>
        <v/>
      </c>
      <c r="E72" s="16" t="str">
        <f>IF(ISNA(VLOOKUP(MID($A72,3,1),Kanji_2_HanViet!$A:$C,2,FALSE)),"",VLOOKUP(MID($A72,3,1),Kanji_2_HanViet!$A:$C,2,FALSE))</f>
        <v/>
      </c>
      <c r="F72" s="16" t="str">
        <f>IF(ISNA(VLOOKUP(MID($A72,4,1),Kanji_2_HanViet!$A:$C,2,FALSE)),"",VLOOKUP(MID($A72,4,1),Kanji_2_HanViet!$A:$C,2,FALSE))</f>
        <v/>
      </c>
      <c r="G72" s="16" t="str">
        <f>IF(ISNA(VLOOKUP(MID($A72,5,1),Kanji_2_HanViet!$A:$C,2,FALSE)),"",VLOOKUP(MID($A72,5,1),Kanji_2_HanViet!$A:$C,2,FALSE))</f>
        <v/>
      </c>
      <c r="H72" s="16" t="str">
        <f>IF(ISNA(VLOOKUP(MID($A72,6,1),Kanji_2_HanViet!$A:$C,2,FALSE)),"",VLOOKUP(MID($A72,6,1),Kanji_2_HanViet!$A:$C,2,FALSE))</f>
        <v/>
      </c>
      <c r="I72" s="16" t="str">
        <f>IF(ISNA(VLOOKUP(MID($A72,7,1),Kanji_2_HanViet!$A:$C,2,FALSE)),"",VLOOKUP(MID($A72,7,1),Kanji_2_HanViet!$A:$C,2,FALSE))</f>
        <v/>
      </c>
      <c r="J72" s="16" t="str">
        <f>IF(ISNA(VLOOKUP(MID($A72,8,1),Kanji_2_HanViet!$A:$C,2,FALSE)),"",VLOOKUP(MID($A72,8,1),Kanji_2_HanViet!$A:$C,2,FALSE))</f>
        <v/>
      </c>
      <c r="K72" s="16" t="str">
        <f>IF(ISNA(VLOOKUP(MID($A72,9,1),Kanji_2_HanViet!$A:$C,2,FALSE)),"",VLOOKUP(MID($A72,9,1),Kanji_2_HanViet!$A:$C,2,FALSE))</f>
        <v/>
      </c>
    </row>
    <row r="73" spans="1:11">
      <c r="A73" s="14">
        <f>Master!B80</f>
        <v>0</v>
      </c>
      <c r="B73" s="17" t="str">
        <f t="shared" si="1"/>
        <v/>
      </c>
      <c r="C73" s="16" t="str">
        <f>IF(ISNA(VLOOKUP(MID($A73,1,1),Kanji_2_HanViet!$A:$C,2,FALSE)),"",VLOOKUP(MID($A73,1,1),Kanji_2_HanViet!$A:$C,2,FALSE))</f>
        <v/>
      </c>
      <c r="D73" s="16" t="str">
        <f>IF(ISNA(VLOOKUP(MID($A73,2,1),Kanji_2_HanViet!$A:$C,2,FALSE)),"",VLOOKUP(MID($A73,2,1),Kanji_2_HanViet!$A:$C,2,FALSE))</f>
        <v/>
      </c>
      <c r="E73" s="16" t="str">
        <f>IF(ISNA(VLOOKUP(MID($A73,3,1),Kanji_2_HanViet!$A:$C,2,FALSE)),"",VLOOKUP(MID($A73,3,1),Kanji_2_HanViet!$A:$C,2,FALSE))</f>
        <v/>
      </c>
      <c r="F73" s="16" t="str">
        <f>IF(ISNA(VLOOKUP(MID($A73,4,1),Kanji_2_HanViet!$A:$C,2,FALSE)),"",VLOOKUP(MID($A73,4,1),Kanji_2_HanViet!$A:$C,2,FALSE))</f>
        <v/>
      </c>
      <c r="G73" s="16" t="str">
        <f>IF(ISNA(VLOOKUP(MID($A73,5,1),Kanji_2_HanViet!$A:$C,2,FALSE)),"",VLOOKUP(MID($A73,5,1),Kanji_2_HanViet!$A:$C,2,FALSE))</f>
        <v/>
      </c>
      <c r="H73" s="16" t="str">
        <f>IF(ISNA(VLOOKUP(MID($A73,6,1),Kanji_2_HanViet!$A:$C,2,FALSE)),"",VLOOKUP(MID($A73,6,1),Kanji_2_HanViet!$A:$C,2,FALSE))</f>
        <v/>
      </c>
      <c r="I73" s="16" t="str">
        <f>IF(ISNA(VLOOKUP(MID($A73,7,1),Kanji_2_HanViet!$A:$C,2,FALSE)),"",VLOOKUP(MID($A73,7,1),Kanji_2_HanViet!$A:$C,2,FALSE))</f>
        <v/>
      </c>
      <c r="J73" s="16" t="str">
        <f>IF(ISNA(VLOOKUP(MID($A73,8,1),Kanji_2_HanViet!$A:$C,2,FALSE)),"",VLOOKUP(MID($A73,8,1),Kanji_2_HanViet!$A:$C,2,FALSE))</f>
        <v/>
      </c>
      <c r="K73" s="16" t="str">
        <f>IF(ISNA(VLOOKUP(MID($A73,9,1),Kanji_2_HanViet!$A:$C,2,FALSE)),"",VLOOKUP(MID($A73,9,1),Kanji_2_HanViet!$A:$C,2,FALSE))</f>
        <v/>
      </c>
    </row>
    <row r="74" spans="1:11">
      <c r="A74" s="14">
        <f>Master!B81</f>
        <v>0</v>
      </c>
      <c r="B74" s="17" t="str">
        <f t="shared" si="1"/>
        <v/>
      </c>
      <c r="C74" s="16" t="str">
        <f>IF(ISNA(VLOOKUP(MID($A74,1,1),Kanji_2_HanViet!$A:$C,2,FALSE)),"",VLOOKUP(MID($A74,1,1),Kanji_2_HanViet!$A:$C,2,FALSE))</f>
        <v/>
      </c>
      <c r="D74" s="16" t="str">
        <f>IF(ISNA(VLOOKUP(MID($A74,2,1),Kanji_2_HanViet!$A:$C,2,FALSE)),"",VLOOKUP(MID($A74,2,1),Kanji_2_HanViet!$A:$C,2,FALSE))</f>
        <v/>
      </c>
      <c r="E74" s="16" t="str">
        <f>IF(ISNA(VLOOKUP(MID($A74,3,1),Kanji_2_HanViet!$A:$C,2,FALSE)),"",VLOOKUP(MID($A74,3,1),Kanji_2_HanViet!$A:$C,2,FALSE))</f>
        <v/>
      </c>
      <c r="F74" s="16" t="str">
        <f>IF(ISNA(VLOOKUP(MID($A74,4,1),Kanji_2_HanViet!$A:$C,2,FALSE)),"",VLOOKUP(MID($A74,4,1),Kanji_2_HanViet!$A:$C,2,FALSE))</f>
        <v/>
      </c>
      <c r="G74" s="16" t="str">
        <f>IF(ISNA(VLOOKUP(MID($A74,5,1),Kanji_2_HanViet!$A:$C,2,FALSE)),"",VLOOKUP(MID($A74,5,1),Kanji_2_HanViet!$A:$C,2,FALSE))</f>
        <v/>
      </c>
      <c r="H74" s="16" t="str">
        <f>IF(ISNA(VLOOKUP(MID($A74,6,1),Kanji_2_HanViet!$A:$C,2,FALSE)),"",VLOOKUP(MID($A74,6,1),Kanji_2_HanViet!$A:$C,2,FALSE))</f>
        <v/>
      </c>
      <c r="I74" s="16" t="str">
        <f>IF(ISNA(VLOOKUP(MID($A74,7,1),Kanji_2_HanViet!$A:$C,2,FALSE)),"",VLOOKUP(MID($A74,7,1),Kanji_2_HanViet!$A:$C,2,FALSE))</f>
        <v/>
      </c>
      <c r="J74" s="16" t="str">
        <f>IF(ISNA(VLOOKUP(MID($A74,8,1),Kanji_2_HanViet!$A:$C,2,FALSE)),"",VLOOKUP(MID($A74,8,1),Kanji_2_HanViet!$A:$C,2,FALSE))</f>
        <v/>
      </c>
      <c r="K74" s="16" t="str">
        <f>IF(ISNA(VLOOKUP(MID($A74,9,1),Kanji_2_HanViet!$A:$C,2,FALSE)),"",VLOOKUP(MID($A74,9,1),Kanji_2_HanViet!$A:$C,2,FALSE))</f>
        <v/>
      </c>
    </row>
    <row r="75" spans="1:11">
      <c r="A75" s="14">
        <f>Master!B82</f>
        <v>0</v>
      </c>
      <c r="B75" s="17" t="str">
        <f t="shared" si="1"/>
        <v/>
      </c>
      <c r="C75" s="16" t="str">
        <f>IF(ISNA(VLOOKUP(MID($A75,1,1),Kanji_2_HanViet!$A:$C,2,FALSE)),"",VLOOKUP(MID($A75,1,1),Kanji_2_HanViet!$A:$C,2,FALSE))</f>
        <v/>
      </c>
      <c r="D75" s="16" t="str">
        <f>IF(ISNA(VLOOKUP(MID($A75,2,1),Kanji_2_HanViet!$A:$C,2,FALSE)),"",VLOOKUP(MID($A75,2,1),Kanji_2_HanViet!$A:$C,2,FALSE))</f>
        <v/>
      </c>
      <c r="E75" s="16" t="str">
        <f>IF(ISNA(VLOOKUP(MID($A75,3,1),Kanji_2_HanViet!$A:$C,2,FALSE)),"",VLOOKUP(MID($A75,3,1),Kanji_2_HanViet!$A:$C,2,FALSE))</f>
        <v/>
      </c>
      <c r="F75" s="16" t="str">
        <f>IF(ISNA(VLOOKUP(MID($A75,4,1),Kanji_2_HanViet!$A:$C,2,FALSE)),"",VLOOKUP(MID($A75,4,1),Kanji_2_HanViet!$A:$C,2,FALSE))</f>
        <v/>
      </c>
      <c r="G75" s="16" t="str">
        <f>IF(ISNA(VLOOKUP(MID($A75,5,1),Kanji_2_HanViet!$A:$C,2,FALSE)),"",VLOOKUP(MID($A75,5,1),Kanji_2_HanViet!$A:$C,2,FALSE))</f>
        <v/>
      </c>
      <c r="H75" s="16" t="str">
        <f>IF(ISNA(VLOOKUP(MID($A75,6,1),Kanji_2_HanViet!$A:$C,2,FALSE)),"",VLOOKUP(MID($A75,6,1),Kanji_2_HanViet!$A:$C,2,FALSE))</f>
        <v/>
      </c>
      <c r="I75" s="16" t="str">
        <f>IF(ISNA(VLOOKUP(MID($A75,7,1),Kanji_2_HanViet!$A:$C,2,FALSE)),"",VLOOKUP(MID($A75,7,1),Kanji_2_HanViet!$A:$C,2,FALSE))</f>
        <v/>
      </c>
      <c r="J75" s="16" t="str">
        <f>IF(ISNA(VLOOKUP(MID($A75,8,1),Kanji_2_HanViet!$A:$C,2,FALSE)),"",VLOOKUP(MID($A75,8,1),Kanji_2_HanViet!$A:$C,2,FALSE))</f>
        <v/>
      </c>
      <c r="K75" s="16" t="str">
        <f>IF(ISNA(VLOOKUP(MID($A75,9,1),Kanji_2_HanViet!$A:$C,2,FALSE)),"",VLOOKUP(MID($A75,9,1),Kanji_2_HanViet!$A:$C,2,FALSE))</f>
        <v/>
      </c>
    </row>
    <row r="76" spans="1:11">
      <c r="A76" s="14">
        <f>Master!B83</f>
        <v>0</v>
      </c>
      <c r="B76" s="17" t="str">
        <f t="shared" si="1"/>
        <v/>
      </c>
      <c r="C76" s="16" t="str">
        <f>IF(ISNA(VLOOKUP(MID($A76,1,1),Kanji_2_HanViet!$A:$C,2,FALSE)),"",VLOOKUP(MID($A76,1,1),Kanji_2_HanViet!$A:$C,2,FALSE))</f>
        <v/>
      </c>
      <c r="D76" s="16" t="str">
        <f>IF(ISNA(VLOOKUP(MID($A76,2,1),Kanji_2_HanViet!$A:$C,2,FALSE)),"",VLOOKUP(MID($A76,2,1),Kanji_2_HanViet!$A:$C,2,FALSE))</f>
        <v/>
      </c>
      <c r="E76" s="16" t="str">
        <f>IF(ISNA(VLOOKUP(MID($A76,3,1),Kanji_2_HanViet!$A:$C,2,FALSE)),"",VLOOKUP(MID($A76,3,1),Kanji_2_HanViet!$A:$C,2,FALSE))</f>
        <v/>
      </c>
      <c r="F76" s="16" t="str">
        <f>IF(ISNA(VLOOKUP(MID($A76,4,1),Kanji_2_HanViet!$A:$C,2,FALSE)),"",VLOOKUP(MID($A76,4,1),Kanji_2_HanViet!$A:$C,2,FALSE))</f>
        <v/>
      </c>
      <c r="G76" s="16" t="str">
        <f>IF(ISNA(VLOOKUP(MID($A76,5,1),Kanji_2_HanViet!$A:$C,2,FALSE)),"",VLOOKUP(MID($A76,5,1),Kanji_2_HanViet!$A:$C,2,FALSE))</f>
        <v/>
      </c>
      <c r="H76" s="16" t="str">
        <f>IF(ISNA(VLOOKUP(MID($A76,6,1),Kanji_2_HanViet!$A:$C,2,FALSE)),"",VLOOKUP(MID($A76,6,1),Kanji_2_HanViet!$A:$C,2,FALSE))</f>
        <v/>
      </c>
      <c r="I76" s="16" t="str">
        <f>IF(ISNA(VLOOKUP(MID($A76,7,1),Kanji_2_HanViet!$A:$C,2,FALSE)),"",VLOOKUP(MID($A76,7,1),Kanji_2_HanViet!$A:$C,2,FALSE))</f>
        <v/>
      </c>
      <c r="J76" s="16" t="str">
        <f>IF(ISNA(VLOOKUP(MID($A76,8,1),Kanji_2_HanViet!$A:$C,2,FALSE)),"",VLOOKUP(MID($A76,8,1),Kanji_2_HanViet!$A:$C,2,FALSE))</f>
        <v/>
      </c>
      <c r="K76" s="16" t="str">
        <f>IF(ISNA(VLOOKUP(MID($A76,9,1),Kanji_2_HanViet!$A:$C,2,FALSE)),"",VLOOKUP(MID($A76,9,1),Kanji_2_HanViet!$A:$C,2,FALSE))</f>
        <v/>
      </c>
    </row>
    <row r="77" spans="1:11">
      <c r="A77" s="14">
        <f>Master!B84</f>
        <v>0</v>
      </c>
      <c r="B77" s="17" t="str">
        <f t="shared" si="1"/>
        <v/>
      </c>
      <c r="C77" s="16" t="str">
        <f>IF(ISNA(VLOOKUP(MID($A77,1,1),Kanji_2_HanViet!$A:$C,2,FALSE)),"",VLOOKUP(MID($A77,1,1),Kanji_2_HanViet!$A:$C,2,FALSE))</f>
        <v/>
      </c>
      <c r="D77" s="16" t="str">
        <f>IF(ISNA(VLOOKUP(MID($A77,2,1),Kanji_2_HanViet!$A:$C,2,FALSE)),"",VLOOKUP(MID($A77,2,1),Kanji_2_HanViet!$A:$C,2,FALSE))</f>
        <v/>
      </c>
      <c r="E77" s="16" t="str">
        <f>IF(ISNA(VLOOKUP(MID($A77,3,1),Kanji_2_HanViet!$A:$C,2,FALSE)),"",VLOOKUP(MID($A77,3,1),Kanji_2_HanViet!$A:$C,2,FALSE))</f>
        <v/>
      </c>
      <c r="F77" s="16" t="str">
        <f>IF(ISNA(VLOOKUP(MID($A77,4,1),Kanji_2_HanViet!$A:$C,2,FALSE)),"",VLOOKUP(MID($A77,4,1),Kanji_2_HanViet!$A:$C,2,FALSE))</f>
        <v/>
      </c>
      <c r="G77" s="16" t="str">
        <f>IF(ISNA(VLOOKUP(MID($A77,5,1),Kanji_2_HanViet!$A:$C,2,FALSE)),"",VLOOKUP(MID($A77,5,1),Kanji_2_HanViet!$A:$C,2,FALSE))</f>
        <v/>
      </c>
      <c r="H77" s="16" t="str">
        <f>IF(ISNA(VLOOKUP(MID($A77,6,1),Kanji_2_HanViet!$A:$C,2,FALSE)),"",VLOOKUP(MID($A77,6,1),Kanji_2_HanViet!$A:$C,2,FALSE))</f>
        <v/>
      </c>
      <c r="I77" s="16" t="str">
        <f>IF(ISNA(VLOOKUP(MID($A77,7,1),Kanji_2_HanViet!$A:$C,2,FALSE)),"",VLOOKUP(MID($A77,7,1),Kanji_2_HanViet!$A:$C,2,FALSE))</f>
        <v/>
      </c>
      <c r="J77" s="16" t="str">
        <f>IF(ISNA(VLOOKUP(MID($A77,8,1),Kanji_2_HanViet!$A:$C,2,FALSE)),"",VLOOKUP(MID($A77,8,1),Kanji_2_HanViet!$A:$C,2,FALSE))</f>
        <v/>
      </c>
      <c r="K77" s="16" t="str">
        <f>IF(ISNA(VLOOKUP(MID($A77,9,1),Kanji_2_HanViet!$A:$C,2,FALSE)),"",VLOOKUP(MID($A77,9,1),Kanji_2_HanViet!$A:$C,2,FALSE))</f>
        <v/>
      </c>
    </row>
    <row r="78" spans="1:11">
      <c r="A78" s="14">
        <f>Master!B85</f>
        <v>0</v>
      </c>
      <c r="B78" s="17" t="str">
        <f t="shared" si="1"/>
        <v/>
      </c>
      <c r="C78" s="16" t="str">
        <f>IF(ISNA(VLOOKUP(MID($A78,1,1),Kanji_2_HanViet!$A:$C,2,FALSE)),"",VLOOKUP(MID($A78,1,1),Kanji_2_HanViet!$A:$C,2,FALSE))</f>
        <v/>
      </c>
      <c r="D78" s="16" t="str">
        <f>IF(ISNA(VLOOKUP(MID($A78,2,1),Kanji_2_HanViet!$A:$C,2,FALSE)),"",VLOOKUP(MID($A78,2,1),Kanji_2_HanViet!$A:$C,2,FALSE))</f>
        <v/>
      </c>
      <c r="E78" s="16" t="str">
        <f>IF(ISNA(VLOOKUP(MID($A78,3,1),Kanji_2_HanViet!$A:$C,2,FALSE)),"",VLOOKUP(MID($A78,3,1),Kanji_2_HanViet!$A:$C,2,FALSE))</f>
        <v/>
      </c>
      <c r="F78" s="16" t="str">
        <f>IF(ISNA(VLOOKUP(MID($A78,4,1),Kanji_2_HanViet!$A:$C,2,FALSE)),"",VLOOKUP(MID($A78,4,1),Kanji_2_HanViet!$A:$C,2,FALSE))</f>
        <v/>
      </c>
      <c r="G78" s="16" t="str">
        <f>IF(ISNA(VLOOKUP(MID($A78,5,1),Kanji_2_HanViet!$A:$C,2,FALSE)),"",VLOOKUP(MID($A78,5,1),Kanji_2_HanViet!$A:$C,2,FALSE))</f>
        <v/>
      </c>
      <c r="H78" s="16" t="str">
        <f>IF(ISNA(VLOOKUP(MID($A78,6,1),Kanji_2_HanViet!$A:$C,2,FALSE)),"",VLOOKUP(MID($A78,6,1),Kanji_2_HanViet!$A:$C,2,FALSE))</f>
        <v/>
      </c>
      <c r="I78" s="16" t="str">
        <f>IF(ISNA(VLOOKUP(MID($A78,7,1),Kanji_2_HanViet!$A:$C,2,FALSE)),"",VLOOKUP(MID($A78,7,1),Kanji_2_HanViet!$A:$C,2,FALSE))</f>
        <v/>
      </c>
      <c r="J78" s="16" t="str">
        <f>IF(ISNA(VLOOKUP(MID($A78,8,1),Kanji_2_HanViet!$A:$C,2,FALSE)),"",VLOOKUP(MID($A78,8,1),Kanji_2_HanViet!$A:$C,2,FALSE))</f>
        <v/>
      </c>
      <c r="K78" s="16" t="str">
        <f>IF(ISNA(VLOOKUP(MID($A78,9,1),Kanji_2_HanViet!$A:$C,2,FALSE)),"",VLOOKUP(MID($A78,9,1),Kanji_2_HanViet!$A:$C,2,FALSE))</f>
        <v/>
      </c>
    </row>
    <row r="79" spans="1:11">
      <c r="A79" s="14">
        <f>Master!B86</f>
        <v>0</v>
      </c>
      <c r="B79" s="17" t="str">
        <f t="shared" si="1"/>
        <v/>
      </c>
      <c r="C79" s="16" t="str">
        <f>IF(ISNA(VLOOKUP(MID($A79,1,1),Kanji_2_HanViet!$A:$C,2,FALSE)),"",VLOOKUP(MID($A79,1,1),Kanji_2_HanViet!$A:$C,2,FALSE))</f>
        <v/>
      </c>
      <c r="D79" s="16" t="str">
        <f>IF(ISNA(VLOOKUP(MID($A79,2,1),Kanji_2_HanViet!$A:$C,2,FALSE)),"",VLOOKUP(MID($A79,2,1),Kanji_2_HanViet!$A:$C,2,FALSE))</f>
        <v/>
      </c>
      <c r="E79" s="16" t="str">
        <f>IF(ISNA(VLOOKUP(MID($A79,3,1),Kanji_2_HanViet!$A:$C,2,FALSE)),"",VLOOKUP(MID($A79,3,1),Kanji_2_HanViet!$A:$C,2,FALSE))</f>
        <v/>
      </c>
      <c r="F79" s="16" t="str">
        <f>IF(ISNA(VLOOKUP(MID($A79,4,1),Kanji_2_HanViet!$A:$C,2,FALSE)),"",VLOOKUP(MID($A79,4,1),Kanji_2_HanViet!$A:$C,2,FALSE))</f>
        <v/>
      </c>
      <c r="G79" s="16" t="str">
        <f>IF(ISNA(VLOOKUP(MID($A79,5,1),Kanji_2_HanViet!$A:$C,2,FALSE)),"",VLOOKUP(MID($A79,5,1),Kanji_2_HanViet!$A:$C,2,FALSE))</f>
        <v/>
      </c>
      <c r="H79" s="16" t="str">
        <f>IF(ISNA(VLOOKUP(MID($A79,6,1),Kanji_2_HanViet!$A:$C,2,FALSE)),"",VLOOKUP(MID($A79,6,1),Kanji_2_HanViet!$A:$C,2,FALSE))</f>
        <v/>
      </c>
      <c r="I79" s="16" t="str">
        <f>IF(ISNA(VLOOKUP(MID($A79,7,1),Kanji_2_HanViet!$A:$C,2,FALSE)),"",VLOOKUP(MID($A79,7,1),Kanji_2_HanViet!$A:$C,2,FALSE))</f>
        <v/>
      </c>
      <c r="J79" s="16" t="str">
        <f>IF(ISNA(VLOOKUP(MID($A79,8,1),Kanji_2_HanViet!$A:$C,2,FALSE)),"",VLOOKUP(MID($A79,8,1),Kanji_2_HanViet!$A:$C,2,FALSE))</f>
        <v/>
      </c>
      <c r="K79" s="16" t="str">
        <f>IF(ISNA(VLOOKUP(MID($A79,9,1),Kanji_2_HanViet!$A:$C,2,FALSE)),"",VLOOKUP(MID($A79,9,1),Kanji_2_HanViet!$A:$C,2,FALSE))</f>
        <v/>
      </c>
    </row>
    <row r="80" spans="1:11">
      <c r="A80" s="14">
        <f>Master!B87</f>
        <v>0</v>
      </c>
      <c r="B80" s="17" t="str">
        <f t="shared" si="1"/>
        <v/>
      </c>
      <c r="C80" s="16" t="str">
        <f>IF(ISNA(VLOOKUP(MID($A80,1,1),Kanji_2_HanViet!$A:$C,2,FALSE)),"",VLOOKUP(MID($A80,1,1),Kanji_2_HanViet!$A:$C,2,FALSE))</f>
        <v/>
      </c>
      <c r="D80" s="16" t="str">
        <f>IF(ISNA(VLOOKUP(MID($A80,2,1),Kanji_2_HanViet!$A:$C,2,FALSE)),"",VLOOKUP(MID($A80,2,1),Kanji_2_HanViet!$A:$C,2,FALSE))</f>
        <v/>
      </c>
      <c r="E80" s="16" t="str">
        <f>IF(ISNA(VLOOKUP(MID($A80,3,1),Kanji_2_HanViet!$A:$C,2,FALSE)),"",VLOOKUP(MID($A80,3,1),Kanji_2_HanViet!$A:$C,2,FALSE))</f>
        <v/>
      </c>
      <c r="F80" s="16" t="str">
        <f>IF(ISNA(VLOOKUP(MID($A80,4,1),Kanji_2_HanViet!$A:$C,2,FALSE)),"",VLOOKUP(MID($A80,4,1),Kanji_2_HanViet!$A:$C,2,FALSE))</f>
        <v/>
      </c>
      <c r="G80" s="16" t="str">
        <f>IF(ISNA(VLOOKUP(MID($A80,5,1),Kanji_2_HanViet!$A:$C,2,FALSE)),"",VLOOKUP(MID($A80,5,1),Kanji_2_HanViet!$A:$C,2,FALSE))</f>
        <v/>
      </c>
      <c r="H80" s="16" t="str">
        <f>IF(ISNA(VLOOKUP(MID($A80,6,1),Kanji_2_HanViet!$A:$C,2,FALSE)),"",VLOOKUP(MID($A80,6,1),Kanji_2_HanViet!$A:$C,2,FALSE))</f>
        <v/>
      </c>
      <c r="I80" s="16" t="str">
        <f>IF(ISNA(VLOOKUP(MID($A80,7,1),Kanji_2_HanViet!$A:$C,2,FALSE)),"",VLOOKUP(MID($A80,7,1),Kanji_2_HanViet!$A:$C,2,FALSE))</f>
        <v/>
      </c>
      <c r="J80" s="16" t="str">
        <f>IF(ISNA(VLOOKUP(MID($A80,8,1),Kanji_2_HanViet!$A:$C,2,FALSE)),"",VLOOKUP(MID($A80,8,1),Kanji_2_HanViet!$A:$C,2,FALSE))</f>
        <v/>
      </c>
      <c r="K80" s="16" t="str">
        <f>IF(ISNA(VLOOKUP(MID($A80,9,1),Kanji_2_HanViet!$A:$C,2,FALSE)),"",VLOOKUP(MID($A80,9,1),Kanji_2_HanViet!$A:$C,2,FALSE))</f>
        <v/>
      </c>
    </row>
    <row r="81" spans="1:11">
      <c r="A81" s="14">
        <f>Master!B88</f>
        <v>0</v>
      </c>
      <c r="B81" s="17" t="str">
        <f t="shared" si="1"/>
        <v/>
      </c>
      <c r="C81" s="16" t="str">
        <f>IF(ISNA(VLOOKUP(MID($A81,1,1),Kanji_2_HanViet!$A:$C,2,FALSE)),"",VLOOKUP(MID($A81,1,1),Kanji_2_HanViet!$A:$C,2,FALSE))</f>
        <v/>
      </c>
      <c r="D81" s="16" t="str">
        <f>IF(ISNA(VLOOKUP(MID($A81,2,1),Kanji_2_HanViet!$A:$C,2,FALSE)),"",VLOOKUP(MID($A81,2,1),Kanji_2_HanViet!$A:$C,2,FALSE))</f>
        <v/>
      </c>
      <c r="E81" s="16" t="str">
        <f>IF(ISNA(VLOOKUP(MID($A81,3,1),Kanji_2_HanViet!$A:$C,2,FALSE)),"",VLOOKUP(MID($A81,3,1),Kanji_2_HanViet!$A:$C,2,FALSE))</f>
        <v/>
      </c>
      <c r="F81" s="16" t="str">
        <f>IF(ISNA(VLOOKUP(MID($A81,4,1),Kanji_2_HanViet!$A:$C,2,FALSE)),"",VLOOKUP(MID($A81,4,1),Kanji_2_HanViet!$A:$C,2,FALSE))</f>
        <v/>
      </c>
      <c r="G81" s="16" t="str">
        <f>IF(ISNA(VLOOKUP(MID($A81,5,1),Kanji_2_HanViet!$A:$C,2,FALSE)),"",VLOOKUP(MID($A81,5,1),Kanji_2_HanViet!$A:$C,2,FALSE))</f>
        <v/>
      </c>
      <c r="H81" s="16" t="str">
        <f>IF(ISNA(VLOOKUP(MID($A81,6,1),Kanji_2_HanViet!$A:$C,2,FALSE)),"",VLOOKUP(MID($A81,6,1),Kanji_2_HanViet!$A:$C,2,FALSE))</f>
        <v/>
      </c>
      <c r="I81" s="16" t="str">
        <f>IF(ISNA(VLOOKUP(MID($A81,7,1),Kanji_2_HanViet!$A:$C,2,FALSE)),"",VLOOKUP(MID($A81,7,1),Kanji_2_HanViet!$A:$C,2,FALSE))</f>
        <v/>
      </c>
      <c r="J81" s="16" t="str">
        <f>IF(ISNA(VLOOKUP(MID($A81,8,1),Kanji_2_HanViet!$A:$C,2,FALSE)),"",VLOOKUP(MID($A81,8,1),Kanji_2_HanViet!$A:$C,2,FALSE))</f>
        <v/>
      </c>
      <c r="K81" s="16" t="str">
        <f>IF(ISNA(VLOOKUP(MID($A81,9,1),Kanji_2_HanViet!$A:$C,2,FALSE)),"",VLOOKUP(MID($A81,9,1),Kanji_2_HanViet!$A:$C,2,FALSE))</f>
        <v/>
      </c>
    </row>
    <row r="82" spans="1:11">
      <c r="A82" s="14">
        <f>Master!B89</f>
        <v>0</v>
      </c>
      <c r="B82" s="17" t="str">
        <f t="shared" si="1"/>
        <v/>
      </c>
      <c r="C82" s="16" t="str">
        <f>IF(ISNA(VLOOKUP(MID($A82,1,1),Kanji_2_HanViet!$A:$C,2,FALSE)),"",VLOOKUP(MID($A82,1,1),Kanji_2_HanViet!$A:$C,2,FALSE))</f>
        <v/>
      </c>
      <c r="D82" s="16" t="str">
        <f>IF(ISNA(VLOOKUP(MID($A82,2,1),Kanji_2_HanViet!$A:$C,2,FALSE)),"",VLOOKUP(MID($A82,2,1),Kanji_2_HanViet!$A:$C,2,FALSE))</f>
        <v/>
      </c>
      <c r="E82" s="16" t="str">
        <f>IF(ISNA(VLOOKUP(MID($A82,3,1),Kanji_2_HanViet!$A:$C,2,FALSE)),"",VLOOKUP(MID($A82,3,1),Kanji_2_HanViet!$A:$C,2,FALSE))</f>
        <v/>
      </c>
      <c r="F82" s="16" t="str">
        <f>IF(ISNA(VLOOKUP(MID($A82,4,1),Kanji_2_HanViet!$A:$C,2,FALSE)),"",VLOOKUP(MID($A82,4,1),Kanji_2_HanViet!$A:$C,2,FALSE))</f>
        <v/>
      </c>
      <c r="G82" s="16" t="str">
        <f>IF(ISNA(VLOOKUP(MID($A82,5,1),Kanji_2_HanViet!$A:$C,2,FALSE)),"",VLOOKUP(MID($A82,5,1),Kanji_2_HanViet!$A:$C,2,FALSE))</f>
        <v/>
      </c>
      <c r="H82" s="16" t="str">
        <f>IF(ISNA(VLOOKUP(MID($A82,6,1),Kanji_2_HanViet!$A:$C,2,FALSE)),"",VLOOKUP(MID($A82,6,1),Kanji_2_HanViet!$A:$C,2,FALSE))</f>
        <v/>
      </c>
      <c r="I82" s="16" t="str">
        <f>IF(ISNA(VLOOKUP(MID($A82,7,1),Kanji_2_HanViet!$A:$C,2,FALSE)),"",VLOOKUP(MID($A82,7,1),Kanji_2_HanViet!$A:$C,2,FALSE))</f>
        <v/>
      </c>
      <c r="J82" s="16" t="str">
        <f>IF(ISNA(VLOOKUP(MID($A82,8,1),Kanji_2_HanViet!$A:$C,2,FALSE)),"",VLOOKUP(MID($A82,8,1),Kanji_2_HanViet!$A:$C,2,FALSE))</f>
        <v/>
      </c>
      <c r="K82" s="16" t="str">
        <f>IF(ISNA(VLOOKUP(MID($A82,9,1),Kanji_2_HanViet!$A:$C,2,FALSE)),"",VLOOKUP(MID($A82,9,1),Kanji_2_HanViet!$A:$C,2,FALSE))</f>
        <v/>
      </c>
    </row>
    <row r="83" spans="1:11">
      <c r="A83" s="14">
        <f>Master!B90</f>
        <v>0</v>
      </c>
      <c r="B83" s="17" t="str">
        <f t="shared" si="1"/>
        <v/>
      </c>
      <c r="C83" s="16" t="str">
        <f>IF(ISNA(VLOOKUP(MID($A83,1,1),Kanji_2_HanViet!$A:$C,2,FALSE)),"",VLOOKUP(MID($A83,1,1),Kanji_2_HanViet!$A:$C,2,FALSE))</f>
        <v/>
      </c>
      <c r="D83" s="16" t="str">
        <f>IF(ISNA(VLOOKUP(MID($A83,2,1),Kanji_2_HanViet!$A:$C,2,FALSE)),"",VLOOKUP(MID($A83,2,1),Kanji_2_HanViet!$A:$C,2,FALSE))</f>
        <v/>
      </c>
      <c r="E83" s="16" t="str">
        <f>IF(ISNA(VLOOKUP(MID($A83,3,1),Kanji_2_HanViet!$A:$C,2,FALSE)),"",VLOOKUP(MID($A83,3,1),Kanji_2_HanViet!$A:$C,2,FALSE))</f>
        <v/>
      </c>
      <c r="F83" s="16" t="str">
        <f>IF(ISNA(VLOOKUP(MID($A83,4,1),Kanji_2_HanViet!$A:$C,2,FALSE)),"",VLOOKUP(MID($A83,4,1),Kanji_2_HanViet!$A:$C,2,FALSE))</f>
        <v/>
      </c>
      <c r="G83" s="16" t="str">
        <f>IF(ISNA(VLOOKUP(MID($A83,5,1),Kanji_2_HanViet!$A:$C,2,FALSE)),"",VLOOKUP(MID($A83,5,1),Kanji_2_HanViet!$A:$C,2,FALSE))</f>
        <v/>
      </c>
      <c r="H83" s="16" t="str">
        <f>IF(ISNA(VLOOKUP(MID($A83,6,1),Kanji_2_HanViet!$A:$C,2,FALSE)),"",VLOOKUP(MID($A83,6,1),Kanji_2_HanViet!$A:$C,2,FALSE))</f>
        <v/>
      </c>
      <c r="I83" s="16" t="str">
        <f>IF(ISNA(VLOOKUP(MID($A83,7,1),Kanji_2_HanViet!$A:$C,2,FALSE)),"",VLOOKUP(MID($A83,7,1),Kanji_2_HanViet!$A:$C,2,FALSE))</f>
        <v/>
      </c>
      <c r="J83" s="16" t="str">
        <f>IF(ISNA(VLOOKUP(MID($A83,8,1),Kanji_2_HanViet!$A:$C,2,FALSE)),"",VLOOKUP(MID($A83,8,1),Kanji_2_HanViet!$A:$C,2,FALSE))</f>
        <v/>
      </c>
      <c r="K83" s="16" t="str">
        <f>IF(ISNA(VLOOKUP(MID($A83,9,1),Kanji_2_HanViet!$A:$C,2,FALSE)),"",VLOOKUP(MID($A83,9,1),Kanji_2_HanViet!$A:$C,2,FALSE))</f>
        <v/>
      </c>
    </row>
    <row r="84" spans="1:11">
      <c r="A84" s="14">
        <f>Master!B91</f>
        <v>0</v>
      </c>
      <c r="B84" s="17" t="str">
        <f t="shared" si="1"/>
        <v/>
      </c>
      <c r="C84" s="16" t="str">
        <f>IF(ISNA(VLOOKUP(MID($A84,1,1),Kanji_2_HanViet!$A:$C,2,FALSE)),"",VLOOKUP(MID($A84,1,1),Kanji_2_HanViet!$A:$C,2,FALSE))</f>
        <v/>
      </c>
      <c r="D84" s="16" t="str">
        <f>IF(ISNA(VLOOKUP(MID($A84,2,1),Kanji_2_HanViet!$A:$C,2,FALSE)),"",VLOOKUP(MID($A84,2,1),Kanji_2_HanViet!$A:$C,2,FALSE))</f>
        <v/>
      </c>
      <c r="E84" s="16" t="str">
        <f>IF(ISNA(VLOOKUP(MID($A84,3,1),Kanji_2_HanViet!$A:$C,2,FALSE)),"",VLOOKUP(MID($A84,3,1),Kanji_2_HanViet!$A:$C,2,FALSE))</f>
        <v/>
      </c>
      <c r="F84" s="16" t="str">
        <f>IF(ISNA(VLOOKUP(MID($A84,4,1),Kanji_2_HanViet!$A:$C,2,FALSE)),"",VLOOKUP(MID($A84,4,1),Kanji_2_HanViet!$A:$C,2,FALSE))</f>
        <v/>
      </c>
      <c r="G84" s="16" t="str">
        <f>IF(ISNA(VLOOKUP(MID($A84,5,1),Kanji_2_HanViet!$A:$C,2,FALSE)),"",VLOOKUP(MID($A84,5,1),Kanji_2_HanViet!$A:$C,2,FALSE))</f>
        <v/>
      </c>
      <c r="H84" s="16" t="str">
        <f>IF(ISNA(VLOOKUP(MID($A84,6,1),Kanji_2_HanViet!$A:$C,2,FALSE)),"",VLOOKUP(MID($A84,6,1),Kanji_2_HanViet!$A:$C,2,FALSE))</f>
        <v/>
      </c>
      <c r="I84" s="16" t="str">
        <f>IF(ISNA(VLOOKUP(MID($A84,7,1),Kanji_2_HanViet!$A:$C,2,FALSE)),"",VLOOKUP(MID($A84,7,1),Kanji_2_HanViet!$A:$C,2,FALSE))</f>
        <v/>
      </c>
      <c r="J84" s="16" t="str">
        <f>IF(ISNA(VLOOKUP(MID($A84,8,1),Kanji_2_HanViet!$A:$C,2,FALSE)),"",VLOOKUP(MID($A84,8,1),Kanji_2_HanViet!$A:$C,2,FALSE))</f>
        <v/>
      </c>
      <c r="K84" s="16" t="str">
        <f>IF(ISNA(VLOOKUP(MID($A84,9,1),Kanji_2_HanViet!$A:$C,2,FALSE)),"",VLOOKUP(MID($A84,9,1),Kanji_2_HanViet!$A:$C,2,FALSE))</f>
        <v/>
      </c>
    </row>
    <row r="85" spans="1:11">
      <c r="A85" s="14">
        <f>Master!B92</f>
        <v>0</v>
      </c>
      <c r="B85" s="17" t="str">
        <f t="shared" si="1"/>
        <v/>
      </c>
      <c r="C85" s="16" t="str">
        <f>IF(ISNA(VLOOKUP(MID($A85,1,1),Kanji_2_HanViet!$A:$C,2,FALSE)),"",VLOOKUP(MID($A85,1,1),Kanji_2_HanViet!$A:$C,2,FALSE))</f>
        <v/>
      </c>
      <c r="D85" s="16" t="str">
        <f>IF(ISNA(VLOOKUP(MID($A85,2,1),Kanji_2_HanViet!$A:$C,2,FALSE)),"",VLOOKUP(MID($A85,2,1),Kanji_2_HanViet!$A:$C,2,FALSE))</f>
        <v/>
      </c>
      <c r="E85" s="16" t="str">
        <f>IF(ISNA(VLOOKUP(MID($A85,3,1),Kanji_2_HanViet!$A:$C,2,FALSE)),"",VLOOKUP(MID($A85,3,1),Kanji_2_HanViet!$A:$C,2,FALSE))</f>
        <v/>
      </c>
      <c r="F85" s="16" t="str">
        <f>IF(ISNA(VLOOKUP(MID($A85,4,1),Kanji_2_HanViet!$A:$C,2,FALSE)),"",VLOOKUP(MID($A85,4,1),Kanji_2_HanViet!$A:$C,2,FALSE))</f>
        <v/>
      </c>
      <c r="G85" s="16" t="str">
        <f>IF(ISNA(VLOOKUP(MID($A85,5,1),Kanji_2_HanViet!$A:$C,2,FALSE)),"",VLOOKUP(MID($A85,5,1),Kanji_2_HanViet!$A:$C,2,FALSE))</f>
        <v/>
      </c>
      <c r="H85" s="16" t="str">
        <f>IF(ISNA(VLOOKUP(MID($A85,6,1),Kanji_2_HanViet!$A:$C,2,FALSE)),"",VLOOKUP(MID($A85,6,1),Kanji_2_HanViet!$A:$C,2,FALSE))</f>
        <v/>
      </c>
      <c r="I85" s="16" t="str">
        <f>IF(ISNA(VLOOKUP(MID($A85,7,1),Kanji_2_HanViet!$A:$C,2,FALSE)),"",VLOOKUP(MID($A85,7,1),Kanji_2_HanViet!$A:$C,2,FALSE))</f>
        <v/>
      </c>
      <c r="J85" s="16" t="str">
        <f>IF(ISNA(VLOOKUP(MID($A85,8,1),Kanji_2_HanViet!$A:$C,2,FALSE)),"",VLOOKUP(MID($A85,8,1),Kanji_2_HanViet!$A:$C,2,FALSE))</f>
        <v/>
      </c>
      <c r="K85" s="16" t="str">
        <f>IF(ISNA(VLOOKUP(MID($A85,9,1),Kanji_2_HanViet!$A:$C,2,FALSE)),"",VLOOKUP(MID($A85,9,1),Kanji_2_HanViet!$A:$C,2,FALSE))</f>
        <v/>
      </c>
    </row>
    <row r="86" spans="1:11">
      <c r="A86" s="14">
        <f>Master!B93</f>
        <v>0</v>
      </c>
      <c r="B86" s="17" t="str">
        <f t="shared" si="1"/>
        <v/>
      </c>
      <c r="C86" s="16" t="str">
        <f>IF(ISNA(VLOOKUP(MID($A86,1,1),Kanji_2_HanViet!$A:$C,2,FALSE)),"",VLOOKUP(MID($A86,1,1),Kanji_2_HanViet!$A:$C,2,FALSE))</f>
        <v/>
      </c>
      <c r="D86" s="16" t="str">
        <f>IF(ISNA(VLOOKUP(MID($A86,2,1),Kanji_2_HanViet!$A:$C,2,FALSE)),"",VLOOKUP(MID($A86,2,1),Kanji_2_HanViet!$A:$C,2,FALSE))</f>
        <v/>
      </c>
      <c r="E86" s="16" t="str">
        <f>IF(ISNA(VLOOKUP(MID($A86,3,1),Kanji_2_HanViet!$A:$C,2,FALSE)),"",VLOOKUP(MID($A86,3,1),Kanji_2_HanViet!$A:$C,2,FALSE))</f>
        <v/>
      </c>
      <c r="F86" s="16" t="str">
        <f>IF(ISNA(VLOOKUP(MID($A86,4,1),Kanji_2_HanViet!$A:$C,2,FALSE)),"",VLOOKUP(MID($A86,4,1),Kanji_2_HanViet!$A:$C,2,FALSE))</f>
        <v/>
      </c>
      <c r="G86" s="16" t="str">
        <f>IF(ISNA(VLOOKUP(MID($A86,5,1),Kanji_2_HanViet!$A:$C,2,FALSE)),"",VLOOKUP(MID($A86,5,1),Kanji_2_HanViet!$A:$C,2,FALSE))</f>
        <v/>
      </c>
      <c r="H86" s="16" t="str">
        <f>IF(ISNA(VLOOKUP(MID($A86,6,1),Kanji_2_HanViet!$A:$C,2,FALSE)),"",VLOOKUP(MID($A86,6,1),Kanji_2_HanViet!$A:$C,2,FALSE))</f>
        <v/>
      </c>
      <c r="I86" s="16" t="str">
        <f>IF(ISNA(VLOOKUP(MID($A86,7,1),Kanji_2_HanViet!$A:$C,2,FALSE)),"",VLOOKUP(MID($A86,7,1),Kanji_2_HanViet!$A:$C,2,FALSE))</f>
        <v/>
      </c>
      <c r="J86" s="16" t="str">
        <f>IF(ISNA(VLOOKUP(MID($A86,8,1),Kanji_2_HanViet!$A:$C,2,FALSE)),"",VLOOKUP(MID($A86,8,1),Kanji_2_HanViet!$A:$C,2,FALSE))</f>
        <v/>
      </c>
      <c r="K86" s="16" t="str">
        <f>IF(ISNA(VLOOKUP(MID($A86,9,1),Kanji_2_HanViet!$A:$C,2,FALSE)),"",VLOOKUP(MID($A86,9,1),Kanji_2_HanViet!$A:$C,2,FALSE))</f>
        <v/>
      </c>
    </row>
    <row r="87" spans="1:11">
      <c r="A87" s="14">
        <f>Master!B94</f>
        <v>0</v>
      </c>
      <c r="B87" s="17" t="str">
        <f t="shared" si="1"/>
        <v/>
      </c>
      <c r="C87" s="16" t="str">
        <f>IF(ISNA(VLOOKUP(MID($A87,1,1),Kanji_2_HanViet!$A:$C,2,FALSE)),"",VLOOKUP(MID($A87,1,1),Kanji_2_HanViet!$A:$C,2,FALSE))</f>
        <v/>
      </c>
      <c r="D87" s="16" t="str">
        <f>IF(ISNA(VLOOKUP(MID($A87,2,1),Kanji_2_HanViet!$A:$C,2,FALSE)),"",VLOOKUP(MID($A87,2,1),Kanji_2_HanViet!$A:$C,2,FALSE))</f>
        <v/>
      </c>
      <c r="E87" s="16" t="str">
        <f>IF(ISNA(VLOOKUP(MID($A87,3,1),Kanji_2_HanViet!$A:$C,2,FALSE)),"",VLOOKUP(MID($A87,3,1),Kanji_2_HanViet!$A:$C,2,FALSE))</f>
        <v/>
      </c>
      <c r="F87" s="16" t="str">
        <f>IF(ISNA(VLOOKUP(MID($A87,4,1),Kanji_2_HanViet!$A:$C,2,FALSE)),"",VLOOKUP(MID($A87,4,1),Kanji_2_HanViet!$A:$C,2,FALSE))</f>
        <v/>
      </c>
      <c r="G87" s="16" t="str">
        <f>IF(ISNA(VLOOKUP(MID($A87,5,1),Kanji_2_HanViet!$A:$C,2,FALSE)),"",VLOOKUP(MID($A87,5,1),Kanji_2_HanViet!$A:$C,2,FALSE))</f>
        <v/>
      </c>
      <c r="H87" s="16" t="str">
        <f>IF(ISNA(VLOOKUP(MID($A87,6,1),Kanji_2_HanViet!$A:$C,2,FALSE)),"",VLOOKUP(MID($A87,6,1),Kanji_2_HanViet!$A:$C,2,FALSE))</f>
        <v/>
      </c>
      <c r="I87" s="16" t="str">
        <f>IF(ISNA(VLOOKUP(MID($A87,7,1),Kanji_2_HanViet!$A:$C,2,FALSE)),"",VLOOKUP(MID($A87,7,1),Kanji_2_HanViet!$A:$C,2,FALSE))</f>
        <v/>
      </c>
      <c r="J87" s="16" t="str">
        <f>IF(ISNA(VLOOKUP(MID($A87,8,1),Kanji_2_HanViet!$A:$C,2,FALSE)),"",VLOOKUP(MID($A87,8,1),Kanji_2_HanViet!$A:$C,2,FALSE))</f>
        <v/>
      </c>
      <c r="K87" s="16" t="str">
        <f>IF(ISNA(VLOOKUP(MID($A87,9,1),Kanji_2_HanViet!$A:$C,2,FALSE)),"",VLOOKUP(MID($A87,9,1),Kanji_2_HanViet!$A:$C,2,FALSE))</f>
        <v/>
      </c>
    </row>
    <row r="88" spans="1:11">
      <c r="A88" s="14">
        <f>Master!B95</f>
        <v>0</v>
      </c>
      <c r="B88" s="17" t="str">
        <f t="shared" si="1"/>
        <v/>
      </c>
      <c r="C88" s="16" t="str">
        <f>IF(ISNA(VLOOKUP(MID($A88,1,1),Kanji_2_HanViet!$A:$C,2,FALSE)),"",VLOOKUP(MID($A88,1,1),Kanji_2_HanViet!$A:$C,2,FALSE))</f>
        <v/>
      </c>
      <c r="D88" s="16" t="str">
        <f>IF(ISNA(VLOOKUP(MID($A88,2,1),Kanji_2_HanViet!$A:$C,2,FALSE)),"",VLOOKUP(MID($A88,2,1),Kanji_2_HanViet!$A:$C,2,FALSE))</f>
        <v/>
      </c>
      <c r="E88" s="16" t="str">
        <f>IF(ISNA(VLOOKUP(MID($A88,3,1),Kanji_2_HanViet!$A:$C,2,FALSE)),"",VLOOKUP(MID($A88,3,1),Kanji_2_HanViet!$A:$C,2,FALSE))</f>
        <v/>
      </c>
      <c r="F88" s="16" t="str">
        <f>IF(ISNA(VLOOKUP(MID($A88,4,1),Kanji_2_HanViet!$A:$C,2,FALSE)),"",VLOOKUP(MID($A88,4,1),Kanji_2_HanViet!$A:$C,2,FALSE))</f>
        <v/>
      </c>
      <c r="G88" s="16" t="str">
        <f>IF(ISNA(VLOOKUP(MID($A88,5,1),Kanji_2_HanViet!$A:$C,2,FALSE)),"",VLOOKUP(MID($A88,5,1),Kanji_2_HanViet!$A:$C,2,FALSE))</f>
        <v/>
      </c>
      <c r="H88" s="16" t="str">
        <f>IF(ISNA(VLOOKUP(MID($A88,6,1),Kanji_2_HanViet!$A:$C,2,FALSE)),"",VLOOKUP(MID($A88,6,1),Kanji_2_HanViet!$A:$C,2,FALSE))</f>
        <v/>
      </c>
      <c r="I88" s="16" t="str">
        <f>IF(ISNA(VLOOKUP(MID($A88,7,1),Kanji_2_HanViet!$A:$C,2,FALSE)),"",VLOOKUP(MID($A88,7,1),Kanji_2_HanViet!$A:$C,2,FALSE))</f>
        <v/>
      </c>
      <c r="J88" s="16" t="str">
        <f>IF(ISNA(VLOOKUP(MID($A88,8,1),Kanji_2_HanViet!$A:$C,2,FALSE)),"",VLOOKUP(MID($A88,8,1),Kanji_2_HanViet!$A:$C,2,FALSE))</f>
        <v/>
      </c>
      <c r="K88" s="16" t="str">
        <f>IF(ISNA(VLOOKUP(MID($A88,9,1),Kanji_2_HanViet!$A:$C,2,FALSE)),"",VLOOKUP(MID($A88,9,1),Kanji_2_HanViet!$A:$C,2,FALSE))</f>
        <v/>
      </c>
    </row>
    <row r="89" spans="1:11">
      <c r="A89" s="14">
        <f>Master!B96</f>
        <v>0</v>
      </c>
      <c r="B89" s="17" t="str">
        <f t="shared" si="1"/>
        <v/>
      </c>
      <c r="C89" s="16" t="str">
        <f>IF(ISNA(VLOOKUP(MID($A89,1,1),Kanji_2_HanViet!$A:$C,2,FALSE)),"",VLOOKUP(MID($A89,1,1),Kanji_2_HanViet!$A:$C,2,FALSE))</f>
        <v/>
      </c>
      <c r="D89" s="16" t="str">
        <f>IF(ISNA(VLOOKUP(MID($A89,2,1),Kanji_2_HanViet!$A:$C,2,FALSE)),"",VLOOKUP(MID($A89,2,1),Kanji_2_HanViet!$A:$C,2,FALSE))</f>
        <v/>
      </c>
      <c r="E89" s="16" t="str">
        <f>IF(ISNA(VLOOKUP(MID($A89,3,1),Kanji_2_HanViet!$A:$C,2,FALSE)),"",VLOOKUP(MID($A89,3,1),Kanji_2_HanViet!$A:$C,2,FALSE))</f>
        <v/>
      </c>
      <c r="F89" s="16" t="str">
        <f>IF(ISNA(VLOOKUP(MID($A89,4,1),Kanji_2_HanViet!$A:$C,2,FALSE)),"",VLOOKUP(MID($A89,4,1),Kanji_2_HanViet!$A:$C,2,FALSE))</f>
        <v/>
      </c>
      <c r="G89" s="16" t="str">
        <f>IF(ISNA(VLOOKUP(MID($A89,5,1),Kanji_2_HanViet!$A:$C,2,FALSE)),"",VLOOKUP(MID($A89,5,1),Kanji_2_HanViet!$A:$C,2,FALSE))</f>
        <v/>
      </c>
      <c r="H89" s="16" t="str">
        <f>IF(ISNA(VLOOKUP(MID($A89,6,1),Kanji_2_HanViet!$A:$C,2,FALSE)),"",VLOOKUP(MID($A89,6,1),Kanji_2_HanViet!$A:$C,2,FALSE))</f>
        <v/>
      </c>
      <c r="I89" s="16" t="str">
        <f>IF(ISNA(VLOOKUP(MID($A89,7,1),Kanji_2_HanViet!$A:$C,2,FALSE)),"",VLOOKUP(MID($A89,7,1),Kanji_2_HanViet!$A:$C,2,FALSE))</f>
        <v/>
      </c>
      <c r="J89" s="16" t="str">
        <f>IF(ISNA(VLOOKUP(MID($A89,8,1),Kanji_2_HanViet!$A:$C,2,FALSE)),"",VLOOKUP(MID($A89,8,1),Kanji_2_HanViet!$A:$C,2,FALSE))</f>
        <v/>
      </c>
      <c r="K89" s="16" t="str">
        <f>IF(ISNA(VLOOKUP(MID($A89,9,1),Kanji_2_HanViet!$A:$C,2,FALSE)),"",VLOOKUP(MID($A89,9,1),Kanji_2_HanViet!$A:$C,2,FALSE))</f>
        <v/>
      </c>
    </row>
    <row r="90" spans="1:11">
      <c r="A90" s="14">
        <f>Master!B97</f>
        <v>0</v>
      </c>
      <c r="B90" s="17" t="str">
        <f t="shared" si="1"/>
        <v/>
      </c>
      <c r="C90" s="16" t="str">
        <f>IF(ISNA(VLOOKUP(MID($A90,1,1),Kanji_2_HanViet!$A:$C,2,FALSE)),"",VLOOKUP(MID($A90,1,1),Kanji_2_HanViet!$A:$C,2,FALSE))</f>
        <v/>
      </c>
      <c r="D90" s="16" t="str">
        <f>IF(ISNA(VLOOKUP(MID($A90,2,1),Kanji_2_HanViet!$A:$C,2,FALSE)),"",VLOOKUP(MID($A90,2,1),Kanji_2_HanViet!$A:$C,2,FALSE))</f>
        <v/>
      </c>
      <c r="E90" s="16" t="str">
        <f>IF(ISNA(VLOOKUP(MID($A90,3,1),Kanji_2_HanViet!$A:$C,2,FALSE)),"",VLOOKUP(MID($A90,3,1),Kanji_2_HanViet!$A:$C,2,FALSE))</f>
        <v/>
      </c>
      <c r="F90" s="16" t="str">
        <f>IF(ISNA(VLOOKUP(MID($A90,4,1),Kanji_2_HanViet!$A:$C,2,FALSE)),"",VLOOKUP(MID($A90,4,1),Kanji_2_HanViet!$A:$C,2,FALSE))</f>
        <v/>
      </c>
      <c r="G90" s="16" t="str">
        <f>IF(ISNA(VLOOKUP(MID($A90,5,1),Kanji_2_HanViet!$A:$C,2,FALSE)),"",VLOOKUP(MID($A90,5,1),Kanji_2_HanViet!$A:$C,2,FALSE))</f>
        <v/>
      </c>
      <c r="H90" s="16" t="str">
        <f>IF(ISNA(VLOOKUP(MID($A90,6,1),Kanji_2_HanViet!$A:$C,2,FALSE)),"",VLOOKUP(MID($A90,6,1),Kanji_2_HanViet!$A:$C,2,FALSE))</f>
        <v/>
      </c>
      <c r="I90" s="16" t="str">
        <f>IF(ISNA(VLOOKUP(MID($A90,7,1),Kanji_2_HanViet!$A:$C,2,FALSE)),"",VLOOKUP(MID($A90,7,1),Kanji_2_HanViet!$A:$C,2,FALSE))</f>
        <v/>
      </c>
      <c r="J90" s="16" t="str">
        <f>IF(ISNA(VLOOKUP(MID($A90,8,1),Kanji_2_HanViet!$A:$C,2,FALSE)),"",VLOOKUP(MID($A90,8,1),Kanji_2_HanViet!$A:$C,2,FALSE))</f>
        <v/>
      </c>
      <c r="K90" s="16" t="str">
        <f>IF(ISNA(VLOOKUP(MID($A90,9,1),Kanji_2_HanViet!$A:$C,2,FALSE)),"",VLOOKUP(MID($A90,9,1),Kanji_2_HanViet!$A:$C,2,FALSE))</f>
        <v/>
      </c>
    </row>
    <row r="91" spans="1:11">
      <c r="A91" s="14">
        <f>Master!B98</f>
        <v>0</v>
      </c>
      <c r="B91" s="17" t="str">
        <f t="shared" si="1"/>
        <v/>
      </c>
      <c r="C91" s="16" t="str">
        <f>IF(ISNA(VLOOKUP(MID($A91,1,1),Kanji_2_HanViet!$A:$C,2,FALSE)),"",VLOOKUP(MID($A91,1,1),Kanji_2_HanViet!$A:$C,2,FALSE))</f>
        <v/>
      </c>
      <c r="D91" s="16" t="str">
        <f>IF(ISNA(VLOOKUP(MID($A91,2,1),Kanji_2_HanViet!$A:$C,2,FALSE)),"",VLOOKUP(MID($A91,2,1),Kanji_2_HanViet!$A:$C,2,FALSE))</f>
        <v/>
      </c>
      <c r="E91" s="16" t="str">
        <f>IF(ISNA(VLOOKUP(MID($A91,3,1),Kanji_2_HanViet!$A:$C,2,FALSE)),"",VLOOKUP(MID($A91,3,1),Kanji_2_HanViet!$A:$C,2,FALSE))</f>
        <v/>
      </c>
      <c r="F91" s="16" t="str">
        <f>IF(ISNA(VLOOKUP(MID($A91,4,1),Kanji_2_HanViet!$A:$C,2,FALSE)),"",VLOOKUP(MID($A91,4,1),Kanji_2_HanViet!$A:$C,2,FALSE))</f>
        <v/>
      </c>
      <c r="G91" s="16" t="str">
        <f>IF(ISNA(VLOOKUP(MID($A91,5,1),Kanji_2_HanViet!$A:$C,2,FALSE)),"",VLOOKUP(MID($A91,5,1),Kanji_2_HanViet!$A:$C,2,FALSE))</f>
        <v/>
      </c>
      <c r="H91" s="16" t="str">
        <f>IF(ISNA(VLOOKUP(MID($A91,6,1),Kanji_2_HanViet!$A:$C,2,FALSE)),"",VLOOKUP(MID($A91,6,1),Kanji_2_HanViet!$A:$C,2,FALSE))</f>
        <v/>
      </c>
      <c r="I91" s="16" t="str">
        <f>IF(ISNA(VLOOKUP(MID($A91,7,1),Kanji_2_HanViet!$A:$C,2,FALSE)),"",VLOOKUP(MID($A91,7,1),Kanji_2_HanViet!$A:$C,2,FALSE))</f>
        <v/>
      </c>
      <c r="J91" s="16" t="str">
        <f>IF(ISNA(VLOOKUP(MID($A91,8,1),Kanji_2_HanViet!$A:$C,2,FALSE)),"",VLOOKUP(MID($A91,8,1),Kanji_2_HanViet!$A:$C,2,FALSE))</f>
        <v/>
      </c>
      <c r="K91" s="16" t="str">
        <f>IF(ISNA(VLOOKUP(MID($A91,9,1),Kanji_2_HanViet!$A:$C,2,FALSE)),"",VLOOKUP(MID($A91,9,1),Kanji_2_HanViet!$A:$C,2,FALSE))</f>
        <v/>
      </c>
    </row>
    <row r="92" spans="1:11">
      <c r="A92" s="14">
        <f>Master!B99</f>
        <v>0</v>
      </c>
      <c r="B92" s="17" t="str">
        <f t="shared" si="1"/>
        <v/>
      </c>
      <c r="C92" s="16" t="str">
        <f>IF(ISNA(VLOOKUP(MID($A92,1,1),Kanji_2_HanViet!$A:$C,2,FALSE)),"",VLOOKUP(MID($A92,1,1),Kanji_2_HanViet!$A:$C,2,FALSE))</f>
        <v/>
      </c>
      <c r="D92" s="16" t="str">
        <f>IF(ISNA(VLOOKUP(MID($A92,2,1),Kanji_2_HanViet!$A:$C,2,FALSE)),"",VLOOKUP(MID($A92,2,1),Kanji_2_HanViet!$A:$C,2,FALSE))</f>
        <v/>
      </c>
      <c r="E92" s="16" t="str">
        <f>IF(ISNA(VLOOKUP(MID($A92,3,1),Kanji_2_HanViet!$A:$C,2,FALSE)),"",VLOOKUP(MID($A92,3,1),Kanji_2_HanViet!$A:$C,2,FALSE))</f>
        <v/>
      </c>
      <c r="F92" s="16" t="str">
        <f>IF(ISNA(VLOOKUP(MID($A92,4,1),Kanji_2_HanViet!$A:$C,2,FALSE)),"",VLOOKUP(MID($A92,4,1),Kanji_2_HanViet!$A:$C,2,FALSE))</f>
        <v/>
      </c>
      <c r="G92" s="16" t="str">
        <f>IF(ISNA(VLOOKUP(MID($A92,5,1),Kanji_2_HanViet!$A:$C,2,FALSE)),"",VLOOKUP(MID($A92,5,1),Kanji_2_HanViet!$A:$C,2,FALSE))</f>
        <v/>
      </c>
      <c r="H92" s="16" t="str">
        <f>IF(ISNA(VLOOKUP(MID($A92,6,1),Kanji_2_HanViet!$A:$C,2,FALSE)),"",VLOOKUP(MID($A92,6,1),Kanji_2_HanViet!$A:$C,2,FALSE))</f>
        <v/>
      </c>
      <c r="I92" s="16" t="str">
        <f>IF(ISNA(VLOOKUP(MID($A92,7,1),Kanji_2_HanViet!$A:$C,2,FALSE)),"",VLOOKUP(MID($A92,7,1),Kanji_2_HanViet!$A:$C,2,FALSE))</f>
        <v/>
      </c>
      <c r="J92" s="16" t="str">
        <f>IF(ISNA(VLOOKUP(MID($A92,8,1),Kanji_2_HanViet!$A:$C,2,FALSE)),"",VLOOKUP(MID($A92,8,1),Kanji_2_HanViet!$A:$C,2,FALSE))</f>
        <v/>
      </c>
      <c r="K92" s="16" t="str">
        <f>IF(ISNA(VLOOKUP(MID($A92,9,1),Kanji_2_HanViet!$A:$C,2,FALSE)),"",VLOOKUP(MID($A92,9,1),Kanji_2_HanViet!$A:$C,2,FALSE))</f>
        <v/>
      </c>
    </row>
    <row r="93" spans="1:11">
      <c r="A93" s="14">
        <f>Master!B100</f>
        <v>0</v>
      </c>
      <c r="B93" s="17" t="str">
        <f t="shared" si="1"/>
        <v/>
      </c>
      <c r="C93" s="16" t="str">
        <f>IF(ISNA(VLOOKUP(MID($A93,1,1),Kanji_2_HanViet!$A:$C,2,FALSE)),"",VLOOKUP(MID($A93,1,1),Kanji_2_HanViet!$A:$C,2,FALSE))</f>
        <v/>
      </c>
      <c r="D93" s="16" t="str">
        <f>IF(ISNA(VLOOKUP(MID($A93,2,1),Kanji_2_HanViet!$A:$C,2,FALSE)),"",VLOOKUP(MID($A93,2,1),Kanji_2_HanViet!$A:$C,2,FALSE))</f>
        <v/>
      </c>
      <c r="E93" s="16" t="str">
        <f>IF(ISNA(VLOOKUP(MID($A93,3,1),Kanji_2_HanViet!$A:$C,2,FALSE)),"",VLOOKUP(MID($A93,3,1),Kanji_2_HanViet!$A:$C,2,FALSE))</f>
        <v/>
      </c>
      <c r="F93" s="16" t="str">
        <f>IF(ISNA(VLOOKUP(MID($A93,4,1),Kanji_2_HanViet!$A:$C,2,FALSE)),"",VLOOKUP(MID($A93,4,1),Kanji_2_HanViet!$A:$C,2,FALSE))</f>
        <v/>
      </c>
      <c r="G93" s="16" t="str">
        <f>IF(ISNA(VLOOKUP(MID($A93,5,1),Kanji_2_HanViet!$A:$C,2,FALSE)),"",VLOOKUP(MID($A93,5,1),Kanji_2_HanViet!$A:$C,2,FALSE))</f>
        <v/>
      </c>
      <c r="H93" s="16" t="str">
        <f>IF(ISNA(VLOOKUP(MID($A93,6,1),Kanji_2_HanViet!$A:$C,2,FALSE)),"",VLOOKUP(MID($A93,6,1),Kanji_2_HanViet!$A:$C,2,FALSE))</f>
        <v/>
      </c>
      <c r="I93" s="16" t="str">
        <f>IF(ISNA(VLOOKUP(MID($A93,7,1),Kanji_2_HanViet!$A:$C,2,FALSE)),"",VLOOKUP(MID($A93,7,1),Kanji_2_HanViet!$A:$C,2,FALSE))</f>
        <v/>
      </c>
      <c r="J93" s="16" t="str">
        <f>IF(ISNA(VLOOKUP(MID($A93,8,1),Kanji_2_HanViet!$A:$C,2,FALSE)),"",VLOOKUP(MID($A93,8,1),Kanji_2_HanViet!$A:$C,2,FALSE))</f>
        <v/>
      </c>
      <c r="K93" s="16" t="str">
        <f>IF(ISNA(VLOOKUP(MID($A93,9,1),Kanji_2_HanViet!$A:$C,2,FALSE)),"",VLOOKUP(MID($A93,9,1),Kanji_2_HanViet!$A:$C,2,FALSE))</f>
        <v/>
      </c>
    </row>
    <row r="94" spans="1:11">
      <c r="A94" s="14">
        <f>Master!B101</f>
        <v>0</v>
      </c>
      <c r="B94" s="17" t="str">
        <f t="shared" si="1"/>
        <v/>
      </c>
      <c r="C94" s="16" t="str">
        <f>IF(ISNA(VLOOKUP(MID($A94,1,1),Kanji_2_HanViet!$A:$C,2,FALSE)),"",VLOOKUP(MID($A94,1,1),Kanji_2_HanViet!$A:$C,2,FALSE))</f>
        <v/>
      </c>
      <c r="D94" s="16" t="str">
        <f>IF(ISNA(VLOOKUP(MID($A94,2,1),Kanji_2_HanViet!$A:$C,2,FALSE)),"",VLOOKUP(MID($A94,2,1),Kanji_2_HanViet!$A:$C,2,FALSE))</f>
        <v/>
      </c>
      <c r="E94" s="16" t="str">
        <f>IF(ISNA(VLOOKUP(MID($A94,3,1),Kanji_2_HanViet!$A:$C,2,FALSE)),"",VLOOKUP(MID($A94,3,1),Kanji_2_HanViet!$A:$C,2,FALSE))</f>
        <v/>
      </c>
      <c r="F94" s="16" t="str">
        <f>IF(ISNA(VLOOKUP(MID($A94,4,1),Kanji_2_HanViet!$A:$C,2,FALSE)),"",VLOOKUP(MID($A94,4,1),Kanji_2_HanViet!$A:$C,2,FALSE))</f>
        <v/>
      </c>
      <c r="G94" s="16" t="str">
        <f>IF(ISNA(VLOOKUP(MID($A94,5,1),Kanji_2_HanViet!$A:$C,2,FALSE)),"",VLOOKUP(MID($A94,5,1),Kanji_2_HanViet!$A:$C,2,FALSE))</f>
        <v/>
      </c>
      <c r="H94" s="16" t="str">
        <f>IF(ISNA(VLOOKUP(MID($A94,6,1),Kanji_2_HanViet!$A:$C,2,FALSE)),"",VLOOKUP(MID($A94,6,1),Kanji_2_HanViet!$A:$C,2,FALSE))</f>
        <v/>
      </c>
      <c r="I94" s="16" t="str">
        <f>IF(ISNA(VLOOKUP(MID($A94,7,1),Kanji_2_HanViet!$A:$C,2,FALSE)),"",VLOOKUP(MID($A94,7,1),Kanji_2_HanViet!$A:$C,2,FALSE))</f>
        <v/>
      </c>
      <c r="J94" s="16" t="str">
        <f>IF(ISNA(VLOOKUP(MID($A94,8,1),Kanji_2_HanViet!$A:$C,2,FALSE)),"",VLOOKUP(MID($A94,8,1),Kanji_2_HanViet!$A:$C,2,FALSE))</f>
        <v/>
      </c>
      <c r="K94" s="16" t="str">
        <f>IF(ISNA(VLOOKUP(MID($A94,9,1),Kanji_2_HanViet!$A:$C,2,FALSE)),"",VLOOKUP(MID($A94,9,1),Kanji_2_HanViet!$A:$C,2,FALSE))</f>
        <v/>
      </c>
    </row>
    <row r="95" spans="1:11">
      <c r="A95" s="14">
        <f>Master!B102</f>
        <v>0</v>
      </c>
      <c r="B95" s="17" t="str">
        <f t="shared" si="1"/>
        <v/>
      </c>
      <c r="C95" s="16" t="str">
        <f>IF(ISNA(VLOOKUP(MID($A95,1,1),Kanji_2_HanViet!$A:$C,2,FALSE)),"",VLOOKUP(MID($A95,1,1),Kanji_2_HanViet!$A:$C,2,FALSE))</f>
        <v/>
      </c>
      <c r="D95" s="16" t="str">
        <f>IF(ISNA(VLOOKUP(MID($A95,2,1),Kanji_2_HanViet!$A:$C,2,FALSE)),"",VLOOKUP(MID($A95,2,1),Kanji_2_HanViet!$A:$C,2,FALSE))</f>
        <v/>
      </c>
      <c r="E95" s="16" t="str">
        <f>IF(ISNA(VLOOKUP(MID($A95,3,1),Kanji_2_HanViet!$A:$C,2,FALSE)),"",VLOOKUP(MID($A95,3,1),Kanji_2_HanViet!$A:$C,2,FALSE))</f>
        <v/>
      </c>
      <c r="F95" s="16" t="str">
        <f>IF(ISNA(VLOOKUP(MID($A95,4,1),Kanji_2_HanViet!$A:$C,2,FALSE)),"",VLOOKUP(MID($A95,4,1),Kanji_2_HanViet!$A:$C,2,FALSE))</f>
        <v/>
      </c>
      <c r="G95" s="16" t="str">
        <f>IF(ISNA(VLOOKUP(MID($A95,5,1),Kanji_2_HanViet!$A:$C,2,FALSE)),"",VLOOKUP(MID($A95,5,1),Kanji_2_HanViet!$A:$C,2,FALSE))</f>
        <v/>
      </c>
      <c r="H95" s="16" t="str">
        <f>IF(ISNA(VLOOKUP(MID($A95,6,1),Kanji_2_HanViet!$A:$C,2,FALSE)),"",VLOOKUP(MID($A95,6,1),Kanji_2_HanViet!$A:$C,2,FALSE))</f>
        <v/>
      </c>
      <c r="I95" s="16" t="str">
        <f>IF(ISNA(VLOOKUP(MID($A95,7,1),Kanji_2_HanViet!$A:$C,2,FALSE)),"",VLOOKUP(MID($A95,7,1),Kanji_2_HanViet!$A:$C,2,FALSE))</f>
        <v/>
      </c>
      <c r="J95" s="16" t="str">
        <f>IF(ISNA(VLOOKUP(MID($A95,8,1),Kanji_2_HanViet!$A:$C,2,FALSE)),"",VLOOKUP(MID($A95,8,1),Kanji_2_HanViet!$A:$C,2,FALSE))</f>
        <v/>
      </c>
      <c r="K95" s="16" t="str">
        <f>IF(ISNA(VLOOKUP(MID($A95,9,1),Kanji_2_HanViet!$A:$C,2,FALSE)),"",VLOOKUP(MID($A95,9,1),Kanji_2_HanViet!$A:$C,2,FALSE))</f>
        <v/>
      </c>
    </row>
    <row r="96" spans="1:11">
      <c r="A96" s="14">
        <f>Master!B103</f>
        <v>0</v>
      </c>
      <c r="B96" s="17" t="str">
        <f t="shared" si="1"/>
        <v/>
      </c>
      <c r="C96" s="16" t="str">
        <f>IF(ISNA(VLOOKUP(MID($A96,1,1),Kanji_2_HanViet!$A:$C,2,FALSE)),"",VLOOKUP(MID($A96,1,1),Kanji_2_HanViet!$A:$C,2,FALSE))</f>
        <v/>
      </c>
      <c r="D96" s="16" t="str">
        <f>IF(ISNA(VLOOKUP(MID($A96,2,1),Kanji_2_HanViet!$A:$C,2,FALSE)),"",VLOOKUP(MID($A96,2,1),Kanji_2_HanViet!$A:$C,2,FALSE))</f>
        <v/>
      </c>
      <c r="E96" s="16" t="str">
        <f>IF(ISNA(VLOOKUP(MID($A96,3,1),Kanji_2_HanViet!$A:$C,2,FALSE)),"",VLOOKUP(MID($A96,3,1),Kanji_2_HanViet!$A:$C,2,FALSE))</f>
        <v/>
      </c>
      <c r="F96" s="16" t="str">
        <f>IF(ISNA(VLOOKUP(MID($A96,4,1),Kanji_2_HanViet!$A:$C,2,FALSE)),"",VLOOKUP(MID($A96,4,1),Kanji_2_HanViet!$A:$C,2,FALSE))</f>
        <v/>
      </c>
      <c r="G96" s="16" t="str">
        <f>IF(ISNA(VLOOKUP(MID($A96,5,1),Kanji_2_HanViet!$A:$C,2,FALSE)),"",VLOOKUP(MID($A96,5,1),Kanji_2_HanViet!$A:$C,2,FALSE))</f>
        <v/>
      </c>
      <c r="H96" s="16" t="str">
        <f>IF(ISNA(VLOOKUP(MID($A96,6,1),Kanji_2_HanViet!$A:$C,2,FALSE)),"",VLOOKUP(MID($A96,6,1),Kanji_2_HanViet!$A:$C,2,FALSE))</f>
        <v/>
      </c>
      <c r="I96" s="16" t="str">
        <f>IF(ISNA(VLOOKUP(MID($A96,7,1),Kanji_2_HanViet!$A:$C,2,FALSE)),"",VLOOKUP(MID($A96,7,1),Kanji_2_HanViet!$A:$C,2,FALSE))</f>
        <v/>
      </c>
      <c r="J96" s="16" t="str">
        <f>IF(ISNA(VLOOKUP(MID($A96,8,1),Kanji_2_HanViet!$A:$C,2,FALSE)),"",VLOOKUP(MID($A96,8,1),Kanji_2_HanViet!$A:$C,2,FALSE))</f>
        <v/>
      </c>
      <c r="K96" s="16" t="str">
        <f>IF(ISNA(VLOOKUP(MID($A96,9,1),Kanji_2_HanViet!$A:$C,2,FALSE)),"",VLOOKUP(MID($A96,9,1),Kanji_2_HanViet!$A:$C,2,FALSE))</f>
        <v/>
      </c>
    </row>
    <row r="97" spans="1:11">
      <c r="A97" s="14">
        <f>Master!B104</f>
        <v>0</v>
      </c>
      <c r="B97" s="17" t="str">
        <f t="shared" si="1"/>
        <v/>
      </c>
      <c r="C97" s="16" t="str">
        <f>IF(ISNA(VLOOKUP(MID($A97,1,1),Kanji_2_HanViet!$A:$C,2,FALSE)),"",VLOOKUP(MID($A97,1,1),Kanji_2_HanViet!$A:$C,2,FALSE))</f>
        <v/>
      </c>
      <c r="D97" s="16" t="str">
        <f>IF(ISNA(VLOOKUP(MID($A97,2,1),Kanji_2_HanViet!$A:$C,2,FALSE)),"",VLOOKUP(MID($A97,2,1),Kanji_2_HanViet!$A:$C,2,FALSE))</f>
        <v/>
      </c>
      <c r="E97" s="16" t="str">
        <f>IF(ISNA(VLOOKUP(MID($A97,3,1),Kanji_2_HanViet!$A:$C,2,FALSE)),"",VLOOKUP(MID($A97,3,1),Kanji_2_HanViet!$A:$C,2,FALSE))</f>
        <v/>
      </c>
      <c r="F97" s="16" t="str">
        <f>IF(ISNA(VLOOKUP(MID($A97,4,1),Kanji_2_HanViet!$A:$C,2,FALSE)),"",VLOOKUP(MID($A97,4,1),Kanji_2_HanViet!$A:$C,2,FALSE))</f>
        <v/>
      </c>
      <c r="G97" s="16" t="str">
        <f>IF(ISNA(VLOOKUP(MID($A97,5,1),Kanji_2_HanViet!$A:$C,2,FALSE)),"",VLOOKUP(MID($A97,5,1),Kanji_2_HanViet!$A:$C,2,FALSE))</f>
        <v/>
      </c>
      <c r="H97" s="16" t="str">
        <f>IF(ISNA(VLOOKUP(MID($A97,6,1),Kanji_2_HanViet!$A:$C,2,FALSE)),"",VLOOKUP(MID($A97,6,1),Kanji_2_HanViet!$A:$C,2,FALSE))</f>
        <v/>
      </c>
      <c r="I97" s="16" t="str">
        <f>IF(ISNA(VLOOKUP(MID($A97,7,1),Kanji_2_HanViet!$A:$C,2,FALSE)),"",VLOOKUP(MID($A97,7,1),Kanji_2_HanViet!$A:$C,2,FALSE))</f>
        <v/>
      </c>
      <c r="J97" s="16" t="str">
        <f>IF(ISNA(VLOOKUP(MID($A97,8,1),Kanji_2_HanViet!$A:$C,2,FALSE)),"",VLOOKUP(MID($A97,8,1),Kanji_2_HanViet!$A:$C,2,FALSE))</f>
        <v/>
      </c>
      <c r="K97" s="16" t="str">
        <f>IF(ISNA(VLOOKUP(MID($A97,9,1),Kanji_2_HanViet!$A:$C,2,FALSE)),"",VLOOKUP(MID($A97,9,1),Kanji_2_HanViet!$A:$C,2,FALSE))</f>
        <v/>
      </c>
    </row>
    <row r="98" spans="1:11">
      <c r="A98" s="14">
        <f>Master!B105</f>
        <v>0</v>
      </c>
      <c r="B98" s="17" t="str">
        <f t="shared" si="1"/>
        <v/>
      </c>
      <c r="C98" s="16" t="str">
        <f>IF(ISNA(VLOOKUP(MID($A98,1,1),Kanji_2_HanViet!$A:$C,2,FALSE)),"",VLOOKUP(MID($A98,1,1),Kanji_2_HanViet!$A:$C,2,FALSE))</f>
        <v/>
      </c>
      <c r="D98" s="16" t="str">
        <f>IF(ISNA(VLOOKUP(MID($A98,2,1),Kanji_2_HanViet!$A:$C,2,FALSE)),"",VLOOKUP(MID($A98,2,1),Kanji_2_HanViet!$A:$C,2,FALSE))</f>
        <v/>
      </c>
      <c r="E98" s="16" t="str">
        <f>IF(ISNA(VLOOKUP(MID($A98,3,1),Kanji_2_HanViet!$A:$C,2,FALSE)),"",VLOOKUP(MID($A98,3,1),Kanji_2_HanViet!$A:$C,2,FALSE))</f>
        <v/>
      </c>
      <c r="F98" s="16" t="str">
        <f>IF(ISNA(VLOOKUP(MID($A98,4,1),Kanji_2_HanViet!$A:$C,2,FALSE)),"",VLOOKUP(MID($A98,4,1),Kanji_2_HanViet!$A:$C,2,FALSE))</f>
        <v/>
      </c>
      <c r="G98" s="16" t="str">
        <f>IF(ISNA(VLOOKUP(MID($A98,5,1),Kanji_2_HanViet!$A:$C,2,FALSE)),"",VLOOKUP(MID($A98,5,1),Kanji_2_HanViet!$A:$C,2,FALSE))</f>
        <v/>
      </c>
      <c r="H98" s="16" t="str">
        <f>IF(ISNA(VLOOKUP(MID($A98,6,1),Kanji_2_HanViet!$A:$C,2,FALSE)),"",VLOOKUP(MID($A98,6,1),Kanji_2_HanViet!$A:$C,2,FALSE))</f>
        <v/>
      </c>
      <c r="I98" s="16" t="str">
        <f>IF(ISNA(VLOOKUP(MID($A98,7,1),Kanji_2_HanViet!$A:$C,2,FALSE)),"",VLOOKUP(MID($A98,7,1),Kanji_2_HanViet!$A:$C,2,FALSE))</f>
        <v/>
      </c>
      <c r="J98" s="16" t="str">
        <f>IF(ISNA(VLOOKUP(MID($A98,8,1),Kanji_2_HanViet!$A:$C,2,FALSE)),"",VLOOKUP(MID($A98,8,1),Kanji_2_HanViet!$A:$C,2,FALSE))</f>
        <v/>
      </c>
      <c r="K98" s="16" t="str">
        <f>IF(ISNA(VLOOKUP(MID($A98,9,1),Kanji_2_HanViet!$A:$C,2,FALSE)),"",VLOOKUP(MID($A98,9,1),Kanji_2_HanViet!$A:$C,2,FALSE))</f>
        <v/>
      </c>
    </row>
    <row r="99" spans="1:11">
      <c r="A99" s="14">
        <f>Master!B106</f>
        <v>0</v>
      </c>
      <c r="B99" s="17" t="str">
        <f t="shared" si="1"/>
        <v/>
      </c>
      <c r="C99" s="16" t="str">
        <f>IF(ISNA(VLOOKUP(MID($A99,1,1),Kanji_2_HanViet!$A:$C,2,FALSE)),"",VLOOKUP(MID($A99,1,1),Kanji_2_HanViet!$A:$C,2,FALSE))</f>
        <v/>
      </c>
      <c r="D99" s="16" t="str">
        <f>IF(ISNA(VLOOKUP(MID($A99,2,1),Kanji_2_HanViet!$A:$C,2,FALSE)),"",VLOOKUP(MID($A99,2,1),Kanji_2_HanViet!$A:$C,2,FALSE))</f>
        <v/>
      </c>
      <c r="E99" s="16" t="str">
        <f>IF(ISNA(VLOOKUP(MID($A99,3,1),Kanji_2_HanViet!$A:$C,2,FALSE)),"",VLOOKUP(MID($A99,3,1),Kanji_2_HanViet!$A:$C,2,FALSE))</f>
        <v/>
      </c>
      <c r="F99" s="16" t="str">
        <f>IF(ISNA(VLOOKUP(MID($A99,4,1),Kanji_2_HanViet!$A:$C,2,FALSE)),"",VLOOKUP(MID($A99,4,1),Kanji_2_HanViet!$A:$C,2,FALSE))</f>
        <v/>
      </c>
      <c r="G99" s="16" t="str">
        <f>IF(ISNA(VLOOKUP(MID($A99,5,1),Kanji_2_HanViet!$A:$C,2,FALSE)),"",VLOOKUP(MID($A99,5,1),Kanji_2_HanViet!$A:$C,2,FALSE))</f>
        <v/>
      </c>
      <c r="H99" s="16" t="str">
        <f>IF(ISNA(VLOOKUP(MID($A99,6,1),Kanji_2_HanViet!$A:$C,2,FALSE)),"",VLOOKUP(MID($A99,6,1),Kanji_2_HanViet!$A:$C,2,FALSE))</f>
        <v/>
      </c>
      <c r="I99" s="16" t="str">
        <f>IF(ISNA(VLOOKUP(MID($A99,7,1),Kanji_2_HanViet!$A:$C,2,FALSE)),"",VLOOKUP(MID($A99,7,1),Kanji_2_HanViet!$A:$C,2,FALSE))</f>
        <v/>
      </c>
      <c r="J99" s="16" t="str">
        <f>IF(ISNA(VLOOKUP(MID($A99,8,1),Kanji_2_HanViet!$A:$C,2,FALSE)),"",VLOOKUP(MID($A99,8,1),Kanji_2_HanViet!$A:$C,2,FALSE))</f>
        <v/>
      </c>
      <c r="K99" s="16" t="str">
        <f>IF(ISNA(VLOOKUP(MID($A99,9,1),Kanji_2_HanViet!$A:$C,2,FALSE)),"",VLOOKUP(MID($A99,9,1),Kanji_2_HanViet!$A:$C,2,FALSE))</f>
        <v/>
      </c>
    </row>
    <row r="100" spans="1:11">
      <c r="A100" s="14">
        <f>Master!B107</f>
        <v>0</v>
      </c>
      <c r="B100" s="17" t="str">
        <f t="shared" si="1"/>
        <v/>
      </c>
      <c r="C100" s="16" t="str">
        <f>IF(ISNA(VLOOKUP(MID($A100,1,1),Kanji_2_HanViet!$A:$C,2,FALSE)),"",VLOOKUP(MID($A100,1,1),Kanji_2_HanViet!$A:$C,2,FALSE))</f>
        <v/>
      </c>
      <c r="D100" s="16" t="str">
        <f>IF(ISNA(VLOOKUP(MID($A100,2,1),Kanji_2_HanViet!$A:$C,2,FALSE)),"",VLOOKUP(MID($A100,2,1),Kanji_2_HanViet!$A:$C,2,FALSE))</f>
        <v/>
      </c>
      <c r="E100" s="16" t="str">
        <f>IF(ISNA(VLOOKUP(MID($A100,3,1),Kanji_2_HanViet!$A:$C,2,FALSE)),"",VLOOKUP(MID($A100,3,1),Kanji_2_HanViet!$A:$C,2,FALSE))</f>
        <v/>
      </c>
      <c r="F100" s="16" t="str">
        <f>IF(ISNA(VLOOKUP(MID($A100,4,1),Kanji_2_HanViet!$A:$C,2,FALSE)),"",VLOOKUP(MID($A100,4,1),Kanji_2_HanViet!$A:$C,2,FALSE))</f>
        <v/>
      </c>
      <c r="G100" s="16" t="str">
        <f>IF(ISNA(VLOOKUP(MID($A100,5,1),Kanji_2_HanViet!$A:$C,2,FALSE)),"",VLOOKUP(MID($A100,5,1),Kanji_2_HanViet!$A:$C,2,FALSE))</f>
        <v/>
      </c>
      <c r="H100" s="16" t="str">
        <f>IF(ISNA(VLOOKUP(MID($A100,6,1),Kanji_2_HanViet!$A:$C,2,FALSE)),"",VLOOKUP(MID($A100,6,1),Kanji_2_HanViet!$A:$C,2,FALSE))</f>
        <v/>
      </c>
      <c r="I100" s="16" t="str">
        <f>IF(ISNA(VLOOKUP(MID($A100,7,1),Kanji_2_HanViet!$A:$C,2,FALSE)),"",VLOOKUP(MID($A100,7,1),Kanji_2_HanViet!$A:$C,2,FALSE))</f>
        <v/>
      </c>
      <c r="J100" s="16" t="str">
        <f>IF(ISNA(VLOOKUP(MID($A100,8,1),Kanji_2_HanViet!$A:$C,2,FALSE)),"",VLOOKUP(MID($A100,8,1),Kanji_2_HanViet!$A:$C,2,FALSE))</f>
        <v/>
      </c>
      <c r="K100" s="16" t="str">
        <f>IF(ISNA(VLOOKUP(MID($A100,9,1),Kanji_2_HanViet!$A:$C,2,FALSE)),"",VLOOKUP(MID($A100,9,1),Kanji_2_HanViet!$A:$C,2,FALSE))</f>
        <v/>
      </c>
    </row>
    <row r="101" spans="1:11">
      <c r="A101" s="14">
        <f>Master!B108</f>
        <v>0</v>
      </c>
      <c r="B101" s="17" t="str">
        <f t="shared" si="1"/>
        <v/>
      </c>
      <c r="C101" s="16" t="str">
        <f>IF(ISNA(VLOOKUP(MID($A101,1,1),Kanji_2_HanViet!$A:$C,2,FALSE)),"",VLOOKUP(MID($A101,1,1),Kanji_2_HanViet!$A:$C,2,FALSE))</f>
        <v/>
      </c>
      <c r="D101" s="16" t="str">
        <f>IF(ISNA(VLOOKUP(MID($A101,2,1),Kanji_2_HanViet!$A:$C,2,FALSE)),"",VLOOKUP(MID($A101,2,1),Kanji_2_HanViet!$A:$C,2,FALSE))</f>
        <v/>
      </c>
      <c r="E101" s="16" t="str">
        <f>IF(ISNA(VLOOKUP(MID($A101,3,1),Kanji_2_HanViet!$A:$C,2,FALSE)),"",VLOOKUP(MID($A101,3,1),Kanji_2_HanViet!$A:$C,2,FALSE))</f>
        <v/>
      </c>
      <c r="F101" s="16" t="str">
        <f>IF(ISNA(VLOOKUP(MID($A101,4,1),Kanji_2_HanViet!$A:$C,2,FALSE)),"",VLOOKUP(MID($A101,4,1),Kanji_2_HanViet!$A:$C,2,FALSE))</f>
        <v/>
      </c>
      <c r="G101" s="16" t="str">
        <f>IF(ISNA(VLOOKUP(MID($A101,5,1),Kanji_2_HanViet!$A:$C,2,FALSE)),"",VLOOKUP(MID($A101,5,1),Kanji_2_HanViet!$A:$C,2,FALSE))</f>
        <v/>
      </c>
      <c r="H101" s="16" t="str">
        <f>IF(ISNA(VLOOKUP(MID($A101,6,1),Kanji_2_HanViet!$A:$C,2,FALSE)),"",VLOOKUP(MID($A101,6,1),Kanji_2_HanViet!$A:$C,2,FALSE))</f>
        <v/>
      </c>
      <c r="I101" s="16" t="str">
        <f>IF(ISNA(VLOOKUP(MID($A101,7,1),Kanji_2_HanViet!$A:$C,2,FALSE)),"",VLOOKUP(MID($A101,7,1),Kanji_2_HanViet!$A:$C,2,FALSE))</f>
        <v/>
      </c>
      <c r="J101" s="16" t="str">
        <f>IF(ISNA(VLOOKUP(MID($A101,8,1),Kanji_2_HanViet!$A:$C,2,FALSE)),"",VLOOKUP(MID($A101,8,1),Kanji_2_HanViet!$A:$C,2,FALSE))</f>
        <v/>
      </c>
      <c r="K101" s="16" t="str">
        <f>IF(ISNA(VLOOKUP(MID($A101,9,1),Kanji_2_HanViet!$A:$C,2,FALSE)),"",VLOOKUP(MID($A101,9,1),Kanji_2_HanViet!$A:$C,2,FALSE))</f>
        <v/>
      </c>
    </row>
    <row r="102" spans="1:11">
      <c r="A102" s="14">
        <f>Master!B109</f>
        <v>0</v>
      </c>
      <c r="B102" s="17" t="str">
        <f t="shared" si="1"/>
        <v/>
      </c>
      <c r="C102" s="16" t="str">
        <f>IF(ISNA(VLOOKUP(MID($A102,1,1),Kanji_2_HanViet!$A:$C,2,FALSE)),"",VLOOKUP(MID($A102,1,1),Kanji_2_HanViet!$A:$C,2,FALSE))</f>
        <v/>
      </c>
      <c r="D102" s="16" t="str">
        <f>IF(ISNA(VLOOKUP(MID($A102,2,1),Kanji_2_HanViet!$A:$C,2,FALSE)),"",VLOOKUP(MID($A102,2,1),Kanji_2_HanViet!$A:$C,2,FALSE))</f>
        <v/>
      </c>
      <c r="E102" s="16" t="str">
        <f>IF(ISNA(VLOOKUP(MID($A102,3,1),Kanji_2_HanViet!$A:$C,2,FALSE)),"",VLOOKUP(MID($A102,3,1),Kanji_2_HanViet!$A:$C,2,FALSE))</f>
        <v/>
      </c>
      <c r="F102" s="16" t="str">
        <f>IF(ISNA(VLOOKUP(MID($A102,4,1),Kanji_2_HanViet!$A:$C,2,FALSE)),"",VLOOKUP(MID($A102,4,1),Kanji_2_HanViet!$A:$C,2,FALSE))</f>
        <v/>
      </c>
      <c r="G102" s="16" t="str">
        <f>IF(ISNA(VLOOKUP(MID($A102,5,1),Kanji_2_HanViet!$A:$C,2,FALSE)),"",VLOOKUP(MID($A102,5,1),Kanji_2_HanViet!$A:$C,2,FALSE))</f>
        <v/>
      </c>
      <c r="H102" s="16" t="str">
        <f>IF(ISNA(VLOOKUP(MID($A102,6,1),Kanji_2_HanViet!$A:$C,2,FALSE)),"",VLOOKUP(MID($A102,6,1),Kanji_2_HanViet!$A:$C,2,FALSE))</f>
        <v/>
      </c>
      <c r="I102" s="16" t="str">
        <f>IF(ISNA(VLOOKUP(MID($A102,7,1),Kanji_2_HanViet!$A:$C,2,FALSE)),"",VLOOKUP(MID($A102,7,1),Kanji_2_HanViet!$A:$C,2,FALSE))</f>
        <v/>
      </c>
      <c r="J102" s="16" t="str">
        <f>IF(ISNA(VLOOKUP(MID($A102,8,1),Kanji_2_HanViet!$A:$C,2,FALSE)),"",VLOOKUP(MID($A102,8,1),Kanji_2_HanViet!$A:$C,2,FALSE))</f>
        <v/>
      </c>
      <c r="K102" s="16" t="str">
        <f>IF(ISNA(VLOOKUP(MID($A102,9,1),Kanji_2_HanViet!$A:$C,2,FALSE)),"",VLOOKUP(MID($A102,9,1),Kanji_2_HanViet!$A:$C,2,FALSE))</f>
        <v/>
      </c>
    </row>
    <row r="103" spans="1:11">
      <c r="A103" s="14">
        <f>Master!B110</f>
        <v>0</v>
      </c>
      <c r="B103" s="17" t="str">
        <f t="shared" si="1"/>
        <v/>
      </c>
      <c r="C103" s="16" t="str">
        <f>IF(ISNA(VLOOKUP(MID($A103,1,1),Kanji_2_HanViet!$A:$C,2,FALSE)),"",VLOOKUP(MID($A103,1,1),Kanji_2_HanViet!$A:$C,2,FALSE))</f>
        <v/>
      </c>
      <c r="D103" s="16" t="str">
        <f>IF(ISNA(VLOOKUP(MID($A103,2,1),Kanji_2_HanViet!$A:$C,2,FALSE)),"",VLOOKUP(MID($A103,2,1),Kanji_2_HanViet!$A:$C,2,FALSE))</f>
        <v/>
      </c>
      <c r="E103" s="16" t="str">
        <f>IF(ISNA(VLOOKUP(MID($A103,3,1),Kanji_2_HanViet!$A:$C,2,FALSE)),"",VLOOKUP(MID($A103,3,1),Kanji_2_HanViet!$A:$C,2,FALSE))</f>
        <v/>
      </c>
      <c r="F103" s="16" t="str">
        <f>IF(ISNA(VLOOKUP(MID($A103,4,1),Kanji_2_HanViet!$A:$C,2,FALSE)),"",VLOOKUP(MID($A103,4,1),Kanji_2_HanViet!$A:$C,2,FALSE))</f>
        <v/>
      </c>
      <c r="G103" s="16" t="str">
        <f>IF(ISNA(VLOOKUP(MID($A103,5,1),Kanji_2_HanViet!$A:$C,2,FALSE)),"",VLOOKUP(MID($A103,5,1),Kanji_2_HanViet!$A:$C,2,FALSE))</f>
        <v/>
      </c>
      <c r="H103" s="16" t="str">
        <f>IF(ISNA(VLOOKUP(MID($A103,6,1),Kanji_2_HanViet!$A:$C,2,FALSE)),"",VLOOKUP(MID($A103,6,1),Kanji_2_HanViet!$A:$C,2,FALSE))</f>
        <v/>
      </c>
      <c r="I103" s="16" t="str">
        <f>IF(ISNA(VLOOKUP(MID($A103,7,1),Kanji_2_HanViet!$A:$C,2,FALSE)),"",VLOOKUP(MID($A103,7,1),Kanji_2_HanViet!$A:$C,2,FALSE))</f>
        <v/>
      </c>
      <c r="J103" s="16" t="str">
        <f>IF(ISNA(VLOOKUP(MID($A103,8,1),Kanji_2_HanViet!$A:$C,2,FALSE)),"",VLOOKUP(MID($A103,8,1),Kanji_2_HanViet!$A:$C,2,FALSE))</f>
        <v/>
      </c>
      <c r="K103" s="16" t="str">
        <f>IF(ISNA(VLOOKUP(MID($A103,9,1),Kanji_2_HanViet!$A:$C,2,FALSE)),"",VLOOKUP(MID($A103,9,1),Kanji_2_HanViet!$A:$C,2,FALSE))</f>
        <v/>
      </c>
    </row>
    <row r="104" spans="1:11">
      <c r="A104" s="14">
        <f>Master!B111</f>
        <v>0</v>
      </c>
      <c r="B104" s="17" t="str">
        <f t="shared" si="1"/>
        <v/>
      </c>
      <c r="C104" s="16" t="str">
        <f>IF(ISNA(VLOOKUP(MID($A104,1,1),Kanji_2_HanViet!$A:$C,2,FALSE)),"",VLOOKUP(MID($A104,1,1),Kanji_2_HanViet!$A:$C,2,FALSE))</f>
        <v/>
      </c>
      <c r="D104" s="16" t="str">
        <f>IF(ISNA(VLOOKUP(MID($A104,2,1),Kanji_2_HanViet!$A:$C,2,FALSE)),"",VLOOKUP(MID($A104,2,1),Kanji_2_HanViet!$A:$C,2,FALSE))</f>
        <v/>
      </c>
      <c r="E104" s="16" t="str">
        <f>IF(ISNA(VLOOKUP(MID($A104,3,1),Kanji_2_HanViet!$A:$C,2,FALSE)),"",VLOOKUP(MID($A104,3,1),Kanji_2_HanViet!$A:$C,2,FALSE))</f>
        <v/>
      </c>
      <c r="F104" s="16" t="str">
        <f>IF(ISNA(VLOOKUP(MID($A104,4,1),Kanji_2_HanViet!$A:$C,2,FALSE)),"",VLOOKUP(MID($A104,4,1),Kanji_2_HanViet!$A:$C,2,FALSE))</f>
        <v/>
      </c>
      <c r="G104" s="16" t="str">
        <f>IF(ISNA(VLOOKUP(MID($A104,5,1),Kanji_2_HanViet!$A:$C,2,FALSE)),"",VLOOKUP(MID($A104,5,1),Kanji_2_HanViet!$A:$C,2,FALSE))</f>
        <v/>
      </c>
      <c r="H104" s="16" t="str">
        <f>IF(ISNA(VLOOKUP(MID($A104,6,1),Kanji_2_HanViet!$A:$C,2,FALSE)),"",VLOOKUP(MID($A104,6,1),Kanji_2_HanViet!$A:$C,2,FALSE))</f>
        <v/>
      </c>
      <c r="I104" s="16" t="str">
        <f>IF(ISNA(VLOOKUP(MID($A104,7,1),Kanji_2_HanViet!$A:$C,2,FALSE)),"",VLOOKUP(MID($A104,7,1),Kanji_2_HanViet!$A:$C,2,FALSE))</f>
        <v/>
      </c>
      <c r="J104" s="16" t="str">
        <f>IF(ISNA(VLOOKUP(MID($A104,8,1),Kanji_2_HanViet!$A:$C,2,FALSE)),"",VLOOKUP(MID($A104,8,1),Kanji_2_HanViet!$A:$C,2,FALSE))</f>
        <v/>
      </c>
      <c r="K104" s="16" t="str">
        <f>IF(ISNA(VLOOKUP(MID($A104,9,1),Kanji_2_HanViet!$A:$C,2,FALSE)),"",VLOOKUP(MID($A104,9,1),Kanji_2_HanViet!$A:$C,2,FALSE))</f>
        <v/>
      </c>
    </row>
    <row r="105" spans="1:11">
      <c r="A105" s="14">
        <f>Master!B112</f>
        <v>0</v>
      </c>
      <c r="B105" s="17" t="str">
        <f t="shared" si="1"/>
        <v/>
      </c>
      <c r="C105" s="16" t="str">
        <f>IF(ISNA(VLOOKUP(MID($A105,1,1),Kanji_2_HanViet!$A:$C,2,FALSE)),"",VLOOKUP(MID($A105,1,1),Kanji_2_HanViet!$A:$C,2,FALSE))</f>
        <v/>
      </c>
      <c r="D105" s="16" t="str">
        <f>IF(ISNA(VLOOKUP(MID($A105,2,1),Kanji_2_HanViet!$A:$C,2,FALSE)),"",VLOOKUP(MID($A105,2,1),Kanji_2_HanViet!$A:$C,2,FALSE))</f>
        <v/>
      </c>
      <c r="E105" s="16" t="str">
        <f>IF(ISNA(VLOOKUP(MID($A105,3,1),Kanji_2_HanViet!$A:$C,2,FALSE)),"",VLOOKUP(MID($A105,3,1),Kanji_2_HanViet!$A:$C,2,FALSE))</f>
        <v/>
      </c>
      <c r="F105" s="16" t="str">
        <f>IF(ISNA(VLOOKUP(MID($A105,4,1),Kanji_2_HanViet!$A:$C,2,FALSE)),"",VLOOKUP(MID($A105,4,1),Kanji_2_HanViet!$A:$C,2,FALSE))</f>
        <v/>
      </c>
      <c r="G105" s="16" t="str">
        <f>IF(ISNA(VLOOKUP(MID($A105,5,1),Kanji_2_HanViet!$A:$C,2,FALSE)),"",VLOOKUP(MID($A105,5,1),Kanji_2_HanViet!$A:$C,2,FALSE))</f>
        <v/>
      </c>
      <c r="H105" s="16" t="str">
        <f>IF(ISNA(VLOOKUP(MID($A105,6,1),Kanji_2_HanViet!$A:$C,2,FALSE)),"",VLOOKUP(MID($A105,6,1),Kanji_2_HanViet!$A:$C,2,FALSE))</f>
        <v/>
      </c>
      <c r="I105" s="16" t="str">
        <f>IF(ISNA(VLOOKUP(MID($A105,7,1),Kanji_2_HanViet!$A:$C,2,FALSE)),"",VLOOKUP(MID($A105,7,1),Kanji_2_HanViet!$A:$C,2,FALSE))</f>
        <v/>
      </c>
      <c r="J105" s="16" t="str">
        <f>IF(ISNA(VLOOKUP(MID($A105,8,1),Kanji_2_HanViet!$A:$C,2,FALSE)),"",VLOOKUP(MID($A105,8,1),Kanji_2_HanViet!$A:$C,2,FALSE))</f>
        <v/>
      </c>
      <c r="K105" s="16" t="str">
        <f>IF(ISNA(VLOOKUP(MID($A105,9,1),Kanji_2_HanViet!$A:$C,2,FALSE)),"",VLOOKUP(MID($A105,9,1),Kanji_2_HanViet!$A:$C,2,FALSE))</f>
        <v/>
      </c>
    </row>
    <row r="106" spans="1:11">
      <c r="A106" s="14">
        <f>Master!B113</f>
        <v>0</v>
      </c>
      <c r="B106" s="17" t="str">
        <f t="shared" si="1"/>
        <v/>
      </c>
      <c r="C106" s="16" t="str">
        <f>IF(ISNA(VLOOKUP(MID($A106,1,1),Kanji_2_HanViet!$A:$C,2,FALSE)),"",VLOOKUP(MID($A106,1,1),Kanji_2_HanViet!$A:$C,2,FALSE))</f>
        <v/>
      </c>
      <c r="D106" s="16" t="str">
        <f>IF(ISNA(VLOOKUP(MID($A106,2,1),Kanji_2_HanViet!$A:$C,2,FALSE)),"",VLOOKUP(MID($A106,2,1),Kanji_2_HanViet!$A:$C,2,FALSE))</f>
        <v/>
      </c>
      <c r="E106" s="16" t="str">
        <f>IF(ISNA(VLOOKUP(MID($A106,3,1),Kanji_2_HanViet!$A:$C,2,FALSE)),"",VLOOKUP(MID($A106,3,1),Kanji_2_HanViet!$A:$C,2,FALSE))</f>
        <v/>
      </c>
      <c r="F106" s="16" t="str">
        <f>IF(ISNA(VLOOKUP(MID($A106,4,1),Kanji_2_HanViet!$A:$C,2,FALSE)),"",VLOOKUP(MID($A106,4,1),Kanji_2_HanViet!$A:$C,2,FALSE))</f>
        <v/>
      </c>
      <c r="G106" s="16" t="str">
        <f>IF(ISNA(VLOOKUP(MID($A106,5,1),Kanji_2_HanViet!$A:$C,2,FALSE)),"",VLOOKUP(MID($A106,5,1),Kanji_2_HanViet!$A:$C,2,FALSE))</f>
        <v/>
      </c>
      <c r="H106" s="16" t="str">
        <f>IF(ISNA(VLOOKUP(MID($A106,6,1),Kanji_2_HanViet!$A:$C,2,FALSE)),"",VLOOKUP(MID($A106,6,1),Kanji_2_HanViet!$A:$C,2,FALSE))</f>
        <v/>
      </c>
      <c r="I106" s="16" t="str">
        <f>IF(ISNA(VLOOKUP(MID($A106,7,1),Kanji_2_HanViet!$A:$C,2,FALSE)),"",VLOOKUP(MID($A106,7,1),Kanji_2_HanViet!$A:$C,2,FALSE))</f>
        <v/>
      </c>
      <c r="J106" s="16" t="str">
        <f>IF(ISNA(VLOOKUP(MID($A106,8,1),Kanji_2_HanViet!$A:$C,2,FALSE)),"",VLOOKUP(MID($A106,8,1),Kanji_2_HanViet!$A:$C,2,FALSE))</f>
        <v/>
      </c>
      <c r="K106" s="16" t="str">
        <f>IF(ISNA(VLOOKUP(MID($A106,9,1),Kanji_2_HanViet!$A:$C,2,FALSE)),"",VLOOKUP(MID($A106,9,1),Kanji_2_HanViet!$A:$C,2,FALSE))</f>
        <v/>
      </c>
    </row>
    <row r="107" spans="1:11">
      <c r="A107" s="14">
        <f>Master!B114</f>
        <v>0</v>
      </c>
      <c r="B107" s="17" t="str">
        <f t="shared" si="1"/>
        <v/>
      </c>
      <c r="C107" s="16" t="str">
        <f>IF(ISNA(VLOOKUP(MID($A107,1,1),Kanji_2_HanViet!$A:$C,2,FALSE)),"",VLOOKUP(MID($A107,1,1),Kanji_2_HanViet!$A:$C,2,FALSE))</f>
        <v/>
      </c>
      <c r="D107" s="16" t="str">
        <f>IF(ISNA(VLOOKUP(MID($A107,2,1),Kanji_2_HanViet!$A:$C,2,FALSE)),"",VLOOKUP(MID($A107,2,1),Kanji_2_HanViet!$A:$C,2,FALSE))</f>
        <v/>
      </c>
      <c r="E107" s="16" t="str">
        <f>IF(ISNA(VLOOKUP(MID($A107,3,1),Kanji_2_HanViet!$A:$C,2,FALSE)),"",VLOOKUP(MID($A107,3,1),Kanji_2_HanViet!$A:$C,2,FALSE))</f>
        <v/>
      </c>
      <c r="F107" s="16" t="str">
        <f>IF(ISNA(VLOOKUP(MID($A107,4,1),Kanji_2_HanViet!$A:$C,2,FALSE)),"",VLOOKUP(MID($A107,4,1),Kanji_2_HanViet!$A:$C,2,FALSE))</f>
        <v/>
      </c>
      <c r="G107" s="16" t="str">
        <f>IF(ISNA(VLOOKUP(MID($A107,5,1),Kanji_2_HanViet!$A:$C,2,FALSE)),"",VLOOKUP(MID($A107,5,1),Kanji_2_HanViet!$A:$C,2,FALSE))</f>
        <v/>
      </c>
      <c r="H107" s="16" t="str">
        <f>IF(ISNA(VLOOKUP(MID($A107,6,1),Kanji_2_HanViet!$A:$C,2,FALSE)),"",VLOOKUP(MID($A107,6,1),Kanji_2_HanViet!$A:$C,2,FALSE))</f>
        <v/>
      </c>
      <c r="I107" s="16" t="str">
        <f>IF(ISNA(VLOOKUP(MID($A107,7,1),Kanji_2_HanViet!$A:$C,2,FALSE)),"",VLOOKUP(MID($A107,7,1),Kanji_2_HanViet!$A:$C,2,FALSE))</f>
        <v/>
      </c>
      <c r="J107" s="16" t="str">
        <f>IF(ISNA(VLOOKUP(MID($A107,8,1),Kanji_2_HanViet!$A:$C,2,FALSE)),"",VLOOKUP(MID($A107,8,1),Kanji_2_HanViet!$A:$C,2,FALSE))</f>
        <v/>
      </c>
      <c r="K107" s="16" t="str">
        <f>IF(ISNA(VLOOKUP(MID($A107,9,1),Kanji_2_HanViet!$A:$C,2,FALSE)),"",VLOOKUP(MID($A107,9,1),Kanji_2_HanViet!$A:$C,2,FALSE))</f>
        <v/>
      </c>
    </row>
    <row r="108" spans="1:11">
      <c r="A108" s="14">
        <f>Master!B115</f>
        <v>0</v>
      </c>
      <c r="B108" s="17" t="str">
        <f t="shared" si="1"/>
        <v/>
      </c>
      <c r="C108" s="16" t="str">
        <f>IF(ISNA(VLOOKUP(MID($A108,1,1),Kanji_2_HanViet!$A:$C,2,FALSE)),"",VLOOKUP(MID($A108,1,1),Kanji_2_HanViet!$A:$C,2,FALSE))</f>
        <v/>
      </c>
      <c r="D108" s="16" t="str">
        <f>IF(ISNA(VLOOKUP(MID($A108,2,1),Kanji_2_HanViet!$A:$C,2,FALSE)),"",VLOOKUP(MID($A108,2,1),Kanji_2_HanViet!$A:$C,2,FALSE))</f>
        <v/>
      </c>
      <c r="E108" s="16" t="str">
        <f>IF(ISNA(VLOOKUP(MID($A108,3,1),Kanji_2_HanViet!$A:$C,2,FALSE)),"",VLOOKUP(MID($A108,3,1),Kanji_2_HanViet!$A:$C,2,FALSE))</f>
        <v/>
      </c>
      <c r="F108" s="16" t="str">
        <f>IF(ISNA(VLOOKUP(MID($A108,4,1),Kanji_2_HanViet!$A:$C,2,FALSE)),"",VLOOKUP(MID($A108,4,1),Kanji_2_HanViet!$A:$C,2,FALSE))</f>
        <v/>
      </c>
      <c r="G108" s="16" t="str">
        <f>IF(ISNA(VLOOKUP(MID($A108,5,1),Kanji_2_HanViet!$A:$C,2,FALSE)),"",VLOOKUP(MID($A108,5,1),Kanji_2_HanViet!$A:$C,2,FALSE))</f>
        <v/>
      </c>
      <c r="H108" s="16" t="str">
        <f>IF(ISNA(VLOOKUP(MID($A108,6,1),Kanji_2_HanViet!$A:$C,2,FALSE)),"",VLOOKUP(MID($A108,6,1),Kanji_2_HanViet!$A:$C,2,FALSE))</f>
        <v/>
      </c>
      <c r="I108" s="16" t="str">
        <f>IF(ISNA(VLOOKUP(MID($A108,7,1),Kanji_2_HanViet!$A:$C,2,FALSE)),"",VLOOKUP(MID($A108,7,1),Kanji_2_HanViet!$A:$C,2,FALSE))</f>
        <v/>
      </c>
      <c r="J108" s="16" t="str">
        <f>IF(ISNA(VLOOKUP(MID($A108,8,1),Kanji_2_HanViet!$A:$C,2,FALSE)),"",VLOOKUP(MID($A108,8,1),Kanji_2_HanViet!$A:$C,2,FALSE))</f>
        <v/>
      </c>
      <c r="K108" s="16" t="str">
        <f>IF(ISNA(VLOOKUP(MID($A108,9,1),Kanji_2_HanViet!$A:$C,2,FALSE)),"",VLOOKUP(MID($A108,9,1),Kanji_2_HanViet!$A:$C,2,FALSE))</f>
        <v/>
      </c>
    </row>
    <row r="109" spans="1:11">
      <c r="A109" s="14">
        <f>Master!B116</f>
        <v>0</v>
      </c>
      <c r="B109" s="17" t="str">
        <f t="shared" si="1"/>
        <v/>
      </c>
      <c r="C109" s="16" t="str">
        <f>IF(ISNA(VLOOKUP(MID($A109,1,1),Kanji_2_HanViet!$A:$C,2,FALSE)),"",VLOOKUP(MID($A109,1,1),Kanji_2_HanViet!$A:$C,2,FALSE))</f>
        <v/>
      </c>
      <c r="D109" s="16" t="str">
        <f>IF(ISNA(VLOOKUP(MID($A109,2,1),Kanji_2_HanViet!$A:$C,2,FALSE)),"",VLOOKUP(MID($A109,2,1),Kanji_2_HanViet!$A:$C,2,FALSE))</f>
        <v/>
      </c>
      <c r="E109" s="16" t="str">
        <f>IF(ISNA(VLOOKUP(MID($A109,3,1),Kanji_2_HanViet!$A:$C,2,FALSE)),"",VLOOKUP(MID($A109,3,1),Kanji_2_HanViet!$A:$C,2,FALSE))</f>
        <v/>
      </c>
      <c r="F109" s="16" t="str">
        <f>IF(ISNA(VLOOKUP(MID($A109,4,1),Kanji_2_HanViet!$A:$C,2,FALSE)),"",VLOOKUP(MID($A109,4,1),Kanji_2_HanViet!$A:$C,2,FALSE))</f>
        <v/>
      </c>
      <c r="G109" s="16" t="str">
        <f>IF(ISNA(VLOOKUP(MID($A109,5,1),Kanji_2_HanViet!$A:$C,2,FALSE)),"",VLOOKUP(MID($A109,5,1),Kanji_2_HanViet!$A:$C,2,FALSE))</f>
        <v/>
      </c>
      <c r="H109" s="16" t="str">
        <f>IF(ISNA(VLOOKUP(MID($A109,6,1),Kanji_2_HanViet!$A:$C,2,FALSE)),"",VLOOKUP(MID($A109,6,1),Kanji_2_HanViet!$A:$C,2,FALSE))</f>
        <v/>
      </c>
      <c r="I109" s="16" t="str">
        <f>IF(ISNA(VLOOKUP(MID($A109,7,1),Kanji_2_HanViet!$A:$C,2,FALSE)),"",VLOOKUP(MID($A109,7,1),Kanji_2_HanViet!$A:$C,2,FALSE))</f>
        <v/>
      </c>
      <c r="J109" s="16" t="str">
        <f>IF(ISNA(VLOOKUP(MID($A109,8,1),Kanji_2_HanViet!$A:$C,2,FALSE)),"",VLOOKUP(MID($A109,8,1),Kanji_2_HanViet!$A:$C,2,FALSE))</f>
        <v/>
      </c>
      <c r="K109" s="16" t="str">
        <f>IF(ISNA(VLOOKUP(MID($A109,9,1),Kanji_2_HanViet!$A:$C,2,FALSE)),"",VLOOKUP(MID($A109,9,1),Kanji_2_HanViet!$A:$C,2,FALSE))</f>
        <v/>
      </c>
    </row>
    <row r="110" spans="1:11">
      <c r="A110" s="14">
        <f>Master!B117</f>
        <v>0</v>
      </c>
      <c r="B110" s="17" t="str">
        <f t="shared" si="1"/>
        <v/>
      </c>
      <c r="C110" s="16" t="str">
        <f>IF(ISNA(VLOOKUP(MID($A110,1,1),Kanji_2_HanViet!$A:$C,2,FALSE)),"",VLOOKUP(MID($A110,1,1),Kanji_2_HanViet!$A:$C,2,FALSE))</f>
        <v/>
      </c>
      <c r="D110" s="16" t="str">
        <f>IF(ISNA(VLOOKUP(MID($A110,2,1),Kanji_2_HanViet!$A:$C,2,FALSE)),"",VLOOKUP(MID($A110,2,1),Kanji_2_HanViet!$A:$C,2,FALSE))</f>
        <v/>
      </c>
      <c r="E110" s="16" t="str">
        <f>IF(ISNA(VLOOKUP(MID($A110,3,1),Kanji_2_HanViet!$A:$C,2,FALSE)),"",VLOOKUP(MID($A110,3,1),Kanji_2_HanViet!$A:$C,2,FALSE))</f>
        <v/>
      </c>
      <c r="F110" s="16" t="str">
        <f>IF(ISNA(VLOOKUP(MID($A110,4,1),Kanji_2_HanViet!$A:$C,2,FALSE)),"",VLOOKUP(MID($A110,4,1),Kanji_2_HanViet!$A:$C,2,FALSE))</f>
        <v/>
      </c>
      <c r="G110" s="16" t="str">
        <f>IF(ISNA(VLOOKUP(MID($A110,5,1),Kanji_2_HanViet!$A:$C,2,FALSE)),"",VLOOKUP(MID($A110,5,1),Kanji_2_HanViet!$A:$C,2,FALSE))</f>
        <v/>
      </c>
      <c r="H110" s="16" t="str">
        <f>IF(ISNA(VLOOKUP(MID($A110,6,1),Kanji_2_HanViet!$A:$C,2,FALSE)),"",VLOOKUP(MID($A110,6,1),Kanji_2_HanViet!$A:$C,2,FALSE))</f>
        <v/>
      </c>
      <c r="I110" s="16" t="str">
        <f>IF(ISNA(VLOOKUP(MID($A110,7,1),Kanji_2_HanViet!$A:$C,2,FALSE)),"",VLOOKUP(MID($A110,7,1),Kanji_2_HanViet!$A:$C,2,FALSE))</f>
        <v/>
      </c>
      <c r="J110" s="16" t="str">
        <f>IF(ISNA(VLOOKUP(MID($A110,8,1),Kanji_2_HanViet!$A:$C,2,FALSE)),"",VLOOKUP(MID($A110,8,1),Kanji_2_HanViet!$A:$C,2,FALSE))</f>
        <v/>
      </c>
      <c r="K110" s="16" t="str">
        <f>IF(ISNA(VLOOKUP(MID($A110,9,1),Kanji_2_HanViet!$A:$C,2,FALSE)),"",VLOOKUP(MID($A110,9,1),Kanji_2_HanViet!$A:$C,2,FALSE))</f>
        <v/>
      </c>
    </row>
    <row r="111" spans="1:11">
      <c r="A111" s="14">
        <f>Master!B118</f>
        <v>0</v>
      </c>
      <c r="B111" s="17" t="str">
        <f t="shared" si="1"/>
        <v/>
      </c>
      <c r="C111" s="16" t="str">
        <f>IF(ISNA(VLOOKUP(MID($A111,1,1),Kanji_2_HanViet!$A:$C,2,FALSE)),"",VLOOKUP(MID($A111,1,1),Kanji_2_HanViet!$A:$C,2,FALSE))</f>
        <v/>
      </c>
      <c r="D111" s="16" t="str">
        <f>IF(ISNA(VLOOKUP(MID($A111,2,1),Kanji_2_HanViet!$A:$C,2,FALSE)),"",VLOOKUP(MID($A111,2,1),Kanji_2_HanViet!$A:$C,2,FALSE))</f>
        <v/>
      </c>
      <c r="E111" s="16" t="str">
        <f>IF(ISNA(VLOOKUP(MID($A111,3,1),Kanji_2_HanViet!$A:$C,2,FALSE)),"",VLOOKUP(MID($A111,3,1),Kanji_2_HanViet!$A:$C,2,FALSE))</f>
        <v/>
      </c>
      <c r="F111" s="16" t="str">
        <f>IF(ISNA(VLOOKUP(MID($A111,4,1),Kanji_2_HanViet!$A:$C,2,FALSE)),"",VLOOKUP(MID($A111,4,1),Kanji_2_HanViet!$A:$C,2,FALSE))</f>
        <v/>
      </c>
      <c r="G111" s="16" t="str">
        <f>IF(ISNA(VLOOKUP(MID($A111,5,1),Kanji_2_HanViet!$A:$C,2,FALSE)),"",VLOOKUP(MID($A111,5,1),Kanji_2_HanViet!$A:$C,2,FALSE))</f>
        <v/>
      </c>
      <c r="H111" s="16" t="str">
        <f>IF(ISNA(VLOOKUP(MID($A111,6,1),Kanji_2_HanViet!$A:$C,2,FALSE)),"",VLOOKUP(MID($A111,6,1),Kanji_2_HanViet!$A:$C,2,FALSE))</f>
        <v/>
      </c>
      <c r="I111" s="16" t="str">
        <f>IF(ISNA(VLOOKUP(MID($A111,7,1),Kanji_2_HanViet!$A:$C,2,FALSE)),"",VLOOKUP(MID($A111,7,1),Kanji_2_HanViet!$A:$C,2,FALSE))</f>
        <v/>
      </c>
      <c r="J111" s="16" t="str">
        <f>IF(ISNA(VLOOKUP(MID($A111,8,1),Kanji_2_HanViet!$A:$C,2,FALSE)),"",VLOOKUP(MID($A111,8,1),Kanji_2_HanViet!$A:$C,2,FALSE))</f>
        <v/>
      </c>
      <c r="K111" s="16" t="str">
        <f>IF(ISNA(VLOOKUP(MID($A111,9,1),Kanji_2_HanViet!$A:$C,2,FALSE)),"",VLOOKUP(MID($A111,9,1),Kanji_2_HanViet!$A:$C,2,FALSE))</f>
        <v/>
      </c>
    </row>
    <row r="112" spans="1:11">
      <c r="A112" s="14">
        <f>Master!B119</f>
        <v>0</v>
      </c>
      <c r="B112" s="17" t="str">
        <f t="shared" si="1"/>
        <v/>
      </c>
      <c r="C112" s="16" t="str">
        <f>IF(ISNA(VLOOKUP(MID($A112,1,1),Kanji_2_HanViet!$A:$C,2,FALSE)),"",VLOOKUP(MID($A112,1,1),Kanji_2_HanViet!$A:$C,2,FALSE))</f>
        <v/>
      </c>
      <c r="D112" s="16" t="str">
        <f>IF(ISNA(VLOOKUP(MID($A112,2,1),Kanji_2_HanViet!$A:$C,2,FALSE)),"",VLOOKUP(MID($A112,2,1),Kanji_2_HanViet!$A:$C,2,FALSE))</f>
        <v/>
      </c>
      <c r="E112" s="16" t="str">
        <f>IF(ISNA(VLOOKUP(MID($A112,3,1),Kanji_2_HanViet!$A:$C,2,FALSE)),"",VLOOKUP(MID($A112,3,1),Kanji_2_HanViet!$A:$C,2,FALSE))</f>
        <v/>
      </c>
      <c r="F112" s="16" t="str">
        <f>IF(ISNA(VLOOKUP(MID($A112,4,1),Kanji_2_HanViet!$A:$C,2,FALSE)),"",VLOOKUP(MID($A112,4,1),Kanji_2_HanViet!$A:$C,2,FALSE))</f>
        <v/>
      </c>
      <c r="G112" s="16" t="str">
        <f>IF(ISNA(VLOOKUP(MID($A112,5,1),Kanji_2_HanViet!$A:$C,2,FALSE)),"",VLOOKUP(MID($A112,5,1),Kanji_2_HanViet!$A:$C,2,FALSE))</f>
        <v/>
      </c>
      <c r="H112" s="16" t="str">
        <f>IF(ISNA(VLOOKUP(MID($A112,6,1),Kanji_2_HanViet!$A:$C,2,FALSE)),"",VLOOKUP(MID($A112,6,1),Kanji_2_HanViet!$A:$C,2,FALSE))</f>
        <v/>
      </c>
      <c r="I112" s="16" t="str">
        <f>IF(ISNA(VLOOKUP(MID($A112,7,1),Kanji_2_HanViet!$A:$C,2,FALSE)),"",VLOOKUP(MID($A112,7,1),Kanji_2_HanViet!$A:$C,2,FALSE))</f>
        <v/>
      </c>
      <c r="J112" s="16" t="str">
        <f>IF(ISNA(VLOOKUP(MID($A112,8,1),Kanji_2_HanViet!$A:$C,2,FALSE)),"",VLOOKUP(MID($A112,8,1),Kanji_2_HanViet!$A:$C,2,FALSE))</f>
        <v/>
      </c>
      <c r="K112" s="16" t="str">
        <f>IF(ISNA(VLOOKUP(MID($A112,9,1),Kanji_2_HanViet!$A:$C,2,FALSE)),"",VLOOKUP(MID($A112,9,1),Kanji_2_HanViet!$A:$C,2,FALSE))</f>
        <v/>
      </c>
    </row>
    <row r="113" spans="1:11">
      <c r="A113" s="14">
        <f>Master!B120</f>
        <v>0</v>
      </c>
      <c r="B113" s="17" t="str">
        <f t="shared" si="1"/>
        <v/>
      </c>
      <c r="C113" s="16" t="str">
        <f>IF(ISNA(VLOOKUP(MID($A113,1,1),Kanji_2_HanViet!$A:$C,2,FALSE)),"",VLOOKUP(MID($A113,1,1),Kanji_2_HanViet!$A:$C,2,FALSE))</f>
        <v/>
      </c>
      <c r="D113" s="16" t="str">
        <f>IF(ISNA(VLOOKUP(MID($A113,2,1),Kanji_2_HanViet!$A:$C,2,FALSE)),"",VLOOKUP(MID($A113,2,1),Kanji_2_HanViet!$A:$C,2,FALSE))</f>
        <v/>
      </c>
      <c r="E113" s="16" t="str">
        <f>IF(ISNA(VLOOKUP(MID($A113,3,1),Kanji_2_HanViet!$A:$C,2,FALSE)),"",VLOOKUP(MID($A113,3,1),Kanji_2_HanViet!$A:$C,2,FALSE))</f>
        <v/>
      </c>
      <c r="F113" s="16" t="str">
        <f>IF(ISNA(VLOOKUP(MID($A113,4,1),Kanji_2_HanViet!$A:$C,2,FALSE)),"",VLOOKUP(MID($A113,4,1),Kanji_2_HanViet!$A:$C,2,FALSE))</f>
        <v/>
      </c>
      <c r="G113" s="16" t="str">
        <f>IF(ISNA(VLOOKUP(MID($A113,5,1),Kanji_2_HanViet!$A:$C,2,FALSE)),"",VLOOKUP(MID($A113,5,1),Kanji_2_HanViet!$A:$C,2,FALSE))</f>
        <v/>
      </c>
      <c r="H113" s="16" t="str">
        <f>IF(ISNA(VLOOKUP(MID($A113,6,1),Kanji_2_HanViet!$A:$C,2,FALSE)),"",VLOOKUP(MID($A113,6,1),Kanji_2_HanViet!$A:$C,2,FALSE))</f>
        <v/>
      </c>
      <c r="I113" s="16" t="str">
        <f>IF(ISNA(VLOOKUP(MID($A113,7,1),Kanji_2_HanViet!$A:$C,2,FALSE)),"",VLOOKUP(MID($A113,7,1),Kanji_2_HanViet!$A:$C,2,FALSE))</f>
        <v/>
      </c>
      <c r="J113" s="16" t="str">
        <f>IF(ISNA(VLOOKUP(MID($A113,8,1),Kanji_2_HanViet!$A:$C,2,FALSE)),"",VLOOKUP(MID($A113,8,1),Kanji_2_HanViet!$A:$C,2,FALSE))</f>
        <v/>
      </c>
      <c r="K113" s="16" t="str">
        <f>IF(ISNA(VLOOKUP(MID($A113,9,1),Kanji_2_HanViet!$A:$C,2,FALSE)),"",VLOOKUP(MID($A113,9,1),Kanji_2_HanViet!$A:$C,2,FALSE))</f>
        <v/>
      </c>
    </row>
    <row r="114" spans="1:11">
      <c r="A114" s="14">
        <f>Master!B121</f>
        <v>0</v>
      </c>
      <c r="B114" s="17" t="str">
        <f t="shared" si="1"/>
        <v/>
      </c>
      <c r="C114" s="16" t="str">
        <f>IF(ISNA(VLOOKUP(MID($A114,1,1),Kanji_2_HanViet!$A:$C,2,FALSE)),"",VLOOKUP(MID($A114,1,1),Kanji_2_HanViet!$A:$C,2,FALSE))</f>
        <v/>
      </c>
      <c r="D114" s="16" t="str">
        <f>IF(ISNA(VLOOKUP(MID($A114,2,1),Kanji_2_HanViet!$A:$C,2,FALSE)),"",VLOOKUP(MID($A114,2,1),Kanji_2_HanViet!$A:$C,2,FALSE))</f>
        <v/>
      </c>
      <c r="E114" s="16" t="str">
        <f>IF(ISNA(VLOOKUP(MID($A114,3,1),Kanji_2_HanViet!$A:$C,2,FALSE)),"",VLOOKUP(MID($A114,3,1),Kanji_2_HanViet!$A:$C,2,FALSE))</f>
        <v/>
      </c>
      <c r="F114" s="16" t="str">
        <f>IF(ISNA(VLOOKUP(MID($A114,4,1),Kanji_2_HanViet!$A:$C,2,FALSE)),"",VLOOKUP(MID($A114,4,1),Kanji_2_HanViet!$A:$C,2,FALSE))</f>
        <v/>
      </c>
      <c r="G114" s="16" t="str">
        <f>IF(ISNA(VLOOKUP(MID($A114,5,1),Kanji_2_HanViet!$A:$C,2,FALSE)),"",VLOOKUP(MID($A114,5,1),Kanji_2_HanViet!$A:$C,2,FALSE))</f>
        <v/>
      </c>
      <c r="H114" s="16" t="str">
        <f>IF(ISNA(VLOOKUP(MID($A114,6,1),Kanji_2_HanViet!$A:$C,2,FALSE)),"",VLOOKUP(MID($A114,6,1),Kanji_2_HanViet!$A:$C,2,FALSE))</f>
        <v/>
      </c>
      <c r="I114" s="16" t="str">
        <f>IF(ISNA(VLOOKUP(MID($A114,7,1),Kanji_2_HanViet!$A:$C,2,FALSE)),"",VLOOKUP(MID($A114,7,1),Kanji_2_HanViet!$A:$C,2,FALSE))</f>
        <v/>
      </c>
      <c r="J114" s="16" t="str">
        <f>IF(ISNA(VLOOKUP(MID($A114,8,1),Kanji_2_HanViet!$A:$C,2,FALSE)),"",VLOOKUP(MID($A114,8,1),Kanji_2_HanViet!$A:$C,2,FALSE))</f>
        <v/>
      </c>
      <c r="K114" s="16" t="str">
        <f>IF(ISNA(VLOOKUP(MID($A114,9,1),Kanji_2_HanViet!$A:$C,2,FALSE)),"",VLOOKUP(MID($A114,9,1),Kanji_2_HanViet!$A:$C,2,FALSE))</f>
        <v/>
      </c>
    </row>
    <row r="115" spans="1:11">
      <c r="A115" s="14">
        <f>Master!B122</f>
        <v>0</v>
      </c>
      <c r="B115" s="17" t="str">
        <f t="shared" si="1"/>
        <v/>
      </c>
      <c r="C115" s="16" t="str">
        <f>IF(ISNA(VLOOKUP(MID($A115,1,1),Kanji_2_HanViet!$A:$C,2,FALSE)),"",VLOOKUP(MID($A115,1,1),Kanji_2_HanViet!$A:$C,2,FALSE))</f>
        <v/>
      </c>
      <c r="D115" s="16" t="str">
        <f>IF(ISNA(VLOOKUP(MID($A115,2,1),Kanji_2_HanViet!$A:$C,2,FALSE)),"",VLOOKUP(MID($A115,2,1),Kanji_2_HanViet!$A:$C,2,FALSE))</f>
        <v/>
      </c>
      <c r="E115" s="16" t="str">
        <f>IF(ISNA(VLOOKUP(MID($A115,3,1),Kanji_2_HanViet!$A:$C,2,FALSE)),"",VLOOKUP(MID($A115,3,1),Kanji_2_HanViet!$A:$C,2,FALSE))</f>
        <v/>
      </c>
      <c r="F115" s="16" t="str">
        <f>IF(ISNA(VLOOKUP(MID($A115,4,1),Kanji_2_HanViet!$A:$C,2,FALSE)),"",VLOOKUP(MID($A115,4,1),Kanji_2_HanViet!$A:$C,2,FALSE))</f>
        <v/>
      </c>
      <c r="G115" s="16" t="str">
        <f>IF(ISNA(VLOOKUP(MID($A115,5,1),Kanji_2_HanViet!$A:$C,2,FALSE)),"",VLOOKUP(MID($A115,5,1),Kanji_2_HanViet!$A:$C,2,FALSE))</f>
        <v/>
      </c>
      <c r="H115" s="16" t="str">
        <f>IF(ISNA(VLOOKUP(MID($A115,6,1),Kanji_2_HanViet!$A:$C,2,FALSE)),"",VLOOKUP(MID($A115,6,1),Kanji_2_HanViet!$A:$C,2,FALSE))</f>
        <v/>
      </c>
      <c r="I115" s="16" t="str">
        <f>IF(ISNA(VLOOKUP(MID($A115,7,1),Kanji_2_HanViet!$A:$C,2,FALSE)),"",VLOOKUP(MID($A115,7,1),Kanji_2_HanViet!$A:$C,2,FALSE))</f>
        <v/>
      </c>
      <c r="J115" s="16" t="str">
        <f>IF(ISNA(VLOOKUP(MID($A115,8,1),Kanji_2_HanViet!$A:$C,2,FALSE)),"",VLOOKUP(MID($A115,8,1),Kanji_2_HanViet!$A:$C,2,FALSE))</f>
        <v/>
      </c>
      <c r="K115" s="16" t="str">
        <f>IF(ISNA(VLOOKUP(MID($A115,9,1),Kanji_2_HanViet!$A:$C,2,FALSE)),"",VLOOKUP(MID($A115,9,1),Kanji_2_HanViet!$A:$C,2,FALSE))</f>
        <v/>
      </c>
    </row>
    <row r="116" spans="1:11">
      <c r="A116" s="14">
        <f>Master!B123</f>
        <v>0</v>
      </c>
      <c r="B116" s="17" t="str">
        <f t="shared" si="1"/>
        <v/>
      </c>
      <c r="C116" s="16" t="str">
        <f>IF(ISNA(VLOOKUP(MID($A116,1,1),Kanji_2_HanViet!$A:$C,2,FALSE)),"",VLOOKUP(MID($A116,1,1),Kanji_2_HanViet!$A:$C,2,FALSE))</f>
        <v/>
      </c>
      <c r="D116" s="16" t="str">
        <f>IF(ISNA(VLOOKUP(MID($A116,2,1),Kanji_2_HanViet!$A:$C,2,FALSE)),"",VLOOKUP(MID($A116,2,1),Kanji_2_HanViet!$A:$C,2,FALSE))</f>
        <v/>
      </c>
      <c r="E116" s="16" t="str">
        <f>IF(ISNA(VLOOKUP(MID($A116,3,1),Kanji_2_HanViet!$A:$C,2,FALSE)),"",VLOOKUP(MID($A116,3,1),Kanji_2_HanViet!$A:$C,2,FALSE))</f>
        <v/>
      </c>
      <c r="F116" s="16" t="str">
        <f>IF(ISNA(VLOOKUP(MID($A116,4,1),Kanji_2_HanViet!$A:$C,2,FALSE)),"",VLOOKUP(MID($A116,4,1),Kanji_2_HanViet!$A:$C,2,FALSE))</f>
        <v/>
      </c>
      <c r="G116" s="16" t="str">
        <f>IF(ISNA(VLOOKUP(MID($A116,5,1),Kanji_2_HanViet!$A:$C,2,FALSE)),"",VLOOKUP(MID($A116,5,1),Kanji_2_HanViet!$A:$C,2,FALSE))</f>
        <v/>
      </c>
      <c r="H116" s="16" t="str">
        <f>IF(ISNA(VLOOKUP(MID($A116,6,1),Kanji_2_HanViet!$A:$C,2,FALSE)),"",VLOOKUP(MID($A116,6,1),Kanji_2_HanViet!$A:$C,2,FALSE))</f>
        <v/>
      </c>
      <c r="I116" s="16" t="str">
        <f>IF(ISNA(VLOOKUP(MID($A116,7,1),Kanji_2_HanViet!$A:$C,2,FALSE)),"",VLOOKUP(MID($A116,7,1),Kanji_2_HanViet!$A:$C,2,FALSE))</f>
        <v/>
      </c>
      <c r="J116" s="16" t="str">
        <f>IF(ISNA(VLOOKUP(MID($A116,8,1),Kanji_2_HanViet!$A:$C,2,FALSE)),"",VLOOKUP(MID($A116,8,1),Kanji_2_HanViet!$A:$C,2,FALSE))</f>
        <v/>
      </c>
      <c r="K116" s="16" t="str">
        <f>IF(ISNA(VLOOKUP(MID($A116,9,1),Kanji_2_HanViet!$A:$C,2,FALSE)),"",VLOOKUP(MID($A116,9,1),Kanji_2_HanViet!$A:$C,2,FALSE))</f>
        <v/>
      </c>
    </row>
    <row r="117" spans="1:11">
      <c r="A117" s="14">
        <f>Master!B124</f>
        <v>0</v>
      </c>
      <c r="B117" s="17" t="str">
        <f t="shared" si="1"/>
        <v/>
      </c>
      <c r="C117" s="16" t="str">
        <f>IF(ISNA(VLOOKUP(MID($A117,1,1),Kanji_2_HanViet!$A:$C,2,FALSE)),"",VLOOKUP(MID($A117,1,1),Kanji_2_HanViet!$A:$C,2,FALSE))</f>
        <v/>
      </c>
      <c r="D117" s="16" t="str">
        <f>IF(ISNA(VLOOKUP(MID($A117,2,1),Kanji_2_HanViet!$A:$C,2,FALSE)),"",VLOOKUP(MID($A117,2,1),Kanji_2_HanViet!$A:$C,2,FALSE))</f>
        <v/>
      </c>
      <c r="E117" s="16" t="str">
        <f>IF(ISNA(VLOOKUP(MID($A117,3,1),Kanji_2_HanViet!$A:$C,2,FALSE)),"",VLOOKUP(MID($A117,3,1),Kanji_2_HanViet!$A:$C,2,FALSE))</f>
        <v/>
      </c>
      <c r="F117" s="16" t="str">
        <f>IF(ISNA(VLOOKUP(MID($A117,4,1),Kanji_2_HanViet!$A:$C,2,FALSE)),"",VLOOKUP(MID($A117,4,1),Kanji_2_HanViet!$A:$C,2,FALSE))</f>
        <v/>
      </c>
      <c r="G117" s="16" t="str">
        <f>IF(ISNA(VLOOKUP(MID($A117,5,1),Kanji_2_HanViet!$A:$C,2,FALSE)),"",VLOOKUP(MID($A117,5,1),Kanji_2_HanViet!$A:$C,2,FALSE))</f>
        <v/>
      </c>
      <c r="H117" s="16" t="str">
        <f>IF(ISNA(VLOOKUP(MID($A117,6,1),Kanji_2_HanViet!$A:$C,2,FALSE)),"",VLOOKUP(MID($A117,6,1),Kanji_2_HanViet!$A:$C,2,FALSE))</f>
        <v/>
      </c>
      <c r="I117" s="16" t="str">
        <f>IF(ISNA(VLOOKUP(MID($A117,7,1),Kanji_2_HanViet!$A:$C,2,FALSE)),"",VLOOKUP(MID($A117,7,1),Kanji_2_HanViet!$A:$C,2,FALSE))</f>
        <v/>
      </c>
      <c r="J117" s="16" t="str">
        <f>IF(ISNA(VLOOKUP(MID($A117,8,1),Kanji_2_HanViet!$A:$C,2,FALSE)),"",VLOOKUP(MID($A117,8,1),Kanji_2_HanViet!$A:$C,2,FALSE))</f>
        <v/>
      </c>
      <c r="K117" s="16" t="str">
        <f>IF(ISNA(VLOOKUP(MID($A117,9,1),Kanji_2_HanViet!$A:$C,2,FALSE)),"",VLOOKUP(MID($A117,9,1),Kanji_2_HanViet!$A:$C,2,FALSE))</f>
        <v/>
      </c>
    </row>
    <row r="118" spans="1:11">
      <c r="A118" s="14">
        <f>Master!B125</f>
        <v>0</v>
      </c>
      <c r="B118" s="17" t="str">
        <f t="shared" si="1"/>
        <v/>
      </c>
      <c r="C118" s="16" t="str">
        <f>IF(ISNA(VLOOKUP(MID($A118,1,1),Kanji_2_HanViet!$A:$C,2,FALSE)),"",VLOOKUP(MID($A118,1,1),Kanji_2_HanViet!$A:$C,2,FALSE))</f>
        <v/>
      </c>
      <c r="D118" s="16" t="str">
        <f>IF(ISNA(VLOOKUP(MID($A118,2,1),Kanji_2_HanViet!$A:$C,2,FALSE)),"",VLOOKUP(MID($A118,2,1),Kanji_2_HanViet!$A:$C,2,FALSE))</f>
        <v/>
      </c>
      <c r="E118" s="16" t="str">
        <f>IF(ISNA(VLOOKUP(MID($A118,3,1),Kanji_2_HanViet!$A:$C,2,FALSE)),"",VLOOKUP(MID($A118,3,1),Kanji_2_HanViet!$A:$C,2,FALSE))</f>
        <v/>
      </c>
      <c r="F118" s="16" t="str">
        <f>IF(ISNA(VLOOKUP(MID($A118,4,1),Kanji_2_HanViet!$A:$C,2,FALSE)),"",VLOOKUP(MID($A118,4,1),Kanji_2_HanViet!$A:$C,2,FALSE))</f>
        <v/>
      </c>
      <c r="G118" s="16" t="str">
        <f>IF(ISNA(VLOOKUP(MID($A118,5,1),Kanji_2_HanViet!$A:$C,2,FALSE)),"",VLOOKUP(MID($A118,5,1),Kanji_2_HanViet!$A:$C,2,FALSE))</f>
        <v/>
      </c>
      <c r="H118" s="16" t="str">
        <f>IF(ISNA(VLOOKUP(MID($A118,6,1),Kanji_2_HanViet!$A:$C,2,FALSE)),"",VLOOKUP(MID($A118,6,1),Kanji_2_HanViet!$A:$C,2,FALSE))</f>
        <v/>
      </c>
      <c r="I118" s="16" t="str">
        <f>IF(ISNA(VLOOKUP(MID($A118,7,1),Kanji_2_HanViet!$A:$C,2,FALSE)),"",VLOOKUP(MID($A118,7,1),Kanji_2_HanViet!$A:$C,2,FALSE))</f>
        <v/>
      </c>
      <c r="J118" s="16" t="str">
        <f>IF(ISNA(VLOOKUP(MID($A118,8,1),Kanji_2_HanViet!$A:$C,2,FALSE)),"",VLOOKUP(MID($A118,8,1),Kanji_2_HanViet!$A:$C,2,FALSE))</f>
        <v/>
      </c>
      <c r="K118" s="16" t="str">
        <f>IF(ISNA(VLOOKUP(MID($A118,9,1),Kanji_2_HanViet!$A:$C,2,FALSE)),"",VLOOKUP(MID($A118,9,1),Kanji_2_HanViet!$A:$C,2,FALSE))</f>
        <v/>
      </c>
    </row>
    <row r="119" spans="1:11">
      <c r="A119" s="14">
        <f>Master!B126</f>
        <v>0</v>
      </c>
      <c r="B119" s="17" t="str">
        <f t="shared" si="1"/>
        <v/>
      </c>
      <c r="C119" s="16" t="str">
        <f>IF(ISNA(VLOOKUP(MID($A119,1,1),Kanji_2_HanViet!$A:$C,2,FALSE)),"",VLOOKUP(MID($A119,1,1),Kanji_2_HanViet!$A:$C,2,FALSE))</f>
        <v/>
      </c>
      <c r="D119" s="16" t="str">
        <f>IF(ISNA(VLOOKUP(MID($A119,2,1),Kanji_2_HanViet!$A:$C,2,FALSE)),"",VLOOKUP(MID($A119,2,1),Kanji_2_HanViet!$A:$C,2,FALSE))</f>
        <v/>
      </c>
      <c r="E119" s="16" t="str">
        <f>IF(ISNA(VLOOKUP(MID($A119,3,1),Kanji_2_HanViet!$A:$C,2,FALSE)),"",VLOOKUP(MID($A119,3,1),Kanji_2_HanViet!$A:$C,2,FALSE))</f>
        <v/>
      </c>
      <c r="F119" s="16" t="str">
        <f>IF(ISNA(VLOOKUP(MID($A119,4,1),Kanji_2_HanViet!$A:$C,2,FALSE)),"",VLOOKUP(MID($A119,4,1),Kanji_2_HanViet!$A:$C,2,FALSE))</f>
        <v/>
      </c>
      <c r="G119" s="16" t="str">
        <f>IF(ISNA(VLOOKUP(MID($A119,5,1),Kanji_2_HanViet!$A:$C,2,FALSE)),"",VLOOKUP(MID($A119,5,1),Kanji_2_HanViet!$A:$C,2,FALSE))</f>
        <v/>
      </c>
      <c r="H119" s="16" t="str">
        <f>IF(ISNA(VLOOKUP(MID($A119,6,1),Kanji_2_HanViet!$A:$C,2,FALSE)),"",VLOOKUP(MID($A119,6,1),Kanji_2_HanViet!$A:$C,2,FALSE))</f>
        <v/>
      </c>
      <c r="I119" s="16" t="str">
        <f>IF(ISNA(VLOOKUP(MID($A119,7,1),Kanji_2_HanViet!$A:$C,2,FALSE)),"",VLOOKUP(MID($A119,7,1),Kanji_2_HanViet!$A:$C,2,FALSE))</f>
        <v/>
      </c>
      <c r="J119" s="16" t="str">
        <f>IF(ISNA(VLOOKUP(MID($A119,8,1),Kanji_2_HanViet!$A:$C,2,FALSE)),"",VLOOKUP(MID($A119,8,1),Kanji_2_HanViet!$A:$C,2,FALSE))</f>
        <v/>
      </c>
      <c r="K119" s="16" t="str">
        <f>IF(ISNA(VLOOKUP(MID($A119,9,1),Kanji_2_HanViet!$A:$C,2,FALSE)),"",VLOOKUP(MID($A119,9,1),Kanji_2_HanViet!$A:$C,2,FALSE))</f>
        <v/>
      </c>
    </row>
    <row r="120" spans="1:11">
      <c r="A120" s="14">
        <f>Master!B127</f>
        <v>0</v>
      </c>
      <c r="B120" s="17" t="str">
        <f t="shared" si="1"/>
        <v/>
      </c>
      <c r="C120" s="16" t="str">
        <f>IF(ISNA(VLOOKUP(MID($A120,1,1),Kanji_2_HanViet!$A:$C,2,FALSE)),"",VLOOKUP(MID($A120,1,1),Kanji_2_HanViet!$A:$C,2,FALSE))</f>
        <v/>
      </c>
      <c r="D120" s="16" t="str">
        <f>IF(ISNA(VLOOKUP(MID($A120,2,1),Kanji_2_HanViet!$A:$C,2,FALSE)),"",VLOOKUP(MID($A120,2,1),Kanji_2_HanViet!$A:$C,2,FALSE))</f>
        <v/>
      </c>
      <c r="E120" s="16" t="str">
        <f>IF(ISNA(VLOOKUP(MID($A120,3,1),Kanji_2_HanViet!$A:$C,2,FALSE)),"",VLOOKUP(MID($A120,3,1),Kanji_2_HanViet!$A:$C,2,FALSE))</f>
        <v/>
      </c>
      <c r="F120" s="16" t="str">
        <f>IF(ISNA(VLOOKUP(MID($A120,4,1),Kanji_2_HanViet!$A:$C,2,FALSE)),"",VLOOKUP(MID($A120,4,1),Kanji_2_HanViet!$A:$C,2,FALSE))</f>
        <v/>
      </c>
      <c r="G120" s="16" t="str">
        <f>IF(ISNA(VLOOKUP(MID($A120,5,1),Kanji_2_HanViet!$A:$C,2,FALSE)),"",VLOOKUP(MID($A120,5,1),Kanji_2_HanViet!$A:$C,2,FALSE))</f>
        <v/>
      </c>
      <c r="H120" s="16" t="str">
        <f>IF(ISNA(VLOOKUP(MID($A120,6,1),Kanji_2_HanViet!$A:$C,2,FALSE)),"",VLOOKUP(MID($A120,6,1),Kanji_2_HanViet!$A:$C,2,FALSE))</f>
        <v/>
      </c>
      <c r="I120" s="16" t="str">
        <f>IF(ISNA(VLOOKUP(MID($A120,7,1),Kanji_2_HanViet!$A:$C,2,FALSE)),"",VLOOKUP(MID($A120,7,1),Kanji_2_HanViet!$A:$C,2,FALSE))</f>
        <v/>
      </c>
      <c r="J120" s="16" t="str">
        <f>IF(ISNA(VLOOKUP(MID($A120,8,1),Kanji_2_HanViet!$A:$C,2,FALSE)),"",VLOOKUP(MID($A120,8,1),Kanji_2_HanViet!$A:$C,2,FALSE))</f>
        <v/>
      </c>
      <c r="K120" s="16" t="str">
        <f>IF(ISNA(VLOOKUP(MID($A120,9,1),Kanji_2_HanViet!$A:$C,2,FALSE)),"",VLOOKUP(MID($A120,9,1),Kanji_2_HanViet!$A:$C,2,FALSE))</f>
        <v/>
      </c>
    </row>
    <row r="121" spans="1:11">
      <c r="A121" s="14">
        <f>Master!B128</f>
        <v>0</v>
      </c>
      <c r="B121" s="17" t="str">
        <f t="shared" si="1"/>
        <v/>
      </c>
      <c r="C121" s="16" t="str">
        <f>IF(ISNA(VLOOKUP(MID($A121,1,1),Kanji_2_HanViet!$A:$C,2,FALSE)),"",VLOOKUP(MID($A121,1,1),Kanji_2_HanViet!$A:$C,2,FALSE))</f>
        <v/>
      </c>
      <c r="D121" s="16" t="str">
        <f>IF(ISNA(VLOOKUP(MID($A121,2,1),Kanji_2_HanViet!$A:$C,2,FALSE)),"",VLOOKUP(MID($A121,2,1),Kanji_2_HanViet!$A:$C,2,FALSE))</f>
        <v/>
      </c>
      <c r="E121" s="16" t="str">
        <f>IF(ISNA(VLOOKUP(MID($A121,3,1),Kanji_2_HanViet!$A:$C,2,FALSE)),"",VLOOKUP(MID($A121,3,1),Kanji_2_HanViet!$A:$C,2,FALSE))</f>
        <v/>
      </c>
      <c r="F121" s="16" t="str">
        <f>IF(ISNA(VLOOKUP(MID($A121,4,1),Kanji_2_HanViet!$A:$C,2,FALSE)),"",VLOOKUP(MID($A121,4,1),Kanji_2_HanViet!$A:$C,2,FALSE))</f>
        <v/>
      </c>
      <c r="G121" s="16" t="str">
        <f>IF(ISNA(VLOOKUP(MID($A121,5,1),Kanji_2_HanViet!$A:$C,2,FALSE)),"",VLOOKUP(MID($A121,5,1),Kanji_2_HanViet!$A:$C,2,FALSE))</f>
        <v/>
      </c>
      <c r="H121" s="16" t="str">
        <f>IF(ISNA(VLOOKUP(MID($A121,6,1),Kanji_2_HanViet!$A:$C,2,FALSE)),"",VLOOKUP(MID($A121,6,1),Kanji_2_HanViet!$A:$C,2,FALSE))</f>
        <v/>
      </c>
      <c r="I121" s="16" t="str">
        <f>IF(ISNA(VLOOKUP(MID($A121,7,1),Kanji_2_HanViet!$A:$C,2,FALSE)),"",VLOOKUP(MID($A121,7,1),Kanji_2_HanViet!$A:$C,2,FALSE))</f>
        <v/>
      </c>
      <c r="J121" s="16" t="str">
        <f>IF(ISNA(VLOOKUP(MID($A121,8,1),Kanji_2_HanViet!$A:$C,2,FALSE)),"",VLOOKUP(MID($A121,8,1),Kanji_2_HanViet!$A:$C,2,FALSE))</f>
        <v/>
      </c>
      <c r="K121" s="16" t="str">
        <f>IF(ISNA(VLOOKUP(MID($A121,9,1),Kanji_2_HanViet!$A:$C,2,FALSE)),"",VLOOKUP(MID($A121,9,1),Kanji_2_HanViet!$A:$C,2,FALSE))</f>
        <v/>
      </c>
    </row>
    <row r="122" spans="1:11">
      <c r="A122" s="14">
        <f>Master!B129</f>
        <v>0</v>
      </c>
      <c r="B122" s="17" t="str">
        <f t="shared" si="1"/>
        <v/>
      </c>
      <c r="C122" s="16" t="str">
        <f>IF(ISNA(VLOOKUP(MID($A122,1,1),Kanji_2_HanViet!$A:$C,2,FALSE)),"",VLOOKUP(MID($A122,1,1),Kanji_2_HanViet!$A:$C,2,FALSE))</f>
        <v/>
      </c>
      <c r="D122" s="16" t="str">
        <f>IF(ISNA(VLOOKUP(MID($A122,2,1),Kanji_2_HanViet!$A:$C,2,FALSE)),"",VLOOKUP(MID($A122,2,1),Kanji_2_HanViet!$A:$C,2,FALSE))</f>
        <v/>
      </c>
      <c r="E122" s="16" t="str">
        <f>IF(ISNA(VLOOKUP(MID($A122,3,1),Kanji_2_HanViet!$A:$C,2,FALSE)),"",VLOOKUP(MID($A122,3,1),Kanji_2_HanViet!$A:$C,2,FALSE))</f>
        <v/>
      </c>
      <c r="F122" s="16" t="str">
        <f>IF(ISNA(VLOOKUP(MID($A122,4,1),Kanji_2_HanViet!$A:$C,2,FALSE)),"",VLOOKUP(MID($A122,4,1),Kanji_2_HanViet!$A:$C,2,FALSE))</f>
        <v/>
      </c>
      <c r="G122" s="16" t="str">
        <f>IF(ISNA(VLOOKUP(MID($A122,5,1),Kanji_2_HanViet!$A:$C,2,FALSE)),"",VLOOKUP(MID($A122,5,1),Kanji_2_HanViet!$A:$C,2,FALSE))</f>
        <v/>
      </c>
      <c r="H122" s="16" t="str">
        <f>IF(ISNA(VLOOKUP(MID($A122,6,1),Kanji_2_HanViet!$A:$C,2,FALSE)),"",VLOOKUP(MID($A122,6,1),Kanji_2_HanViet!$A:$C,2,FALSE))</f>
        <v/>
      </c>
      <c r="I122" s="16" t="str">
        <f>IF(ISNA(VLOOKUP(MID($A122,7,1),Kanji_2_HanViet!$A:$C,2,FALSE)),"",VLOOKUP(MID($A122,7,1),Kanji_2_HanViet!$A:$C,2,FALSE))</f>
        <v/>
      </c>
      <c r="J122" s="16" t="str">
        <f>IF(ISNA(VLOOKUP(MID($A122,8,1),Kanji_2_HanViet!$A:$C,2,FALSE)),"",VLOOKUP(MID($A122,8,1),Kanji_2_HanViet!$A:$C,2,FALSE))</f>
        <v/>
      </c>
      <c r="K122" s="16" t="str">
        <f>IF(ISNA(VLOOKUP(MID($A122,9,1),Kanji_2_HanViet!$A:$C,2,FALSE)),"",VLOOKUP(MID($A122,9,1),Kanji_2_HanViet!$A:$C,2,FALSE))</f>
        <v/>
      </c>
    </row>
    <row r="123" spans="1:11">
      <c r="A123" s="14">
        <f>Master!B130</f>
        <v>0</v>
      </c>
      <c r="B123" s="17" t="str">
        <f t="shared" si="1"/>
        <v/>
      </c>
      <c r="C123" s="16" t="str">
        <f>IF(ISNA(VLOOKUP(MID($A123,1,1),Kanji_2_HanViet!$A:$C,2,FALSE)),"",VLOOKUP(MID($A123,1,1),Kanji_2_HanViet!$A:$C,2,FALSE))</f>
        <v/>
      </c>
      <c r="D123" s="16" t="str">
        <f>IF(ISNA(VLOOKUP(MID($A123,2,1),Kanji_2_HanViet!$A:$C,2,FALSE)),"",VLOOKUP(MID($A123,2,1),Kanji_2_HanViet!$A:$C,2,FALSE))</f>
        <v/>
      </c>
      <c r="E123" s="16" t="str">
        <f>IF(ISNA(VLOOKUP(MID($A123,3,1),Kanji_2_HanViet!$A:$C,2,FALSE)),"",VLOOKUP(MID($A123,3,1),Kanji_2_HanViet!$A:$C,2,FALSE))</f>
        <v/>
      </c>
      <c r="F123" s="16" t="str">
        <f>IF(ISNA(VLOOKUP(MID($A123,4,1),Kanji_2_HanViet!$A:$C,2,FALSE)),"",VLOOKUP(MID($A123,4,1),Kanji_2_HanViet!$A:$C,2,FALSE))</f>
        <v/>
      </c>
      <c r="G123" s="16" t="str">
        <f>IF(ISNA(VLOOKUP(MID($A123,5,1),Kanji_2_HanViet!$A:$C,2,FALSE)),"",VLOOKUP(MID($A123,5,1),Kanji_2_HanViet!$A:$C,2,FALSE))</f>
        <v/>
      </c>
      <c r="H123" s="16" t="str">
        <f>IF(ISNA(VLOOKUP(MID($A123,6,1),Kanji_2_HanViet!$A:$C,2,FALSE)),"",VLOOKUP(MID($A123,6,1),Kanji_2_HanViet!$A:$C,2,FALSE))</f>
        <v/>
      </c>
      <c r="I123" s="16" t="str">
        <f>IF(ISNA(VLOOKUP(MID($A123,7,1),Kanji_2_HanViet!$A:$C,2,FALSE)),"",VLOOKUP(MID($A123,7,1),Kanji_2_HanViet!$A:$C,2,FALSE))</f>
        <v/>
      </c>
      <c r="J123" s="16" t="str">
        <f>IF(ISNA(VLOOKUP(MID($A123,8,1),Kanji_2_HanViet!$A:$C,2,FALSE)),"",VLOOKUP(MID($A123,8,1),Kanji_2_HanViet!$A:$C,2,FALSE))</f>
        <v/>
      </c>
      <c r="K123" s="16" t="str">
        <f>IF(ISNA(VLOOKUP(MID($A123,9,1),Kanji_2_HanViet!$A:$C,2,FALSE)),"",VLOOKUP(MID($A123,9,1),Kanji_2_HanViet!$A:$C,2,FALSE))</f>
        <v/>
      </c>
    </row>
    <row r="124" spans="1:11">
      <c r="A124" s="14">
        <f>Master!B131</f>
        <v>0</v>
      </c>
      <c r="B124" s="17" t="str">
        <f t="shared" si="1"/>
        <v/>
      </c>
      <c r="C124" s="16" t="str">
        <f>IF(ISNA(VLOOKUP(MID($A124,1,1),Kanji_2_HanViet!$A:$C,2,FALSE)),"",VLOOKUP(MID($A124,1,1),Kanji_2_HanViet!$A:$C,2,FALSE))</f>
        <v/>
      </c>
      <c r="D124" s="16" t="str">
        <f>IF(ISNA(VLOOKUP(MID($A124,2,1),Kanji_2_HanViet!$A:$C,2,FALSE)),"",VLOOKUP(MID($A124,2,1),Kanji_2_HanViet!$A:$C,2,FALSE))</f>
        <v/>
      </c>
      <c r="E124" s="16" t="str">
        <f>IF(ISNA(VLOOKUP(MID($A124,3,1),Kanji_2_HanViet!$A:$C,2,FALSE)),"",VLOOKUP(MID($A124,3,1),Kanji_2_HanViet!$A:$C,2,FALSE))</f>
        <v/>
      </c>
      <c r="F124" s="16" t="str">
        <f>IF(ISNA(VLOOKUP(MID($A124,4,1),Kanji_2_HanViet!$A:$C,2,FALSE)),"",VLOOKUP(MID($A124,4,1),Kanji_2_HanViet!$A:$C,2,FALSE))</f>
        <v/>
      </c>
      <c r="G124" s="16" t="str">
        <f>IF(ISNA(VLOOKUP(MID($A124,5,1),Kanji_2_HanViet!$A:$C,2,FALSE)),"",VLOOKUP(MID($A124,5,1),Kanji_2_HanViet!$A:$C,2,FALSE))</f>
        <v/>
      </c>
      <c r="H124" s="16" t="str">
        <f>IF(ISNA(VLOOKUP(MID($A124,6,1),Kanji_2_HanViet!$A:$C,2,FALSE)),"",VLOOKUP(MID($A124,6,1),Kanji_2_HanViet!$A:$C,2,FALSE))</f>
        <v/>
      </c>
      <c r="I124" s="16" t="str">
        <f>IF(ISNA(VLOOKUP(MID($A124,7,1),Kanji_2_HanViet!$A:$C,2,FALSE)),"",VLOOKUP(MID($A124,7,1),Kanji_2_HanViet!$A:$C,2,FALSE))</f>
        <v/>
      </c>
      <c r="J124" s="16" t="str">
        <f>IF(ISNA(VLOOKUP(MID($A124,8,1),Kanji_2_HanViet!$A:$C,2,FALSE)),"",VLOOKUP(MID($A124,8,1),Kanji_2_HanViet!$A:$C,2,FALSE))</f>
        <v/>
      </c>
      <c r="K124" s="16" t="str">
        <f>IF(ISNA(VLOOKUP(MID($A124,9,1),Kanji_2_HanViet!$A:$C,2,FALSE)),"",VLOOKUP(MID($A124,9,1),Kanji_2_HanViet!$A:$C,2,FALSE))</f>
        <v/>
      </c>
    </row>
    <row r="125" spans="1:11">
      <c r="A125" s="14">
        <f>Master!B132</f>
        <v>0</v>
      </c>
      <c r="B125" s="17" t="str">
        <f t="shared" si="1"/>
        <v/>
      </c>
      <c r="C125" s="16" t="str">
        <f>IF(ISNA(VLOOKUP(MID($A125,1,1),Kanji_2_HanViet!$A:$C,2,FALSE)),"",VLOOKUP(MID($A125,1,1),Kanji_2_HanViet!$A:$C,2,FALSE))</f>
        <v/>
      </c>
      <c r="D125" s="16" t="str">
        <f>IF(ISNA(VLOOKUP(MID($A125,2,1),Kanji_2_HanViet!$A:$C,2,FALSE)),"",VLOOKUP(MID($A125,2,1),Kanji_2_HanViet!$A:$C,2,FALSE))</f>
        <v/>
      </c>
      <c r="E125" s="16" t="str">
        <f>IF(ISNA(VLOOKUP(MID($A125,3,1),Kanji_2_HanViet!$A:$C,2,FALSE)),"",VLOOKUP(MID($A125,3,1),Kanji_2_HanViet!$A:$C,2,FALSE))</f>
        <v/>
      </c>
      <c r="F125" s="16" t="str">
        <f>IF(ISNA(VLOOKUP(MID($A125,4,1),Kanji_2_HanViet!$A:$C,2,FALSE)),"",VLOOKUP(MID($A125,4,1),Kanji_2_HanViet!$A:$C,2,FALSE))</f>
        <v/>
      </c>
      <c r="G125" s="16" t="str">
        <f>IF(ISNA(VLOOKUP(MID($A125,5,1),Kanji_2_HanViet!$A:$C,2,FALSE)),"",VLOOKUP(MID($A125,5,1),Kanji_2_HanViet!$A:$C,2,FALSE))</f>
        <v/>
      </c>
      <c r="H125" s="16" t="str">
        <f>IF(ISNA(VLOOKUP(MID($A125,6,1),Kanji_2_HanViet!$A:$C,2,FALSE)),"",VLOOKUP(MID($A125,6,1),Kanji_2_HanViet!$A:$C,2,FALSE))</f>
        <v/>
      </c>
      <c r="I125" s="16" t="str">
        <f>IF(ISNA(VLOOKUP(MID($A125,7,1),Kanji_2_HanViet!$A:$C,2,FALSE)),"",VLOOKUP(MID($A125,7,1),Kanji_2_HanViet!$A:$C,2,FALSE))</f>
        <v/>
      </c>
      <c r="J125" s="16" t="str">
        <f>IF(ISNA(VLOOKUP(MID($A125,8,1),Kanji_2_HanViet!$A:$C,2,FALSE)),"",VLOOKUP(MID($A125,8,1),Kanji_2_HanViet!$A:$C,2,FALSE))</f>
        <v/>
      </c>
      <c r="K125" s="16" t="str">
        <f>IF(ISNA(VLOOKUP(MID($A125,9,1),Kanji_2_HanViet!$A:$C,2,FALSE)),"",VLOOKUP(MID($A125,9,1),Kanji_2_HanViet!$A:$C,2,FALSE))</f>
        <v/>
      </c>
    </row>
    <row r="126" spans="1:11">
      <c r="A126" s="14">
        <f>Master!B133</f>
        <v>0</v>
      </c>
      <c r="B126" s="17" t="str">
        <f t="shared" si="1"/>
        <v/>
      </c>
      <c r="C126" s="16" t="str">
        <f>IF(ISNA(VLOOKUP(MID($A126,1,1),Kanji_2_HanViet!$A:$C,2,FALSE)),"",VLOOKUP(MID($A126,1,1),Kanji_2_HanViet!$A:$C,2,FALSE))</f>
        <v/>
      </c>
      <c r="D126" s="16" t="str">
        <f>IF(ISNA(VLOOKUP(MID($A126,2,1),Kanji_2_HanViet!$A:$C,2,FALSE)),"",VLOOKUP(MID($A126,2,1),Kanji_2_HanViet!$A:$C,2,FALSE))</f>
        <v/>
      </c>
      <c r="E126" s="16" t="str">
        <f>IF(ISNA(VLOOKUP(MID($A126,3,1),Kanji_2_HanViet!$A:$C,2,FALSE)),"",VLOOKUP(MID($A126,3,1),Kanji_2_HanViet!$A:$C,2,FALSE))</f>
        <v/>
      </c>
      <c r="F126" s="16" t="str">
        <f>IF(ISNA(VLOOKUP(MID($A126,4,1),Kanji_2_HanViet!$A:$C,2,FALSE)),"",VLOOKUP(MID($A126,4,1),Kanji_2_HanViet!$A:$C,2,FALSE))</f>
        <v/>
      </c>
      <c r="G126" s="16" t="str">
        <f>IF(ISNA(VLOOKUP(MID($A126,5,1),Kanji_2_HanViet!$A:$C,2,FALSE)),"",VLOOKUP(MID($A126,5,1),Kanji_2_HanViet!$A:$C,2,FALSE))</f>
        <v/>
      </c>
      <c r="H126" s="16" t="str">
        <f>IF(ISNA(VLOOKUP(MID($A126,6,1),Kanji_2_HanViet!$A:$C,2,FALSE)),"",VLOOKUP(MID($A126,6,1),Kanji_2_HanViet!$A:$C,2,FALSE))</f>
        <v/>
      </c>
      <c r="I126" s="16" t="str">
        <f>IF(ISNA(VLOOKUP(MID($A126,7,1),Kanji_2_HanViet!$A:$C,2,FALSE)),"",VLOOKUP(MID($A126,7,1),Kanji_2_HanViet!$A:$C,2,FALSE))</f>
        <v/>
      </c>
      <c r="J126" s="16" t="str">
        <f>IF(ISNA(VLOOKUP(MID($A126,8,1),Kanji_2_HanViet!$A:$C,2,FALSE)),"",VLOOKUP(MID($A126,8,1),Kanji_2_HanViet!$A:$C,2,FALSE))</f>
        <v/>
      </c>
      <c r="K126" s="16" t="str">
        <f>IF(ISNA(VLOOKUP(MID($A126,9,1),Kanji_2_HanViet!$A:$C,2,FALSE)),"",VLOOKUP(MID($A126,9,1),Kanji_2_HanViet!$A:$C,2,FALSE))</f>
        <v/>
      </c>
    </row>
    <row r="127" spans="1:11">
      <c r="A127" s="14">
        <f>Master!B134</f>
        <v>0</v>
      </c>
      <c r="B127" s="17" t="str">
        <f t="shared" si="1"/>
        <v/>
      </c>
      <c r="C127" s="16" t="str">
        <f>IF(ISNA(VLOOKUP(MID($A127,1,1),Kanji_2_HanViet!$A:$C,2,FALSE)),"",VLOOKUP(MID($A127,1,1),Kanji_2_HanViet!$A:$C,2,FALSE))</f>
        <v/>
      </c>
      <c r="D127" s="16" t="str">
        <f>IF(ISNA(VLOOKUP(MID($A127,2,1),Kanji_2_HanViet!$A:$C,2,FALSE)),"",VLOOKUP(MID($A127,2,1),Kanji_2_HanViet!$A:$C,2,FALSE))</f>
        <v/>
      </c>
      <c r="E127" s="16" t="str">
        <f>IF(ISNA(VLOOKUP(MID($A127,3,1),Kanji_2_HanViet!$A:$C,2,FALSE)),"",VLOOKUP(MID($A127,3,1),Kanji_2_HanViet!$A:$C,2,FALSE))</f>
        <v/>
      </c>
      <c r="F127" s="16" t="str">
        <f>IF(ISNA(VLOOKUP(MID($A127,4,1),Kanji_2_HanViet!$A:$C,2,FALSE)),"",VLOOKUP(MID($A127,4,1),Kanji_2_HanViet!$A:$C,2,FALSE))</f>
        <v/>
      </c>
      <c r="G127" s="16" t="str">
        <f>IF(ISNA(VLOOKUP(MID($A127,5,1),Kanji_2_HanViet!$A:$C,2,FALSE)),"",VLOOKUP(MID($A127,5,1),Kanji_2_HanViet!$A:$C,2,FALSE))</f>
        <v/>
      </c>
      <c r="H127" s="16" t="str">
        <f>IF(ISNA(VLOOKUP(MID($A127,6,1),Kanji_2_HanViet!$A:$C,2,FALSE)),"",VLOOKUP(MID($A127,6,1),Kanji_2_HanViet!$A:$C,2,FALSE))</f>
        <v/>
      </c>
      <c r="I127" s="16" t="str">
        <f>IF(ISNA(VLOOKUP(MID($A127,7,1),Kanji_2_HanViet!$A:$C,2,FALSE)),"",VLOOKUP(MID($A127,7,1),Kanji_2_HanViet!$A:$C,2,FALSE))</f>
        <v/>
      </c>
      <c r="J127" s="16" t="str">
        <f>IF(ISNA(VLOOKUP(MID($A127,8,1),Kanji_2_HanViet!$A:$C,2,FALSE)),"",VLOOKUP(MID($A127,8,1),Kanji_2_HanViet!$A:$C,2,FALSE))</f>
        <v/>
      </c>
      <c r="K127" s="16" t="str">
        <f>IF(ISNA(VLOOKUP(MID($A127,9,1),Kanji_2_HanViet!$A:$C,2,FALSE)),"",VLOOKUP(MID($A127,9,1),Kanji_2_HanViet!$A:$C,2,FALSE))</f>
        <v/>
      </c>
    </row>
    <row r="128" spans="1:11">
      <c r="A128" s="14">
        <f>Master!B135</f>
        <v>0</v>
      </c>
      <c r="B128" s="17" t="str">
        <f t="shared" si="1"/>
        <v/>
      </c>
      <c r="C128" s="16" t="str">
        <f>IF(ISNA(VLOOKUP(MID($A128,1,1),Kanji_2_HanViet!$A:$C,2,FALSE)),"",VLOOKUP(MID($A128,1,1),Kanji_2_HanViet!$A:$C,2,FALSE))</f>
        <v/>
      </c>
      <c r="D128" s="16" t="str">
        <f>IF(ISNA(VLOOKUP(MID($A128,2,1),Kanji_2_HanViet!$A:$C,2,FALSE)),"",VLOOKUP(MID($A128,2,1),Kanji_2_HanViet!$A:$C,2,FALSE))</f>
        <v/>
      </c>
      <c r="E128" s="16" t="str">
        <f>IF(ISNA(VLOOKUP(MID($A128,3,1),Kanji_2_HanViet!$A:$C,2,FALSE)),"",VLOOKUP(MID($A128,3,1),Kanji_2_HanViet!$A:$C,2,FALSE))</f>
        <v/>
      </c>
      <c r="F128" s="16" t="str">
        <f>IF(ISNA(VLOOKUP(MID($A128,4,1),Kanji_2_HanViet!$A:$C,2,FALSE)),"",VLOOKUP(MID($A128,4,1),Kanji_2_HanViet!$A:$C,2,FALSE))</f>
        <v/>
      </c>
      <c r="G128" s="16" t="str">
        <f>IF(ISNA(VLOOKUP(MID($A128,5,1),Kanji_2_HanViet!$A:$C,2,FALSE)),"",VLOOKUP(MID($A128,5,1),Kanji_2_HanViet!$A:$C,2,FALSE))</f>
        <v/>
      </c>
      <c r="H128" s="16" t="str">
        <f>IF(ISNA(VLOOKUP(MID($A128,6,1),Kanji_2_HanViet!$A:$C,2,FALSE)),"",VLOOKUP(MID($A128,6,1),Kanji_2_HanViet!$A:$C,2,FALSE))</f>
        <v/>
      </c>
      <c r="I128" s="16" t="str">
        <f>IF(ISNA(VLOOKUP(MID($A128,7,1),Kanji_2_HanViet!$A:$C,2,FALSE)),"",VLOOKUP(MID($A128,7,1),Kanji_2_HanViet!$A:$C,2,FALSE))</f>
        <v/>
      </c>
      <c r="J128" s="16" t="str">
        <f>IF(ISNA(VLOOKUP(MID($A128,8,1),Kanji_2_HanViet!$A:$C,2,FALSE)),"",VLOOKUP(MID($A128,8,1),Kanji_2_HanViet!$A:$C,2,FALSE))</f>
        <v/>
      </c>
      <c r="K128" s="16" t="str">
        <f>IF(ISNA(VLOOKUP(MID($A128,9,1),Kanji_2_HanViet!$A:$C,2,FALSE)),"",VLOOKUP(MID($A128,9,1),Kanji_2_HanViet!$A:$C,2,FALSE))</f>
        <v/>
      </c>
    </row>
    <row r="129" spans="1:11">
      <c r="A129" s="14">
        <f>Master!B136</f>
        <v>0</v>
      </c>
      <c r="B129" s="17" t="str">
        <f t="shared" si="1"/>
        <v/>
      </c>
      <c r="C129" s="16" t="str">
        <f>IF(ISNA(VLOOKUP(MID($A129,1,1),Kanji_2_HanViet!$A:$C,2,FALSE)),"",VLOOKUP(MID($A129,1,1),Kanji_2_HanViet!$A:$C,2,FALSE))</f>
        <v/>
      </c>
      <c r="D129" s="16" t="str">
        <f>IF(ISNA(VLOOKUP(MID($A129,2,1),Kanji_2_HanViet!$A:$C,2,FALSE)),"",VLOOKUP(MID($A129,2,1),Kanji_2_HanViet!$A:$C,2,FALSE))</f>
        <v/>
      </c>
      <c r="E129" s="16" t="str">
        <f>IF(ISNA(VLOOKUP(MID($A129,3,1),Kanji_2_HanViet!$A:$C,2,FALSE)),"",VLOOKUP(MID($A129,3,1),Kanji_2_HanViet!$A:$C,2,FALSE))</f>
        <v/>
      </c>
      <c r="F129" s="16" t="str">
        <f>IF(ISNA(VLOOKUP(MID($A129,4,1),Kanji_2_HanViet!$A:$C,2,FALSE)),"",VLOOKUP(MID($A129,4,1),Kanji_2_HanViet!$A:$C,2,FALSE))</f>
        <v/>
      </c>
      <c r="G129" s="16" t="str">
        <f>IF(ISNA(VLOOKUP(MID($A129,5,1),Kanji_2_HanViet!$A:$C,2,FALSE)),"",VLOOKUP(MID($A129,5,1),Kanji_2_HanViet!$A:$C,2,FALSE))</f>
        <v/>
      </c>
      <c r="H129" s="16" t="str">
        <f>IF(ISNA(VLOOKUP(MID($A129,6,1),Kanji_2_HanViet!$A:$C,2,FALSE)),"",VLOOKUP(MID($A129,6,1),Kanji_2_HanViet!$A:$C,2,FALSE))</f>
        <v/>
      </c>
      <c r="I129" s="16" t="str">
        <f>IF(ISNA(VLOOKUP(MID($A129,7,1),Kanji_2_HanViet!$A:$C,2,FALSE)),"",VLOOKUP(MID($A129,7,1),Kanji_2_HanViet!$A:$C,2,FALSE))</f>
        <v/>
      </c>
      <c r="J129" s="16" t="str">
        <f>IF(ISNA(VLOOKUP(MID($A129,8,1),Kanji_2_HanViet!$A:$C,2,FALSE)),"",VLOOKUP(MID($A129,8,1),Kanji_2_HanViet!$A:$C,2,FALSE))</f>
        <v/>
      </c>
      <c r="K129" s="16" t="str">
        <f>IF(ISNA(VLOOKUP(MID($A129,9,1),Kanji_2_HanViet!$A:$C,2,FALSE)),"",VLOOKUP(MID($A129,9,1),Kanji_2_HanViet!$A:$C,2,FALSE))</f>
        <v/>
      </c>
    </row>
    <row r="130" spans="1:11">
      <c r="A130" s="14">
        <f>Master!B137</f>
        <v>0</v>
      </c>
      <c r="B130" s="17" t="str">
        <f t="shared" si="1"/>
        <v/>
      </c>
      <c r="C130" s="16" t="str">
        <f>IF(ISNA(VLOOKUP(MID($A130,1,1),Kanji_2_HanViet!$A:$C,2,FALSE)),"",VLOOKUP(MID($A130,1,1),Kanji_2_HanViet!$A:$C,2,FALSE))</f>
        <v/>
      </c>
      <c r="D130" s="16" t="str">
        <f>IF(ISNA(VLOOKUP(MID($A130,2,1),Kanji_2_HanViet!$A:$C,2,FALSE)),"",VLOOKUP(MID($A130,2,1),Kanji_2_HanViet!$A:$C,2,FALSE))</f>
        <v/>
      </c>
      <c r="E130" s="16" t="str">
        <f>IF(ISNA(VLOOKUP(MID($A130,3,1),Kanji_2_HanViet!$A:$C,2,FALSE)),"",VLOOKUP(MID($A130,3,1),Kanji_2_HanViet!$A:$C,2,FALSE))</f>
        <v/>
      </c>
      <c r="F130" s="16" t="str">
        <f>IF(ISNA(VLOOKUP(MID($A130,4,1),Kanji_2_HanViet!$A:$C,2,FALSE)),"",VLOOKUP(MID($A130,4,1),Kanji_2_HanViet!$A:$C,2,FALSE))</f>
        <v/>
      </c>
      <c r="G130" s="16" t="str">
        <f>IF(ISNA(VLOOKUP(MID($A130,5,1),Kanji_2_HanViet!$A:$C,2,FALSE)),"",VLOOKUP(MID($A130,5,1),Kanji_2_HanViet!$A:$C,2,FALSE))</f>
        <v/>
      </c>
      <c r="H130" s="16" t="str">
        <f>IF(ISNA(VLOOKUP(MID($A130,6,1),Kanji_2_HanViet!$A:$C,2,FALSE)),"",VLOOKUP(MID($A130,6,1),Kanji_2_HanViet!$A:$C,2,FALSE))</f>
        <v/>
      </c>
      <c r="I130" s="16" t="str">
        <f>IF(ISNA(VLOOKUP(MID($A130,7,1),Kanji_2_HanViet!$A:$C,2,FALSE)),"",VLOOKUP(MID($A130,7,1),Kanji_2_HanViet!$A:$C,2,FALSE))</f>
        <v/>
      </c>
      <c r="J130" s="16" t="str">
        <f>IF(ISNA(VLOOKUP(MID($A130,8,1),Kanji_2_HanViet!$A:$C,2,FALSE)),"",VLOOKUP(MID($A130,8,1),Kanji_2_HanViet!$A:$C,2,FALSE))</f>
        <v/>
      </c>
      <c r="K130" s="16" t="str">
        <f>IF(ISNA(VLOOKUP(MID($A130,9,1),Kanji_2_HanViet!$A:$C,2,FALSE)),"",VLOOKUP(MID($A130,9,1),Kanji_2_HanViet!$A:$C,2,FALSE))</f>
        <v/>
      </c>
    </row>
    <row r="131" spans="1:11">
      <c r="A131" s="14">
        <f>Master!B138</f>
        <v>0</v>
      </c>
      <c r="B131" s="17" t="str">
        <f t="shared" ref="B131:B194" si="2">TRIM(CONCATENATE($C131," ",$D131," ",$E131," ",$F131," ",$G131," ",$H131," ",$I131," ",$J131," ",$K131))</f>
        <v/>
      </c>
      <c r="C131" s="16" t="str">
        <f>IF(ISNA(VLOOKUP(MID($A131,1,1),Kanji_2_HanViet!$A:$C,2,FALSE)),"",VLOOKUP(MID($A131,1,1),Kanji_2_HanViet!$A:$C,2,FALSE))</f>
        <v/>
      </c>
      <c r="D131" s="16" t="str">
        <f>IF(ISNA(VLOOKUP(MID($A131,2,1),Kanji_2_HanViet!$A:$C,2,FALSE)),"",VLOOKUP(MID($A131,2,1),Kanji_2_HanViet!$A:$C,2,FALSE))</f>
        <v/>
      </c>
      <c r="E131" s="16" t="str">
        <f>IF(ISNA(VLOOKUP(MID($A131,3,1),Kanji_2_HanViet!$A:$C,2,FALSE)),"",VLOOKUP(MID($A131,3,1),Kanji_2_HanViet!$A:$C,2,FALSE))</f>
        <v/>
      </c>
      <c r="F131" s="16" t="str">
        <f>IF(ISNA(VLOOKUP(MID($A131,4,1),Kanji_2_HanViet!$A:$C,2,FALSE)),"",VLOOKUP(MID($A131,4,1),Kanji_2_HanViet!$A:$C,2,FALSE))</f>
        <v/>
      </c>
      <c r="G131" s="16" t="str">
        <f>IF(ISNA(VLOOKUP(MID($A131,5,1),Kanji_2_HanViet!$A:$C,2,FALSE)),"",VLOOKUP(MID($A131,5,1),Kanji_2_HanViet!$A:$C,2,FALSE))</f>
        <v/>
      </c>
      <c r="H131" s="16" t="str">
        <f>IF(ISNA(VLOOKUP(MID($A131,6,1),Kanji_2_HanViet!$A:$C,2,FALSE)),"",VLOOKUP(MID($A131,6,1),Kanji_2_HanViet!$A:$C,2,FALSE))</f>
        <v/>
      </c>
      <c r="I131" s="16" t="str">
        <f>IF(ISNA(VLOOKUP(MID($A131,7,1),Kanji_2_HanViet!$A:$C,2,FALSE)),"",VLOOKUP(MID($A131,7,1),Kanji_2_HanViet!$A:$C,2,FALSE))</f>
        <v/>
      </c>
      <c r="J131" s="16" t="str">
        <f>IF(ISNA(VLOOKUP(MID($A131,8,1),Kanji_2_HanViet!$A:$C,2,FALSE)),"",VLOOKUP(MID($A131,8,1),Kanji_2_HanViet!$A:$C,2,FALSE))</f>
        <v/>
      </c>
      <c r="K131" s="16" t="str">
        <f>IF(ISNA(VLOOKUP(MID($A131,9,1),Kanji_2_HanViet!$A:$C,2,FALSE)),"",VLOOKUP(MID($A131,9,1),Kanji_2_HanViet!$A:$C,2,FALSE))</f>
        <v/>
      </c>
    </row>
    <row r="132" spans="1:11">
      <c r="A132" s="14">
        <f>Master!B139</f>
        <v>0</v>
      </c>
      <c r="B132" s="17" t="str">
        <f t="shared" si="2"/>
        <v/>
      </c>
      <c r="C132" s="16" t="str">
        <f>IF(ISNA(VLOOKUP(MID($A132,1,1),Kanji_2_HanViet!$A:$C,2,FALSE)),"",VLOOKUP(MID($A132,1,1),Kanji_2_HanViet!$A:$C,2,FALSE))</f>
        <v/>
      </c>
      <c r="D132" s="16" t="str">
        <f>IF(ISNA(VLOOKUP(MID($A132,2,1),Kanji_2_HanViet!$A:$C,2,FALSE)),"",VLOOKUP(MID($A132,2,1),Kanji_2_HanViet!$A:$C,2,FALSE))</f>
        <v/>
      </c>
      <c r="E132" s="16" t="str">
        <f>IF(ISNA(VLOOKUP(MID($A132,3,1),Kanji_2_HanViet!$A:$C,2,FALSE)),"",VLOOKUP(MID($A132,3,1),Kanji_2_HanViet!$A:$C,2,FALSE))</f>
        <v/>
      </c>
      <c r="F132" s="16" t="str">
        <f>IF(ISNA(VLOOKUP(MID($A132,4,1),Kanji_2_HanViet!$A:$C,2,FALSE)),"",VLOOKUP(MID($A132,4,1),Kanji_2_HanViet!$A:$C,2,FALSE))</f>
        <v/>
      </c>
      <c r="G132" s="16" t="str">
        <f>IF(ISNA(VLOOKUP(MID($A132,5,1),Kanji_2_HanViet!$A:$C,2,FALSE)),"",VLOOKUP(MID($A132,5,1),Kanji_2_HanViet!$A:$C,2,FALSE))</f>
        <v/>
      </c>
      <c r="H132" s="16" t="str">
        <f>IF(ISNA(VLOOKUP(MID($A132,6,1),Kanji_2_HanViet!$A:$C,2,FALSE)),"",VLOOKUP(MID($A132,6,1),Kanji_2_HanViet!$A:$C,2,FALSE))</f>
        <v/>
      </c>
      <c r="I132" s="16" t="str">
        <f>IF(ISNA(VLOOKUP(MID($A132,7,1),Kanji_2_HanViet!$A:$C,2,FALSE)),"",VLOOKUP(MID($A132,7,1),Kanji_2_HanViet!$A:$C,2,FALSE))</f>
        <v/>
      </c>
      <c r="J132" s="16" t="str">
        <f>IF(ISNA(VLOOKUP(MID($A132,8,1),Kanji_2_HanViet!$A:$C,2,FALSE)),"",VLOOKUP(MID($A132,8,1),Kanji_2_HanViet!$A:$C,2,FALSE))</f>
        <v/>
      </c>
      <c r="K132" s="16" t="str">
        <f>IF(ISNA(VLOOKUP(MID($A132,9,1),Kanji_2_HanViet!$A:$C,2,FALSE)),"",VLOOKUP(MID($A132,9,1),Kanji_2_HanViet!$A:$C,2,FALSE))</f>
        <v/>
      </c>
    </row>
    <row r="133" spans="1:11">
      <c r="A133" s="14">
        <f>Master!B140</f>
        <v>0</v>
      </c>
      <c r="B133" s="17" t="str">
        <f t="shared" si="2"/>
        <v/>
      </c>
      <c r="C133" s="16" t="str">
        <f>IF(ISNA(VLOOKUP(MID($A133,1,1),Kanji_2_HanViet!$A:$C,2,FALSE)),"",VLOOKUP(MID($A133,1,1),Kanji_2_HanViet!$A:$C,2,FALSE))</f>
        <v/>
      </c>
      <c r="D133" s="16" t="str">
        <f>IF(ISNA(VLOOKUP(MID($A133,2,1),Kanji_2_HanViet!$A:$C,2,FALSE)),"",VLOOKUP(MID($A133,2,1),Kanji_2_HanViet!$A:$C,2,FALSE))</f>
        <v/>
      </c>
      <c r="E133" s="16" t="str">
        <f>IF(ISNA(VLOOKUP(MID($A133,3,1),Kanji_2_HanViet!$A:$C,2,FALSE)),"",VLOOKUP(MID($A133,3,1),Kanji_2_HanViet!$A:$C,2,FALSE))</f>
        <v/>
      </c>
      <c r="F133" s="16" t="str">
        <f>IF(ISNA(VLOOKUP(MID($A133,4,1),Kanji_2_HanViet!$A:$C,2,FALSE)),"",VLOOKUP(MID($A133,4,1),Kanji_2_HanViet!$A:$C,2,FALSE))</f>
        <v/>
      </c>
      <c r="G133" s="16" t="str">
        <f>IF(ISNA(VLOOKUP(MID($A133,5,1),Kanji_2_HanViet!$A:$C,2,FALSE)),"",VLOOKUP(MID($A133,5,1),Kanji_2_HanViet!$A:$C,2,FALSE))</f>
        <v/>
      </c>
      <c r="H133" s="16" t="str">
        <f>IF(ISNA(VLOOKUP(MID($A133,6,1),Kanji_2_HanViet!$A:$C,2,FALSE)),"",VLOOKUP(MID($A133,6,1),Kanji_2_HanViet!$A:$C,2,FALSE))</f>
        <v/>
      </c>
      <c r="I133" s="16" t="str">
        <f>IF(ISNA(VLOOKUP(MID($A133,7,1),Kanji_2_HanViet!$A:$C,2,FALSE)),"",VLOOKUP(MID($A133,7,1),Kanji_2_HanViet!$A:$C,2,FALSE))</f>
        <v/>
      </c>
      <c r="J133" s="16" t="str">
        <f>IF(ISNA(VLOOKUP(MID($A133,8,1),Kanji_2_HanViet!$A:$C,2,FALSE)),"",VLOOKUP(MID($A133,8,1),Kanji_2_HanViet!$A:$C,2,FALSE))</f>
        <v/>
      </c>
      <c r="K133" s="16" t="str">
        <f>IF(ISNA(VLOOKUP(MID($A133,9,1),Kanji_2_HanViet!$A:$C,2,FALSE)),"",VLOOKUP(MID($A133,9,1),Kanji_2_HanViet!$A:$C,2,FALSE))</f>
        <v/>
      </c>
    </row>
    <row r="134" spans="1:11">
      <c r="A134" s="14">
        <f>Master!B141</f>
        <v>0</v>
      </c>
      <c r="B134" s="17" t="str">
        <f t="shared" si="2"/>
        <v/>
      </c>
      <c r="C134" s="16" t="str">
        <f>IF(ISNA(VLOOKUP(MID($A134,1,1),Kanji_2_HanViet!$A:$C,2,FALSE)),"",VLOOKUP(MID($A134,1,1),Kanji_2_HanViet!$A:$C,2,FALSE))</f>
        <v/>
      </c>
      <c r="D134" s="16" t="str">
        <f>IF(ISNA(VLOOKUP(MID($A134,2,1),Kanji_2_HanViet!$A:$C,2,FALSE)),"",VLOOKUP(MID($A134,2,1),Kanji_2_HanViet!$A:$C,2,FALSE))</f>
        <v/>
      </c>
      <c r="E134" s="16" t="str">
        <f>IF(ISNA(VLOOKUP(MID($A134,3,1),Kanji_2_HanViet!$A:$C,2,FALSE)),"",VLOOKUP(MID($A134,3,1),Kanji_2_HanViet!$A:$C,2,FALSE))</f>
        <v/>
      </c>
      <c r="F134" s="16" t="str">
        <f>IF(ISNA(VLOOKUP(MID($A134,4,1),Kanji_2_HanViet!$A:$C,2,FALSE)),"",VLOOKUP(MID($A134,4,1),Kanji_2_HanViet!$A:$C,2,FALSE))</f>
        <v/>
      </c>
      <c r="G134" s="16" t="str">
        <f>IF(ISNA(VLOOKUP(MID($A134,5,1),Kanji_2_HanViet!$A:$C,2,FALSE)),"",VLOOKUP(MID($A134,5,1),Kanji_2_HanViet!$A:$C,2,FALSE))</f>
        <v/>
      </c>
      <c r="H134" s="16" t="str">
        <f>IF(ISNA(VLOOKUP(MID($A134,6,1),Kanji_2_HanViet!$A:$C,2,FALSE)),"",VLOOKUP(MID($A134,6,1),Kanji_2_HanViet!$A:$C,2,FALSE))</f>
        <v/>
      </c>
      <c r="I134" s="16" t="str">
        <f>IF(ISNA(VLOOKUP(MID($A134,7,1),Kanji_2_HanViet!$A:$C,2,FALSE)),"",VLOOKUP(MID($A134,7,1),Kanji_2_HanViet!$A:$C,2,FALSE))</f>
        <v/>
      </c>
      <c r="J134" s="16" t="str">
        <f>IF(ISNA(VLOOKUP(MID($A134,8,1),Kanji_2_HanViet!$A:$C,2,FALSE)),"",VLOOKUP(MID($A134,8,1),Kanji_2_HanViet!$A:$C,2,FALSE))</f>
        <v/>
      </c>
      <c r="K134" s="16" t="str">
        <f>IF(ISNA(VLOOKUP(MID($A134,9,1),Kanji_2_HanViet!$A:$C,2,FALSE)),"",VLOOKUP(MID($A134,9,1),Kanji_2_HanViet!$A:$C,2,FALSE))</f>
        <v/>
      </c>
    </row>
    <row r="135" spans="1:11">
      <c r="A135" s="14">
        <f>Master!B142</f>
        <v>0</v>
      </c>
      <c r="B135" s="17" t="str">
        <f t="shared" si="2"/>
        <v/>
      </c>
      <c r="C135" s="16" t="str">
        <f>IF(ISNA(VLOOKUP(MID($A135,1,1),Kanji_2_HanViet!$A:$C,2,FALSE)),"",VLOOKUP(MID($A135,1,1),Kanji_2_HanViet!$A:$C,2,FALSE))</f>
        <v/>
      </c>
      <c r="D135" s="16" t="str">
        <f>IF(ISNA(VLOOKUP(MID($A135,2,1),Kanji_2_HanViet!$A:$C,2,FALSE)),"",VLOOKUP(MID($A135,2,1),Kanji_2_HanViet!$A:$C,2,FALSE))</f>
        <v/>
      </c>
      <c r="E135" s="16" t="str">
        <f>IF(ISNA(VLOOKUP(MID($A135,3,1),Kanji_2_HanViet!$A:$C,2,FALSE)),"",VLOOKUP(MID($A135,3,1),Kanji_2_HanViet!$A:$C,2,FALSE))</f>
        <v/>
      </c>
      <c r="F135" s="16" t="str">
        <f>IF(ISNA(VLOOKUP(MID($A135,4,1),Kanji_2_HanViet!$A:$C,2,FALSE)),"",VLOOKUP(MID($A135,4,1),Kanji_2_HanViet!$A:$C,2,FALSE))</f>
        <v/>
      </c>
      <c r="G135" s="16" t="str">
        <f>IF(ISNA(VLOOKUP(MID($A135,5,1),Kanji_2_HanViet!$A:$C,2,FALSE)),"",VLOOKUP(MID($A135,5,1),Kanji_2_HanViet!$A:$C,2,FALSE))</f>
        <v/>
      </c>
      <c r="H135" s="16" t="str">
        <f>IF(ISNA(VLOOKUP(MID($A135,6,1),Kanji_2_HanViet!$A:$C,2,FALSE)),"",VLOOKUP(MID($A135,6,1),Kanji_2_HanViet!$A:$C,2,FALSE))</f>
        <v/>
      </c>
      <c r="I135" s="16" t="str">
        <f>IF(ISNA(VLOOKUP(MID($A135,7,1),Kanji_2_HanViet!$A:$C,2,FALSE)),"",VLOOKUP(MID($A135,7,1),Kanji_2_HanViet!$A:$C,2,FALSE))</f>
        <v/>
      </c>
      <c r="J135" s="16" t="str">
        <f>IF(ISNA(VLOOKUP(MID($A135,8,1),Kanji_2_HanViet!$A:$C,2,FALSE)),"",VLOOKUP(MID($A135,8,1),Kanji_2_HanViet!$A:$C,2,FALSE))</f>
        <v/>
      </c>
      <c r="K135" s="16" t="str">
        <f>IF(ISNA(VLOOKUP(MID($A135,9,1),Kanji_2_HanViet!$A:$C,2,FALSE)),"",VLOOKUP(MID($A135,9,1),Kanji_2_HanViet!$A:$C,2,FALSE))</f>
        <v/>
      </c>
    </row>
    <row r="136" spans="1:11">
      <c r="A136" s="14">
        <f>Master!B143</f>
        <v>0</v>
      </c>
      <c r="B136" s="17" t="str">
        <f t="shared" si="2"/>
        <v/>
      </c>
      <c r="C136" s="16" t="str">
        <f>IF(ISNA(VLOOKUP(MID($A136,1,1),Kanji_2_HanViet!$A:$C,2,FALSE)),"",VLOOKUP(MID($A136,1,1),Kanji_2_HanViet!$A:$C,2,FALSE))</f>
        <v/>
      </c>
      <c r="D136" s="16" t="str">
        <f>IF(ISNA(VLOOKUP(MID($A136,2,1),Kanji_2_HanViet!$A:$C,2,FALSE)),"",VLOOKUP(MID($A136,2,1),Kanji_2_HanViet!$A:$C,2,FALSE))</f>
        <v/>
      </c>
      <c r="E136" s="16" t="str">
        <f>IF(ISNA(VLOOKUP(MID($A136,3,1),Kanji_2_HanViet!$A:$C,2,FALSE)),"",VLOOKUP(MID($A136,3,1),Kanji_2_HanViet!$A:$C,2,FALSE))</f>
        <v/>
      </c>
      <c r="F136" s="16" t="str">
        <f>IF(ISNA(VLOOKUP(MID($A136,4,1),Kanji_2_HanViet!$A:$C,2,FALSE)),"",VLOOKUP(MID($A136,4,1),Kanji_2_HanViet!$A:$C,2,FALSE))</f>
        <v/>
      </c>
      <c r="G136" s="16" t="str">
        <f>IF(ISNA(VLOOKUP(MID($A136,5,1),Kanji_2_HanViet!$A:$C,2,FALSE)),"",VLOOKUP(MID($A136,5,1),Kanji_2_HanViet!$A:$C,2,FALSE))</f>
        <v/>
      </c>
      <c r="H136" s="16" t="str">
        <f>IF(ISNA(VLOOKUP(MID($A136,6,1),Kanji_2_HanViet!$A:$C,2,FALSE)),"",VLOOKUP(MID($A136,6,1),Kanji_2_HanViet!$A:$C,2,FALSE))</f>
        <v/>
      </c>
      <c r="I136" s="16" t="str">
        <f>IF(ISNA(VLOOKUP(MID($A136,7,1),Kanji_2_HanViet!$A:$C,2,FALSE)),"",VLOOKUP(MID($A136,7,1),Kanji_2_HanViet!$A:$C,2,FALSE))</f>
        <v/>
      </c>
      <c r="J136" s="16" t="str">
        <f>IF(ISNA(VLOOKUP(MID($A136,8,1),Kanji_2_HanViet!$A:$C,2,FALSE)),"",VLOOKUP(MID($A136,8,1),Kanji_2_HanViet!$A:$C,2,FALSE))</f>
        <v/>
      </c>
      <c r="K136" s="16" t="str">
        <f>IF(ISNA(VLOOKUP(MID($A136,9,1),Kanji_2_HanViet!$A:$C,2,FALSE)),"",VLOOKUP(MID($A136,9,1),Kanji_2_HanViet!$A:$C,2,FALSE))</f>
        <v/>
      </c>
    </row>
    <row r="137" spans="1:11">
      <c r="A137" s="14">
        <f>Master!B144</f>
        <v>0</v>
      </c>
      <c r="B137" s="17" t="str">
        <f t="shared" si="2"/>
        <v/>
      </c>
      <c r="C137" s="16" t="str">
        <f>IF(ISNA(VLOOKUP(MID($A137,1,1),Kanji_2_HanViet!$A:$C,2,FALSE)),"",VLOOKUP(MID($A137,1,1),Kanji_2_HanViet!$A:$C,2,FALSE))</f>
        <v/>
      </c>
      <c r="D137" s="16" t="str">
        <f>IF(ISNA(VLOOKUP(MID($A137,2,1),Kanji_2_HanViet!$A:$C,2,FALSE)),"",VLOOKUP(MID($A137,2,1),Kanji_2_HanViet!$A:$C,2,FALSE))</f>
        <v/>
      </c>
      <c r="E137" s="16" t="str">
        <f>IF(ISNA(VLOOKUP(MID($A137,3,1),Kanji_2_HanViet!$A:$C,2,FALSE)),"",VLOOKUP(MID($A137,3,1),Kanji_2_HanViet!$A:$C,2,FALSE))</f>
        <v/>
      </c>
      <c r="F137" s="16" t="str">
        <f>IF(ISNA(VLOOKUP(MID($A137,4,1),Kanji_2_HanViet!$A:$C,2,FALSE)),"",VLOOKUP(MID($A137,4,1),Kanji_2_HanViet!$A:$C,2,FALSE))</f>
        <v/>
      </c>
      <c r="G137" s="16" t="str">
        <f>IF(ISNA(VLOOKUP(MID($A137,5,1),Kanji_2_HanViet!$A:$C,2,FALSE)),"",VLOOKUP(MID($A137,5,1),Kanji_2_HanViet!$A:$C,2,FALSE))</f>
        <v/>
      </c>
      <c r="H137" s="16" t="str">
        <f>IF(ISNA(VLOOKUP(MID($A137,6,1),Kanji_2_HanViet!$A:$C,2,FALSE)),"",VLOOKUP(MID($A137,6,1),Kanji_2_HanViet!$A:$C,2,FALSE))</f>
        <v/>
      </c>
      <c r="I137" s="16" t="str">
        <f>IF(ISNA(VLOOKUP(MID($A137,7,1),Kanji_2_HanViet!$A:$C,2,FALSE)),"",VLOOKUP(MID($A137,7,1),Kanji_2_HanViet!$A:$C,2,FALSE))</f>
        <v/>
      </c>
      <c r="J137" s="16" t="str">
        <f>IF(ISNA(VLOOKUP(MID($A137,8,1),Kanji_2_HanViet!$A:$C,2,FALSE)),"",VLOOKUP(MID($A137,8,1),Kanji_2_HanViet!$A:$C,2,FALSE))</f>
        <v/>
      </c>
      <c r="K137" s="16" t="str">
        <f>IF(ISNA(VLOOKUP(MID($A137,9,1),Kanji_2_HanViet!$A:$C,2,FALSE)),"",VLOOKUP(MID($A137,9,1),Kanji_2_HanViet!$A:$C,2,FALSE))</f>
        <v/>
      </c>
    </row>
    <row r="138" spans="1:11">
      <c r="A138" s="14">
        <f>Master!B145</f>
        <v>0</v>
      </c>
      <c r="B138" s="17" t="str">
        <f t="shared" si="2"/>
        <v/>
      </c>
      <c r="C138" s="16" t="str">
        <f>IF(ISNA(VLOOKUP(MID($A138,1,1),Kanji_2_HanViet!$A:$C,2,FALSE)),"",VLOOKUP(MID($A138,1,1),Kanji_2_HanViet!$A:$C,2,FALSE))</f>
        <v/>
      </c>
      <c r="D138" s="16" t="str">
        <f>IF(ISNA(VLOOKUP(MID($A138,2,1),Kanji_2_HanViet!$A:$C,2,FALSE)),"",VLOOKUP(MID($A138,2,1),Kanji_2_HanViet!$A:$C,2,FALSE))</f>
        <v/>
      </c>
      <c r="E138" s="16" t="str">
        <f>IF(ISNA(VLOOKUP(MID($A138,3,1),Kanji_2_HanViet!$A:$C,2,FALSE)),"",VLOOKUP(MID($A138,3,1),Kanji_2_HanViet!$A:$C,2,FALSE))</f>
        <v/>
      </c>
      <c r="F138" s="16" t="str">
        <f>IF(ISNA(VLOOKUP(MID($A138,4,1),Kanji_2_HanViet!$A:$C,2,FALSE)),"",VLOOKUP(MID($A138,4,1),Kanji_2_HanViet!$A:$C,2,FALSE))</f>
        <v/>
      </c>
      <c r="G138" s="16" t="str">
        <f>IF(ISNA(VLOOKUP(MID($A138,5,1),Kanji_2_HanViet!$A:$C,2,FALSE)),"",VLOOKUP(MID($A138,5,1),Kanji_2_HanViet!$A:$C,2,FALSE))</f>
        <v/>
      </c>
      <c r="H138" s="16" t="str">
        <f>IF(ISNA(VLOOKUP(MID($A138,6,1),Kanji_2_HanViet!$A:$C,2,FALSE)),"",VLOOKUP(MID($A138,6,1),Kanji_2_HanViet!$A:$C,2,FALSE))</f>
        <v/>
      </c>
      <c r="I138" s="16" t="str">
        <f>IF(ISNA(VLOOKUP(MID($A138,7,1),Kanji_2_HanViet!$A:$C,2,FALSE)),"",VLOOKUP(MID($A138,7,1),Kanji_2_HanViet!$A:$C,2,FALSE))</f>
        <v/>
      </c>
      <c r="J138" s="16" t="str">
        <f>IF(ISNA(VLOOKUP(MID($A138,8,1),Kanji_2_HanViet!$A:$C,2,FALSE)),"",VLOOKUP(MID($A138,8,1),Kanji_2_HanViet!$A:$C,2,FALSE))</f>
        <v/>
      </c>
      <c r="K138" s="16" t="str">
        <f>IF(ISNA(VLOOKUP(MID($A138,9,1),Kanji_2_HanViet!$A:$C,2,FALSE)),"",VLOOKUP(MID($A138,9,1),Kanji_2_HanViet!$A:$C,2,FALSE))</f>
        <v/>
      </c>
    </row>
    <row r="139" spans="1:11">
      <c r="A139" s="14">
        <f>Master!B146</f>
        <v>0</v>
      </c>
      <c r="B139" s="17" t="str">
        <f t="shared" si="2"/>
        <v/>
      </c>
      <c r="C139" s="16" t="str">
        <f>IF(ISNA(VLOOKUP(MID($A139,1,1),Kanji_2_HanViet!$A:$C,2,FALSE)),"",VLOOKUP(MID($A139,1,1),Kanji_2_HanViet!$A:$C,2,FALSE))</f>
        <v/>
      </c>
      <c r="D139" s="16" t="str">
        <f>IF(ISNA(VLOOKUP(MID($A139,2,1),Kanji_2_HanViet!$A:$C,2,FALSE)),"",VLOOKUP(MID($A139,2,1),Kanji_2_HanViet!$A:$C,2,FALSE))</f>
        <v/>
      </c>
      <c r="E139" s="16" t="str">
        <f>IF(ISNA(VLOOKUP(MID($A139,3,1),Kanji_2_HanViet!$A:$C,2,FALSE)),"",VLOOKUP(MID($A139,3,1),Kanji_2_HanViet!$A:$C,2,FALSE))</f>
        <v/>
      </c>
      <c r="F139" s="16" t="str">
        <f>IF(ISNA(VLOOKUP(MID($A139,4,1),Kanji_2_HanViet!$A:$C,2,FALSE)),"",VLOOKUP(MID($A139,4,1),Kanji_2_HanViet!$A:$C,2,FALSE))</f>
        <v/>
      </c>
      <c r="G139" s="16" t="str">
        <f>IF(ISNA(VLOOKUP(MID($A139,5,1),Kanji_2_HanViet!$A:$C,2,FALSE)),"",VLOOKUP(MID($A139,5,1),Kanji_2_HanViet!$A:$C,2,FALSE))</f>
        <v/>
      </c>
      <c r="H139" s="16" t="str">
        <f>IF(ISNA(VLOOKUP(MID($A139,6,1),Kanji_2_HanViet!$A:$C,2,FALSE)),"",VLOOKUP(MID($A139,6,1),Kanji_2_HanViet!$A:$C,2,FALSE))</f>
        <v/>
      </c>
      <c r="I139" s="16" t="str">
        <f>IF(ISNA(VLOOKUP(MID($A139,7,1),Kanji_2_HanViet!$A:$C,2,FALSE)),"",VLOOKUP(MID($A139,7,1),Kanji_2_HanViet!$A:$C,2,FALSE))</f>
        <v/>
      </c>
      <c r="J139" s="16" t="str">
        <f>IF(ISNA(VLOOKUP(MID($A139,8,1),Kanji_2_HanViet!$A:$C,2,FALSE)),"",VLOOKUP(MID($A139,8,1),Kanji_2_HanViet!$A:$C,2,FALSE))</f>
        <v/>
      </c>
      <c r="K139" s="16" t="str">
        <f>IF(ISNA(VLOOKUP(MID($A139,9,1),Kanji_2_HanViet!$A:$C,2,FALSE)),"",VLOOKUP(MID($A139,9,1),Kanji_2_HanViet!$A:$C,2,FALSE))</f>
        <v/>
      </c>
    </row>
    <row r="140" spans="1:11">
      <c r="A140" s="14">
        <f>Master!B147</f>
        <v>0</v>
      </c>
      <c r="B140" s="17" t="str">
        <f t="shared" si="2"/>
        <v/>
      </c>
      <c r="C140" s="16" t="str">
        <f>IF(ISNA(VLOOKUP(MID($A140,1,1),Kanji_2_HanViet!$A:$C,2,FALSE)),"",VLOOKUP(MID($A140,1,1),Kanji_2_HanViet!$A:$C,2,FALSE))</f>
        <v/>
      </c>
      <c r="D140" s="16" t="str">
        <f>IF(ISNA(VLOOKUP(MID($A140,2,1),Kanji_2_HanViet!$A:$C,2,FALSE)),"",VLOOKUP(MID($A140,2,1),Kanji_2_HanViet!$A:$C,2,FALSE))</f>
        <v/>
      </c>
      <c r="E140" s="16" t="str">
        <f>IF(ISNA(VLOOKUP(MID($A140,3,1),Kanji_2_HanViet!$A:$C,2,FALSE)),"",VLOOKUP(MID($A140,3,1),Kanji_2_HanViet!$A:$C,2,FALSE))</f>
        <v/>
      </c>
      <c r="F140" s="16" t="str">
        <f>IF(ISNA(VLOOKUP(MID($A140,4,1),Kanji_2_HanViet!$A:$C,2,FALSE)),"",VLOOKUP(MID($A140,4,1),Kanji_2_HanViet!$A:$C,2,FALSE))</f>
        <v/>
      </c>
      <c r="G140" s="16" t="str">
        <f>IF(ISNA(VLOOKUP(MID($A140,5,1),Kanji_2_HanViet!$A:$C,2,FALSE)),"",VLOOKUP(MID($A140,5,1),Kanji_2_HanViet!$A:$C,2,FALSE))</f>
        <v/>
      </c>
      <c r="H140" s="16" t="str">
        <f>IF(ISNA(VLOOKUP(MID($A140,6,1),Kanji_2_HanViet!$A:$C,2,FALSE)),"",VLOOKUP(MID($A140,6,1),Kanji_2_HanViet!$A:$C,2,FALSE))</f>
        <v/>
      </c>
      <c r="I140" s="16" t="str">
        <f>IF(ISNA(VLOOKUP(MID($A140,7,1),Kanji_2_HanViet!$A:$C,2,FALSE)),"",VLOOKUP(MID($A140,7,1),Kanji_2_HanViet!$A:$C,2,FALSE))</f>
        <v/>
      </c>
      <c r="J140" s="16" t="str">
        <f>IF(ISNA(VLOOKUP(MID($A140,8,1),Kanji_2_HanViet!$A:$C,2,FALSE)),"",VLOOKUP(MID($A140,8,1),Kanji_2_HanViet!$A:$C,2,FALSE))</f>
        <v/>
      </c>
      <c r="K140" s="16" t="str">
        <f>IF(ISNA(VLOOKUP(MID($A140,9,1),Kanji_2_HanViet!$A:$C,2,FALSE)),"",VLOOKUP(MID($A140,9,1),Kanji_2_HanViet!$A:$C,2,FALSE))</f>
        <v/>
      </c>
    </row>
    <row r="141" spans="1:11">
      <c r="A141" s="14">
        <f>Master!B148</f>
        <v>0</v>
      </c>
      <c r="B141" s="17" t="str">
        <f t="shared" si="2"/>
        <v/>
      </c>
      <c r="C141" s="16" t="str">
        <f>IF(ISNA(VLOOKUP(MID($A141,1,1),Kanji_2_HanViet!$A:$C,2,FALSE)),"",VLOOKUP(MID($A141,1,1),Kanji_2_HanViet!$A:$C,2,FALSE))</f>
        <v/>
      </c>
      <c r="D141" s="16" t="str">
        <f>IF(ISNA(VLOOKUP(MID($A141,2,1),Kanji_2_HanViet!$A:$C,2,FALSE)),"",VLOOKUP(MID($A141,2,1),Kanji_2_HanViet!$A:$C,2,FALSE))</f>
        <v/>
      </c>
      <c r="E141" s="16" t="str">
        <f>IF(ISNA(VLOOKUP(MID($A141,3,1),Kanji_2_HanViet!$A:$C,2,FALSE)),"",VLOOKUP(MID($A141,3,1),Kanji_2_HanViet!$A:$C,2,FALSE))</f>
        <v/>
      </c>
      <c r="F141" s="16" t="str">
        <f>IF(ISNA(VLOOKUP(MID($A141,4,1),Kanji_2_HanViet!$A:$C,2,FALSE)),"",VLOOKUP(MID($A141,4,1),Kanji_2_HanViet!$A:$C,2,FALSE))</f>
        <v/>
      </c>
      <c r="G141" s="16" t="str">
        <f>IF(ISNA(VLOOKUP(MID($A141,5,1),Kanji_2_HanViet!$A:$C,2,FALSE)),"",VLOOKUP(MID($A141,5,1),Kanji_2_HanViet!$A:$C,2,FALSE))</f>
        <v/>
      </c>
      <c r="H141" s="16" t="str">
        <f>IF(ISNA(VLOOKUP(MID($A141,6,1),Kanji_2_HanViet!$A:$C,2,FALSE)),"",VLOOKUP(MID($A141,6,1),Kanji_2_HanViet!$A:$C,2,FALSE))</f>
        <v/>
      </c>
      <c r="I141" s="16" t="str">
        <f>IF(ISNA(VLOOKUP(MID($A141,7,1),Kanji_2_HanViet!$A:$C,2,FALSE)),"",VLOOKUP(MID($A141,7,1),Kanji_2_HanViet!$A:$C,2,FALSE))</f>
        <v/>
      </c>
      <c r="J141" s="16" t="str">
        <f>IF(ISNA(VLOOKUP(MID($A141,8,1),Kanji_2_HanViet!$A:$C,2,FALSE)),"",VLOOKUP(MID($A141,8,1),Kanji_2_HanViet!$A:$C,2,FALSE))</f>
        <v/>
      </c>
      <c r="K141" s="16" t="str">
        <f>IF(ISNA(VLOOKUP(MID($A141,9,1),Kanji_2_HanViet!$A:$C,2,FALSE)),"",VLOOKUP(MID($A141,9,1),Kanji_2_HanViet!$A:$C,2,FALSE))</f>
        <v/>
      </c>
    </row>
    <row r="142" spans="1:11">
      <c r="A142" s="14">
        <f>Master!B149</f>
        <v>0</v>
      </c>
      <c r="B142" s="17" t="str">
        <f t="shared" si="2"/>
        <v/>
      </c>
      <c r="C142" s="16" t="str">
        <f>IF(ISNA(VLOOKUP(MID($A142,1,1),Kanji_2_HanViet!$A:$C,2,FALSE)),"",VLOOKUP(MID($A142,1,1),Kanji_2_HanViet!$A:$C,2,FALSE))</f>
        <v/>
      </c>
      <c r="D142" s="16" t="str">
        <f>IF(ISNA(VLOOKUP(MID($A142,2,1),Kanji_2_HanViet!$A:$C,2,FALSE)),"",VLOOKUP(MID($A142,2,1),Kanji_2_HanViet!$A:$C,2,FALSE))</f>
        <v/>
      </c>
      <c r="E142" s="16" t="str">
        <f>IF(ISNA(VLOOKUP(MID($A142,3,1),Kanji_2_HanViet!$A:$C,2,FALSE)),"",VLOOKUP(MID($A142,3,1),Kanji_2_HanViet!$A:$C,2,FALSE))</f>
        <v/>
      </c>
      <c r="F142" s="16" t="str">
        <f>IF(ISNA(VLOOKUP(MID($A142,4,1),Kanji_2_HanViet!$A:$C,2,FALSE)),"",VLOOKUP(MID($A142,4,1),Kanji_2_HanViet!$A:$C,2,FALSE))</f>
        <v/>
      </c>
      <c r="G142" s="16" t="str">
        <f>IF(ISNA(VLOOKUP(MID($A142,5,1),Kanji_2_HanViet!$A:$C,2,FALSE)),"",VLOOKUP(MID($A142,5,1),Kanji_2_HanViet!$A:$C,2,FALSE))</f>
        <v/>
      </c>
      <c r="H142" s="16" t="str">
        <f>IF(ISNA(VLOOKUP(MID($A142,6,1),Kanji_2_HanViet!$A:$C,2,FALSE)),"",VLOOKUP(MID($A142,6,1),Kanji_2_HanViet!$A:$C,2,FALSE))</f>
        <v/>
      </c>
      <c r="I142" s="16" t="str">
        <f>IF(ISNA(VLOOKUP(MID($A142,7,1),Kanji_2_HanViet!$A:$C,2,FALSE)),"",VLOOKUP(MID($A142,7,1),Kanji_2_HanViet!$A:$C,2,FALSE))</f>
        <v/>
      </c>
      <c r="J142" s="16" t="str">
        <f>IF(ISNA(VLOOKUP(MID($A142,8,1),Kanji_2_HanViet!$A:$C,2,FALSE)),"",VLOOKUP(MID($A142,8,1),Kanji_2_HanViet!$A:$C,2,FALSE))</f>
        <v/>
      </c>
      <c r="K142" s="16" t="str">
        <f>IF(ISNA(VLOOKUP(MID($A142,9,1),Kanji_2_HanViet!$A:$C,2,FALSE)),"",VLOOKUP(MID($A142,9,1),Kanji_2_HanViet!$A:$C,2,FALSE))</f>
        <v/>
      </c>
    </row>
    <row r="143" spans="1:11">
      <c r="A143" s="14">
        <f>Master!B150</f>
        <v>0</v>
      </c>
      <c r="B143" s="17" t="str">
        <f t="shared" si="2"/>
        <v/>
      </c>
      <c r="C143" s="16" t="str">
        <f>IF(ISNA(VLOOKUP(MID($A143,1,1),Kanji_2_HanViet!$A:$C,2,FALSE)),"",VLOOKUP(MID($A143,1,1),Kanji_2_HanViet!$A:$C,2,FALSE))</f>
        <v/>
      </c>
      <c r="D143" s="16" t="str">
        <f>IF(ISNA(VLOOKUP(MID($A143,2,1),Kanji_2_HanViet!$A:$C,2,FALSE)),"",VLOOKUP(MID($A143,2,1),Kanji_2_HanViet!$A:$C,2,FALSE))</f>
        <v/>
      </c>
      <c r="E143" s="16" t="str">
        <f>IF(ISNA(VLOOKUP(MID($A143,3,1),Kanji_2_HanViet!$A:$C,2,FALSE)),"",VLOOKUP(MID($A143,3,1),Kanji_2_HanViet!$A:$C,2,FALSE))</f>
        <v/>
      </c>
      <c r="F143" s="16" t="str">
        <f>IF(ISNA(VLOOKUP(MID($A143,4,1),Kanji_2_HanViet!$A:$C,2,FALSE)),"",VLOOKUP(MID($A143,4,1),Kanji_2_HanViet!$A:$C,2,FALSE))</f>
        <v/>
      </c>
      <c r="G143" s="16" t="str">
        <f>IF(ISNA(VLOOKUP(MID($A143,5,1),Kanji_2_HanViet!$A:$C,2,FALSE)),"",VLOOKUP(MID($A143,5,1),Kanji_2_HanViet!$A:$C,2,FALSE))</f>
        <v/>
      </c>
      <c r="H143" s="16" t="str">
        <f>IF(ISNA(VLOOKUP(MID($A143,6,1),Kanji_2_HanViet!$A:$C,2,FALSE)),"",VLOOKUP(MID($A143,6,1),Kanji_2_HanViet!$A:$C,2,FALSE))</f>
        <v/>
      </c>
      <c r="I143" s="16" t="str">
        <f>IF(ISNA(VLOOKUP(MID($A143,7,1),Kanji_2_HanViet!$A:$C,2,FALSE)),"",VLOOKUP(MID($A143,7,1),Kanji_2_HanViet!$A:$C,2,FALSE))</f>
        <v/>
      </c>
      <c r="J143" s="16" t="str">
        <f>IF(ISNA(VLOOKUP(MID($A143,8,1),Kanji_2_HanViet!$A:$C,2,FALSE)),"",VLOOKUP(MID($A143,8,1),Kanji_2_HanViet!$A:$C,2,FALSE))</f>
        <v/>
      </c>
      <c r="K143" s="16" t="str">
        <f>IF(ISNA(VLOOKUP(MID($A143,9,1),Kanji_2_HanViet!$A:$C,2,FALSE)),"",VLOOKUP(MID($A143,9,1),Kanji_2_HanViet!$A:$C,2,FALSE))</f>
        <v/>
      </c>
    </row>
    <row r="144" spans="1:11">
      <c r="A144" s="14">
        <f>Master!B151</f>
        <v>0</v>
      </c>
      <c r="B144" s="17" t="str">
        <f t="shared" si="2"/>
        <v/>
      </c>
      <c r="C144" s="16" t="str">
        <f>IF(ISNA(VLOOKUP(MID($A144,1,1),Kanji_2_HanViet!$A:$C,2,FALSE)),"",VLOOKUP(MID($A144,1,1),Kanji_2_HanViet!$A:$C,2,FALSE))</f>
        <v/>
      </c>
      <c r="D144" s="16" t="str">
        <f>IF(ISNA(VLOOKUP(MID($A144,2,1),Kanji_2_HanViet!$A:$C,2,FALSE)),"",VLOOKUP(MID($A144,2,1),Kanji_2_HanViet!$A:$C,2,FALSE))</f>
        <v/>
      </c>
      <c r="E144" s="16" t="str">
        <f>IF(ISNA(VLOOKUP(MID($A144,3,1),Kanji_2_HanViet!$A:$C,2,FALSE)),"",VLOOKUP(MID($A144,3,1),Kanji_2_HanViet!$A:$C,2,FALSE))</f>
        <v/>
      </c>
      <c r="F144" s="16" t="str">
        <f>IF(ISNA(VLOOKUP(MID($A144,4,1),Kanji_2_HanViet!$A:$C,2,FALSE)),"",VLOOKUP(MID($A144,4,1),Kanji_2_HanViet!$A:$C,2,FALSE))</f>
        <v/>
      </c>
      <c r="G144" s="16" t="str">
        <f>IF(ISNA(VLOOKUP(MID($A144,5,1),Kanji_2_HanViet!$A:$C,2,FALSE)),"",VLOOKUP(MID($A144,5,1),Kanji_2_HanViet!$A:$C,2,FALSE))</f>
        <v/>
      </c>
      <c r="H144" s="16" t="str">
        <f>IF(ISNA(VLOOKUP(MID($A144,6,1),Kanji_2_HanViet!$A:$C,2,FALSE)),"",VLOOKUP(MID($A144,6,1),Kanji_2_HanViet!$A:$C,2,FALSE))</f>
        <v/>
      </c>
      <c r="I144" s="16" t="str">
        <f>IF(ISNA(VLOOKUP(MID($A144,7,1),Kanji_2_HanViet!$A:$C,2,FALSE)),"",VLOOKUP(MID($A144,7,1),Kanji_2_HanViet!$A:$C,2,FALSE))</f>
        <v/>
      </c>
      <c r="J144" s="16" t="str">
        <f>IF(ISNA(VLOOKUP(MID($A144,8,1),Kanji_2_HanViet!$A:$C,2,FALSE)),"",VLOOKUP(MID($A144,8,1),Kanji_2_HanViet!$A:$C,2,FALSE))</f>
        <v/>
      </c>
      <c r="K144" s="16" t="str">
        <f>IF(ISNA(VLOOKUP(MID($A144,9,1),Kanji_2_HanViet!$A:$C,2,FALSE)),"",VLOOKUP(MID($A144,9,1),Kanji_2_HanViet!$A:$C,2,FALSE))</f>
        <v/>
      </c>
    </row>
    <row r="145" spans="1:11">
      <c r="A145" s="14">
        <f>Master!B152</f>
        <v>0</v>
      </c>
      <c r="B145" s="17" t="str">
        <f t="shared" si="2"/>
        <v/>
      </c>
      <c r="C145" s="16" t="str">
        <f>IF(ISNA(VLOOKUP(MID($A145,1,1),Kanji_2_HanViet!$A:$C,2,FALSE)),"",VLOOKUP(MID($A145,1,1),Kanji_2_HanViet!$A:$C,2,FALSE))</f>
        <v/>
      </c>
      <c r="D145" s="16" t="str">
        <f>IF(ISNA(VLOOKUP(MID($A145,2,1),Kanji_2_HanViet!$A:$C,2,FALSE)),"",VLOOKUP(MID($A145,2,1),Kanji_2_HanViet!$A:$C,2,FALSE))</f>
        <v/>
      </c>
      <c r="E145" s="16" t="str">
        <f>IF(ISNA(VLOOKUP(MID($A145,3,1),Kanji_2_HanViet!$A:$C,2,FALSE)),"",VLOOKUP(MID($A145,3,1),Kanji_2_HanViet!$A:$C,2,FALSE))</f>
        <v/>
      </c>
      <c r="F145" s="16" t="str">
        <f>IF(ISNA(VLOOKUP(MID($A145,4,1),Kanji_2_HanViet!$A:$C,2,FALSE)),"",VLOOKUP(MID($A145,4,1),Kanji_2_HanViet!$A:$C,2,FALSE))</f>
        <v/>
      </c>
      <c r="G145" s="16" t="str">
        <f>IF(ISNA(VLOOKUP(MID($A145,5,1),Kanji_2_HanViet!$A:$C,2,FALSE)),"",VLOOKUP(MID($A145,5,1),Kanji_2_HanViet!$A:$C,2,FALSE))</f>
        <v/>
      </c>
      <c r="H145" s="16" t="str">
        <f>IF(ISNA(VLOOKUP(MID($A145,6,1),Kanji_2_HanViet!$A:$C,2,FALSE)),"",VLOOKUP(MID($A145,6,1),Kanji_2_HanViet!$A:$C,2,FALSE))</f>
        <v/>
      </c>
      <c r="I145" s="16" t="str">
        <f>IF(ISNA(VLOOKUP(MID($A145,7,1),Kanji_2_HanViet!$A:$C,2,FALSE)),"",VLOOKUP(MID($A145,7,1),Kanji_2_HanViet!$A:$C,2,FALSE))</f>
        <v/>
      </c>
      <c r="J145" s="16" t="str">
        <f>IF(ISNA(VLOOKUP(MID($A145,8,1),Kanji_2_HanViet!$A:$C,2,FALSE)),"",VLOOKUP(MID($A145,8,1),Kanji_2_HanViet!$A:$C,2,FALSE))</f>
        <v/>
      </c>
      <c r="K145" s="16" t="str">
        <f>IF(ISNA(VLOOKUP(MID($A145,9,1),Kanji_2_HanViet!$A:$C,2,FALSE)),"",VLOOKUP(MID($A145,9,1),Kanji_2_HanViet!$A:$C,2,FALSE))</f>
        <v/>
      </c>
    </row>
    <row r="146" spans="1:11">
      <c r="A146" s="14">
        <f>Master!B153</f>
        <v>0</v>
      </c>
      <c r="B146" s="17" t="str">
        <f t="shared" si="2"/>
        <v/>
      </c>
      <c r="C146" s="16" t="str">
        <f>IF(ISNA(VLOOKUP(MID($A146,1,1),Kanji_2_HanViet!$A:$C,2,FALSE)),"",VLOOKUP(MID($A146,1,1),Kanji_2_HanViet!$A:$C,2,FALSE))</f>
        <v/>
      </c>
      <c r="D146" s="16" t="str">
        <f>IF(ISNA(VLOOKUP(MID($A146,2,1),Kanji_2_HanViet!$A:$C,2,FALSE)),"",VLOOKUP(MID($A146,2,1),Kanji_2_HanViet!$A:$C,2,FALSE))</f>
        <v/>
      </c>
      <c r="E146" s="16" t="str">
        <f>IF(ISNA(VLOOKUP(MID($A146,3,1),Kanji_2_HanViet!$A:$C,2,FALSE)),"",VLOOKUP(MID($A146,3,1),Kanji_2_HanViet!$A:$C,2,FALSE))</f>
        <v/>
      </c>
      <c r="F146" s="16" t="str">
        <f>IF(ISNA(VLOOKUP(MID($A146,4,1),Kanji_2_HanViet!$A:$C,2,FALSE)),"",VLOOKUP(MID($A146,4,1),Kanji_2_HanViet!$A:$C,2,FALSE))</f>
        <v/>
      </c>
      <c r="G146" s="16" t="str">
        <f>IF(ISNA(VLOOKUP(MID($A146,5,1),Kanji_2_HanViet!$A:$C,2,FALSE)),"",VLOOKUP(MID($A146,5,1),Kanji_2_HanViet!$A:$C,2,FALSE))</f>
        <v/>
      </c>
      <c r="H146" s="16" t="str">
        <f>IF(ISNA(VLOOKUP(MID($A146,6,1),Kanji_2_HanViet!$A:$C,2,FALSE)),"",VLOOKUP(MID($A146,6,1),Kanji_2_HanViet!$A:$C,2,FALSE))</f>
        <v/>
      </c>
      <c r="I146" s="16" t="str">
        <f>IF(ISNA(VLOOKUP(MID($A146,7,1),Kanji_2_HanViet!$A:$C,2,FALSE)),"",VLOOKUP(MID($A146,7,1),Kanji_2_HanViet!$A:$C,2,FALSE))</f>
        <v/>
      </c>
      <c r="J146" s="16" t="str">
        <f>IF(ISNA(VLOOKUP(MID($A146,8,1),Kanji_2_HanViet!$A:$C,2,FALSE)),"",VLOOKUP(MID($A146,8,1),Kanji_2_HanViet!$A:$C,2,FALSE))</f>
        <v/>
      </c>
      <c r="K146" s="16" t="str">
        <f>IF(ISNA(VLOOKUP(MID($A146,9,1),Kanji_2_HanViet!$A:$C,2,FALSE)),"",VLOOKUP(MID($A146,9,1),Kanji_2_HanViet!$A:$C,2,FALSE))</f>
        <v/>
      </c>
    </row>
    <row r="147" spans="1:11">
      <c r="A147" s="14">
        <f>Master!B154</f>
        <v>0</v>
      </c>
      <c r="B147" s="17" t="str">
        <f t="shared" si="2"/>
        <v/>
      </c>
      <c r="C147" s="16" t="str">
        <f>IF(ISNA(VLOOKUP(MID($A147,1,1),Kanji_2_HanViet!$A:$C,2,FALSE)),"",VLOOKUP(MID($A147,1,1),Kanji_2_HanViet!$A:$C,2,FALSE))</f>
        <v/>
      </c>
      <c r="D147" s="16" t="str">
        <f>IF(ISNA(VLOOKUP(MID($A147,2,1),Kanji_2_HanViet!$A:$C,2,FALSE)),"",VLOOKUP(MID($A147,2,1),Kanji_2_HanViet!$A:$C,2,FALSE))</f>
        <v/>
      </c>
      <c r="E147" s="16" t="str">
        <f>IF(ISNA(VLOOKUP(MID($A147,3,1),Kanji_2_HanViet!$A:$C,2,FALSE)),"",VLOOKUP(MID($A147,3,1),Kanji_2_HanViet!$A:$C,2,FALSE))</f>
        <v/>
      </c>
      <c r="F147" s="16" t="str">
        <f>IF(ISNA(VLOOKUP(MID($A147,4,1),Kanji_2_HanViet!$A:$C,2,FALSE)),"",VLOOKUP(MID($A147,4,1),Kanji_2_HanViet!$A:$C,2,FALSE))</f>
        <v/>
      </c>
      <c r="G147" s="16" t="str">
        <f>IF(ISNA(VLOOKUP(MID($A147,5,1),Kanji_2_HanViet!$A:$C,2,FALSE)),"",VLOOKUP(MID($A147,5,1),Kanji_2_HanViet!$A:$C,2,FALSE))</f>
        <v/>
      </c>
      <c r="H147" s="16" t="str">
        <f>IF(ISNA(VLOOKUP(MID($A147,6,1),Kanji_2_HanViet!$A:$C,2,FALSE)),"",VLOOKUP(MID($A147,6,1),Kanji_2_HanViet!$A:$C,2,FALSE))</f>
        <v/>
      </c>
      <c r="I147" s="16" t="str">
        <f>IF(ISNA(VLOOKUP(MID($A147,7,1),Kanji_2_HanViet!$A:$C,2,FALSE)),"",VLOOKUP(MID($A147,7,1),Kanji_2_HanViet!$A:$C,2,FALSE))</f>
        <v/>
      </c>
      <c r="J147" s="16" t="str">
        <f>IF(ISNA(VLOOKUP(MID($A147,8,1),Kanji_2_HanViet!$A:$C,2,FALSE)),"",VLOOKUP(MID($A147,8,1),Kanji_2_HanViet!$A:$C,2,FALSE))</f>
        <v/>
      </c>
      <c r="K147" s="16" t="str">
        <f>IF(ISNA(VLOOKUP(MID($A147,9,1),Kanji_2_HanViet!$A:$C,2,FALSE)),"",VLOOKUP(MID($A147,9,1),Kanji_2_HanViet!$A:$C,2,FALSE))</f>
        <v/>
      </c>
    </row>
    <row r="148" spans="1:11">
      <c r="A148" s="14">
        <f>Master!B155</f>
        <v>0</v>
      </c>
      <c r="B148" s="17" t="str">
        <f t="shared" si="2"/>
        <v/>
      </c>
      <c r="C148" s="16" t="str">
        <f>IF(ISNA(VLOOKUP(MID($A148,1,1),Kanji_2_HanViet!$A:$C,2,FALSE)),"",VLOOKUP(MID($A148,1,1),Kanji_2_HanViet!$A:$C,2,FALSE))</f>
        <v/>
      </c>
      <c r="D148" s="16" t="str">
        <f>IF(ISNA(VLOOKUP(MID($A148,2,1),Kanji_2_HanViet!$A:$C,2,FALSE)),"",VLOOKUP(MID($A148,2,1),Kanji_2_HanViet!$A:$C,2,FALSE))</f>
        <v/>
      </c>
      <c r="E148" s="16" t="str">
        <f>IF(ISNA(VLOOKUP(MID($A148,3,1),Kanji_2_HanViet!$A:$C,2,FALSE)),"",VLOOKUP(MID($A148,3,1),Kanji_2_HanViet!$A:$C,2,FALSE))</f>
        <v/>
      </c>
      <c r="F148" s="16" t="str">
        <f>IF(ISNA(VLOOKUP(MID($A148,4,1),Kanji_2_HanViet!$A:$C,2,FALSE)),"",VLOOKUP(MID($A148,4,1),Kanji_2_HanViet!$A:$C,2,FALSE))</f>
        <v/>
      </c>
      <c r="G148" s="16" t="str">
        <f>IF(ISNA(VLOOKUP(MID($A148,5,1),Kanji_2_HanViet!$A:$C,2,FALSE)),"",VLOOKUP(MID($A148,5,1),Kanji_2_HanViet!$A:$C,2,FALSE))</f>
        <v/>
      </c>
      <c r="H148" s="16" t="str">
        <f>IF(ISNA(VLOOKUP(MID($A148,6,1),Kanji_2_HanViet!$A:$C,2,FALSE)),"",VLOOKUP(MID($A148,6,1),Kanji_2_HanViet!$A:$C,2,FALSE))</f>
        <v/>
      </c>
      <c r="I148" s="16" t="str">
        <f>IF(ISNA(VLOOKUP(MID($A148,7,1),Kanji_2_HanViet!$A:$C,2,FALSE)),"",VLOOKUP(MID($A148,7,1),Kanji_2_HanViet!$A:$C,2,FALSE))</f>
        <v/>
      </c>
      <c r="J148" s="16" t="str">
        <f>IF(ISNA(VLOOKUP(MID($A148,8,1),Kanji_2_HanViet!$A:$C,2,FALSE)),"",VLOOKUP(MID($A148,8,1),Kanji_2_HanViet!$A:$C,2,FALSE))</f>
        <v/>
      </c>
      <c r="K148" s="16" t="str">
        <f>IF(ISNA(VLOOKUP(MID($A148,9,1),Kanji_2_HanViet!$A:$C,2,FALSE)),"",VLOOKUP(MID($A148,9,1),Kanji_2_HanViet!$A:$C,2,FALSE))</f>
        <v/>
      </c>
    </row>
    <row r="149" spans="1:11">
      <c r="A149" s="14">
        <f>Master!B156</f>
        <v>0</v>
      </c>
      <c r="B149" s="17" t="str">
        <f t="shared" si="2"/>
        <v/>
      </c>
      <c r="C149" s="16" t="str">
        <f>IF(ISNA(VLOOKUP(MID($A149,1,1),Kanji_2_HanViet!$A:$C,2,FALSE)),"",VLOOKUP(MID($A149,1,1),Kanji_2_HanViet!$A:$C,2,FALSE))</f>
        <v/>
      </c>
      <c r="D149" s="16" t="str">
        <f>IF(ISNA(VLOOKUP(MID($A149,2,1),Kanji_2_HanViet!$A:$C,2,FALSE)),"",VLOOKUP(MID($A149,2,1),Kanji_2_HanViet!$A:$C,2,FALSE))</f>
        <v/>
      </c>
      <c r="E149" s="16" t="str">
        <f>IF(ISNA(VLOOKUP(MID($A149,3,1),Kanji_2_HanViet!$A:$C,2,FALSE)),"",VLOOKUP(MID($A149,3,1),Kanji_2_HanViet!$A:$C,2,FALSE))</f>
        <v/>
      </c>
      <c r="F149" s="16" t="str">
        <f>IF(ISNA(VLOOKUP(MID($A149,4,1),Kanji_2_HanViet!$A:$C,2,FALSE)),"",VLOOKUP(MID($A149,4,1),Kanji_2_HanViet!$A:$C,2,FALSE))</f>
        <v/>
      </c>
      <c r="G149" s="16" t="str">
        <f>IF(ISNA(VLOOKUP(MID($A149,5,1),Kanji_2_HanViet!$A:$C,2,FALSE)),"",VLOOKUP(MID($A149,5,1),Kanji_2_HanViet!$A:$C,2,FALSE))</f>
        <v/>
      </c>
      <c r="H149" s="16" t="str">
        <f>IF(ISNA(VLOOKUP(MID($A149,6,1),Kanji_2_HanViet!$A:$C,2,FALSE)),"",VLOOKUP(MID($A149,6,1),Kanji_2_HanViet!$A:$C,2,FALSE))</f>
        <v/>
      </c>
      <c r="I149" s="16" t="str">
        <f>IF(ISNA(VLOOKUP(MID($A149,7,1),Kanji_2_HanViet!$A:$C,2,FALSE)),"",VLOOKUP(MID($A149,7,1),Kanji_2_HanViet!$A:$C,2,FALSE))</f>
        <v/>
      </c>
      <c r="J149" s="16" t="str">
        <f>IF(ISNA(VLOOKUP(MID($A149,8,1),Kanji_2_HanViet!$A:$C,2,FALSE)),"",VLOOKUP(MID($A149,8,1),Kanji_2_HanViet!$A:$C,2,FALSE))</f>
        <v/>
      </c>
      <c r="K149" s="16" t="str">
        <f>IF(ISNA(VLOOKUP(MID($A149,9,1),Kanji_2_HanViet!$A:$C,2,FALSE)),"",VLOOKUP(MID($A149,9,1),Kanji_2_HanViet!$A:$C,2,FALSE))</f>
        <v/>
      </c>
    </row>
    <row r="150" spans="1:11">
      <c r="A150" s="14">
        <f>Master!B157</f>
        <v>0</v>
      </c>
      <c r="B150" s="17" t="str">
        <f t="shared" si="2"/>
        <v/>
      </c>
      <c r="C150" s="16" t="str">
        <f>IF(ISNA(VLOOKUP(MID($A150,1,1),Kanji_2_HanViet!$A:$C,2,FALSE)),"",VLOOKUP(MID($A150,1,1),Kanji_2_HanViet!$A:$C,2,FALSE))</f>
        <v/>
      </c>
      <c r="D150" s="16" t="str">
        <f>IF(ISNA(VLOOKUP(MID($A150,2,1),Kanji_2_HanViet!$A:$C,2,FALSE)),"",VLOOKUP(MID($A150,2,1),Kanji_2_HanViet!$A:$C,2,FALSE))</f>
        <v/>
      </c>
      <c r="E150" s="16" t="str">
        <f>IF(ISNA(VLOOKUP(MID($A150,3,1),Kanji_2_HanViet!$A:$C,2,FALSE)),"",VLOOKUP(MID($A150,3,1),Kanji_2_HanViet!$A:$C,2,FALSE))</f>
        <v/>
      </c>
      <c r="F150" s="16" t="str">
        <f>IF(ISNA(VLOOKUP(MID($A150,4,1),Kanji_2_HanViet!$A:$C,2,FALSE)),"",VLOOKUP(MID($A150,4,1),Kanji_2_HanViet!$A:$C,2,FALSE))</f>
        <v/>
      </c>
      <c r="G150" s="16" t="str">
        <f>IF(ISNA(VLOOKUP(MID($A150,5,1),Kanji_2_HanViet!$A:$C,2,FALSE)),"",VLOOKUP(MID($A150,5,1),Kanji_2_HanViet!$A:$C,2,FALSE))</f>
        <v/>
      </c>
      <c r="H150" s="16" t="str">
        <f>IF(ISNA(VLOOKUP(MID($A150,6,1),Kanji_2_HanViet!$A:$C,2,FALSE)),"",VLOOKUP(MID($A150,6,1),Kanji_2_HanViet!$A:$C,2,FALSE))</f>
        <v/>
      </c>
      <c r="I150" s="16" t="str">
        <f>IF(ISNA(VLOOKUP(MID($A150,7,1),Kanji_2_HanViet!$A:$C,2,FALSE)),"",VLOOKUP(MID($A150,7,1),Kanji_2_HanViet!$A:$C,2,FALSE))</f>
        <v/>
      </c>
      <c r="J150" s="16" t="str">
        <f>IF(ISNA(VLOOKUP(MID($A150,8,1),Kanji_2_HanViet!$A:$C,2,FALSE)),"",VLOOKUP(MID($A150,8,1),Kanji_2_HanViet!$A:$C,2,FALSE))</f>
        <v/>
      </c>
      <c r="K150" s="16" t="str">
        <f>IF(ISNA(VLOOKUP(MID($A150,9,1),Kanji_2_HanViet!$A:$C,2,FALSE)),"",VLOOKUP(MID($A150,9,1),Kanji_2_HanViet!$A:$C,2,FALSE))</f>
        <v/>
      </c>
    </row>
    <row r="151" spans="1:11">
      <c r="A151" s="14">
        <f>Master!B158</f>
        <v>0</v>
      </c>
      <c r="B151" s="17" t="str">
        <f t="shared" si="2"/>
        <v/>
      </c>
      <c r="C151" s="16" t="str">
        <f>IF(ISNA(VLOOKUP(MID($A151,1,1),Kanji_2_HanViet!$A:$C,2,FALSE)),"",VLOOKUP(MID($A151,1,1),Kanji_2_HanViet!$A:$C,2,FALSE))</f>
        <v/>
      </c>
      <c r="D151" s="16" t="str">
        <f>IF(ISNA(VLOOKUP(MID($A151,2,1),Kanji_2_HanViet!$A:$C,2,FALSE)),"",VLOOKUP(MID($A151,2,1),Kanji_2_HanViet!$A:$C,2,FALSE))</f>
        <v/>
      </c>
      <c r="E151" s="16" t="str">
        <f>IF(ISNA(VLOOKUP(MID($A151,3,1),Kanji_2_HanViet!$A:$C,2,FALSE)),"",VLOOKUP(MID($A151,3,1),Kanji_2_HanViet!$A:$C,2,FALSE))</f>
        <v/>
      </c>
      <c r="F151" s="16" t="str">
        <f>IF(ISNA(VLOOKUP(MID($A151,4,1),Kanji_2_HanViet!$A:$C,2,FALSE)),"",VLOOKUP(MID($A151,4,1),Kanji_2_HanViet!$A:$C,2,FALSE))</f>
        <v/>
      </c>
      <c r="G151" s="16" t="str">
        <f>IF(ISNA(VLOOKUP(MID($A151,5,1),Kanji_2_HanViet!$A:$C,2,FALSE)),"",VLOOKUP(MID($A151,5,1),Kanji_2_HanViet!$A:$C,2,FALSE))</f>
        <v/>
      </c>
      <c r="H151" s="16" t="str">
        <f>IF(ISNA(VLOOKUP(MID($A151,6,1),Kanji_2_HanViet!$A:$C,2,FALSE)),"",VLOOKUP(MID($A151,6,1),Kanji_2_HanViet!$A:$C,2,FALSE))</f>
        <v/>
      </c>
      <c r="I151" s="16" t="str">
        <f>IF(ISNA(VLOOKUP(MID($A151,7,1),Kanji_2_HanViet!$A:$C,2,FALSE)),"",VLOOKUP(MID($A151,7,1),Kanji_2_HanViet!$A:$C,2,FALSE))</f>
        <v/>
      </c>
      <c r="J151" s="16" t="str">
        <f>IF(ISNA(VLOOKUP(MID($A151,8,1),Kanji_2_HanViet!$A:$C,2,FALSE)),"",VLOOKUP(MID($A151,8,1),Kanji_2_HanViet!$A:$C,2,FALSE))</f>
        <v/>
      </c>
      <c r="K151" s="16" t="str">
        <f>IF(ISNA(VLOOKUP(MID($A151,9,1),Kanji_2_HanViet!$A:$C,2,FALSE)),"",VLOOKUP(MID($A151,9,1),Kanji_2_HanViet!$A:$C,2,FALSE))</f>
        <v/>
      </c>
    </row>
    <row r="152" spans="1:11">
      <c r="A152" s="14">
        <f>Master!B159</f>
        <v>0</v>
      </c>
      <c r="B152" s="17" t="str">
        <f t="shared" si="2"/>
        <v/>
      </c>
      <c r="C152" s="16" t="str">
        <f>IF(ISNA(VLOOKUP(MID($A152,1,1),Kanji_2_HanViet!$A:$C,2,FALSE)),"",VLOOKUP(MID($A152,1,1),Kanji_2_HanViet!$A:$C,2,FALSE))</f>
        <v/>
      </c>
      <c r="D152" s="16" t="str">
        <f>IF(ISNA(VLOOKUP(MID($A152,2,1),Kanji_2_HanViet!$A:$C,2,FALSE)),"",VLOOKUP(MID($A152,2,1),Kanji_2_HanViet!$A:$C,2,FALSE))</f>
        <v/>
      </c>
      <c r="E152" s="16" t="str">
        <f>IF(ISNA(VLOOKUP(MID($A152,3,1),Kanji_2_HanViet!$A:$C,2,FALSE)),"",VLOOKUP(MID($A152,3,1),Kanji_2_HanViet!$A:$C,2,FALSE))</f>
        <v/>
      </c>
      <c r="F152" s="16" t="str">
        <f>IF(ISNA(VLOOKUP(MID($A152,4,1),Kanji_2_HanViet!$A:$C,2,FALSE)),"",VLOOKUP(MID($A152,4,1),Kanji_2_HanViet!$A:$C,2,FALSE))</f>
        <v/>
      </c>
      <c r="G152" s="16" t="str">
        <f>IF(ISNA(VLOOKUP(MID($A152,5,1),Kanji_2_HanViet!$A:$C,2,FALSE)),"",VLOOKUP(MID($A152,5,1),Kanji_2_HanViet!$A:$C,2,FALSE))</f>
        <v/>
      </c>
      <c r="H152" s="16" t="str">
        <f>IF(ISNA(VLOOKUP(MID($A152,6,1),Kanji_2_HanViet!$A:$C,2,FALSE)),"",VLOOKUP(MID($A152,6,1),Kanji_2_HanViet!$A:$C,2,FALSE))</f>
        <v/>
      </c>
      <c r="I152" s="16" t="str">
        <f>IF(ISNA(VLOOKUP(MID($A152,7,1),Kanji_2_HanViet!$A:$C,2,FALSE)),"",VLOOKUP(MID($A152,7,1),Kanji_2_HanViet!$A:$C,2,FALSE))</f>
        <v/>
      </c>
      <c r="J152" s="16" t="str">
        <f>IF(ISNA(VLOOKUP(MID($A152,8,1),Kanji_2_HanViet!$A:$C,2,FALSE)),"",VLOOKUP(MID($A152,8,1),Kanji_2_HanViet!$A:$C,2,FALSE))</f>
        <v/>
      </c>
      <c r="K152" s="16" t="str">
        <f>IF(ISNA(VLOOKUP(MID($A152,9,1),Kanji_2_HanViet!$A:$C,2,FALSE)),"",VLOOKUP(MID($A152,9,1),Kanji_2_HanViet!$A:$C,2,FALSE))</f>
        <v/>
      </c>
    </row>
    <row r="153" spans="1:11">
      <c r="A153" s="14">
        <f>Master!B160</f>
        <v>0</v>
      </c>
      <c r="B153" s="17" t="str">
        <f t="shared" si="2"/>
        <v/>
      </c>
      <c r="C153" s="16" t="str">
        <f>IF(ISNA(VLOOKUP(MID($A153,1,1),Kanji_2_HanViet!$A:$C,2,FALSE)),"",VLOOKUP(MID($A153,1,1),Kanji_2_HanViet!$A:$C,2,FALSE))</f>
        <v/>
      </c>
      <c r="D153" s="16" t="str">
        <f>IF(ISNA(VLOOKUP(MID($A153,2,1),Kanji_2_HanViet!$A:$C,2,FALSE)),"",VLOOKUP(MID($A153,2,1),Kanji_2_HanViet!$A:$C,2,FALSE))</f>
        <v/>
      </c>
      <c r="E153" s="16" t="str">
        <f>IF(ISNA(VLOOKUP(MID($A153,3,1),Kanji_2_HanViet!$A:$C,2,FALSE)),"",VLOOKUP(MID($A153,3,1),Kanji_2_HanViet!$A:$C,2,FALSE))</f>
        <v/>
      </c>
      <c r="F153" s="16" t="str">
        <f>IF(ISNA(VLOOKUP(MID($A153,4,1),Kanji_2_HanViet!$A:$C,2,FALSE)),"",VLOOKUP(MID($A153,4,1),Kanji_2_HanViet!$A:$C,2,FALSE))</f>
        <v/>
      </c>
      <c r="G153" s="16" t="str">
        <f>IF(ISNA(VLOOKUP(MID($A153,5,1),Kanji_2_HanViet!$A:$C,2,FALSE)),"",VLOOKUP(MID($A153,5,1),Kanji_2_HanViet!$A:$C,2,FALSE))</f>
        <v/>
      </c>
      <c r="H153" s="16" t="str">
        <f>IF(ISNA(VLOOKUP(MID($A153,6,1),Kanji_2_HanViet!$A:$C,2,FALSE)),"",VLOOKUP(MID($A153,6,1),Kanji_2_HanViet!$A:$C,2,FALSE))</f>
        <v/>
      </c>
      <c r="I153" s="16" t="str">
        <f>IF(ISNA(VLOOKUP(MID($A153,7,1),Kanji_2_HanViet!$A:$C,2,FALSE)),"",VLOOKUP(MID($A153,7,1),Kanji_2_HanViet!$A:$C,2,FALSE))</f>
        <v/>
      </c>
      <c r="J153" s="16" t="str">
        <f>IF(ISNA(VLOOKUP(MID($A153,8,1),Kanji_2_HanViet!$A:$C,2,FALSE)),"",VLOOKUP(MID($A153,8,1),Kanji_2_HanViet!$A:$C,2,FALSE))</f>
        <v/>
      </c>
      <c r="K153" s="16" t="str">
        <f>IF(ISNA(VLOOKUP(MID($A153,9,1),Kanji_2_HanViet!$A:$C,2,FALSE)),"",VLOOKUP(MID($A153,9,1),Kanji_2_HanViet!$A:$C,2,FALSE))</f>
        <v/>
      </c>
    </row>
    <row r="154" spans="1:11">
      <c r="A154" s="14">
        <f>Master!B161</f>
        <v>0</v>
      </c>
      <c r="B154" s="17" t="str">
        <f t="shared" si="2"/>
        <v/>
      </c>
      <c r="C154" s="16" t="str">
        <f>IF(ISNA(VLOOKUP(MID($A154,1,1),Kanji_2_HanViet!$A:$C,2,FALSE)),"",VLOOKUP(MID($A154,1,1),Kanji_2_HanViet!$A:$C,2,FALSE))</f>
        <v/>
      </c>
      <c r="D154" s="16" t="str">
        <f>IF(ISNA(VLOOKUP(MID($A154,2,1),Kanji_2_HanViet!$A:$C,2,FALSE)),"",VLOOKUP(MID($A154,2,1),Kanji_2_HanViet!$A:$C,2,FALSE))</f>
        <v/>
      </c>
      <c r="E154" s="16" t="str">
        <f>IF(ISNA(VLOOKUP(MID($A154,3,1),Kanji_2_HanViet!$A:$C,2,FALSE)),"",VLOOKUP(MID($A154,3,1),Kanji_2_HanViet!$A:$C,2,FALSE))</f>
        <v/>
      </c>
      <c r="F154" s="16" t="str">
        <f>IF(ISNA(VLOOKUP(MID($A154,4,1),Kanji_2_HanViet!$A:$C,2,FALSE)),"",VLOOKUP(MID($A154,4,1),Kanji_2_HanViet!$A:$C,2,FALSE))</f>
        <v/>
      </c>
      <c r="G154" s="16" t="str">
        <f>IF(ISNA(VLOOKUP(MID($A154,5,1),Kanji_2_HanViet!$A:$C,2,FALSE)),"",VLOOKUP(MID($A154,5,1),Kanji_2_HanViet!$A:$C,2,FALSE))</f>
        <v/>
      </c>
      <c r="H154" s="16" t="str">
        <f>IF(ISNA(VLOOKUP(MID($A154,6,1),Kanji_2_HanViet!$A:$C,2,FALSE)),"",VLOOKUP(MID($A154,6,1),Kanji_2_HanViet!$A:$C,2,FALSE))</f>
        <v/>
      </c>
      <c r="I154" s="16" t="str">
        <f>IF(ISNA(VLOOKUP(MID($A154,7,1),Kanji_2_HanViet!$A:$C,2,FALSE)),"",VLOOKUP(MID($A154,7,1),Kanji_2_HanViet!$A:$C,2,FALSE))</f>
        <v/>
      </c>
      <c r="J154" s="16" t="str">
        <f>IF(ISNA(VLOOKUP(MID($A154,8,1),Kanji_2_HanViet!$A:$C,2,FALSE)),"",VLOOKUP(MID($A154,8,1),Kanji_2_HanViet!$A:$C,2,FALSE))</f>
        <v/>
      </c>
      <c r="K154" s="16" t="str">
        <f>IF(ISNA(VLOOKUP(MID($A154,9,1),Kanji_2_HanViet!$A:$C,2,FALSE)),"",VLOOKUP(MID($A154,9,1),Kanji_2_HanViet!$A:$C,2,FALSE))</f>
        <v/>
      </c>
    </row>
    <row r="155" spans="1:11">
      <c r="A155" s="14">
        <f>Master!B162</f>
        <v>0</v>
      </c>
      <c r="B155" s="17" t="str">
        <f t="shared" si="2"/>
        <v/>
      </c>
      <c r="C155" s="16" t="str">
        <f>IF(ISNA(VLOOKUP(MID($A155,1,1),Kanji_2_HanViet!$A:$C,2,FALSE)),"",VLOOKUP(MID($A155,1,1),Kanji_2_HanViet!$A:$C,2,FALSE))</f>
        <v/>
      </c>
      <c r="D155" s="16" t="str">
        <f>IF(ISNA(VLOOKUP(MID($A155,2,1),Kanji_2_HanViet!$A:$C,2,FALSE)),"",VLOOKUP(MID($A155,2,1),Kanji_2_HanViet!$A:$C,2,FALSE))</f>
        <v/>
      </c>
      <c r="E155" s="16" t="str">
        <f>IF(ISNA(VLOOKUP(MID($A155,3,1),Kanji_2_HanViet!$A:$C,2,FALSE)),"",VLOOKUP(MID($A155,3,1),Kanji_2_HanViet!$A:$C,2,FALSE))</f>
        <v/>
      </c>
      <c r="F155" s="16" t="str">
        <f>IF(ISNA(VLOOKUP(MID($A155,4,1),Kanji_2_HanViet!$A:$C,2,FALSE)),"",VLOOKUP(MID($A155,4,1),Kanji_2_HanViet!$A:$C,2,FALSE))</f>
        <v/>
      </c>
      <c r="G155" s="16" t="str">
        <f>IF(ISNA(VLOOKUP(MID($A155,5,1),Kanji_2_HanViet!$A:$C,2,FALSE)),"",VLOOKUP(MID($A155,5,1),Kanji_2_HanViet!$A:$C,2,FALSE))</f>
        <v/>
      </c>
      <c r="H155" s="16" t="str">
        <f>IF(ISNA(VLOOKUP(MID($A155,6,1),Kanji_2_HanViet!$A:$C,2,FALSE)),"",VLOOKUP(MID($A155,6,1),Kanji_2_HanViet!$A:$C,2,FALSE))</f>
        <v/>
      </c>
      <c r="I155" s="16" t="str">
        <f>IF(ISNA(VLOOKUP(MID($A155,7,1),Kanji_2_HanViet!$A:$C,2,FALSE)),"",VLOOKUP(MID($A155,7,1),Kanji_2_HanViet!$A:$C,2,FALSE))</f>
        <v/>
      </c>
      <c r="J155" s="16" t="str">
        <f>IF(ISNA(VLOOKUP(MID($A155,8,1),Kanji_2_HanViet!$A:$C,2,FALSE)),"",VLOOKUP(MID($A155,8,1),Kanji_2_HanViet!$A:$C,2,FALSE))</f>
        <v/>
      </c>
      <c r="K155" s="16" t="str">
        <f>IF(ISNA(VLOOKUP(MID($A155,9,1),Kanji_2_HanViet!$A:$C,2,FALSE)),"",VLOOKUP(MID($A155,9,1),Kanji_2_HanViet!$A:$C,2,FALSE))</f>
        <v/>
      </c>
    </row>
    <row r="156" spans="1:11">
      <c r="A156" s="14">
        <f>Master!B163</f>
        <v>0</v>
      </c>
      <c r="B156" s="17" t="str">
        <f t="shared" si="2"/>
        <v/>
      </c>
      <c r="C156" s="16" t="str">
        <f>IF(ISNA(VLOOKUP(MID($A156,1,1),Kanji_2_HanViet!$A:$C,2,FALSE)),"",VLOOKUP(MID($A156,1,1),Kanji_2_HanViet!$A:$C,2,FALSE))</f>
        <v/>
      </c>
      <c r="D156" s="16" t="str">
        <f>IF(ISNA(VLOOKUP(MID($A156,2,1),Kanji_2_HanViet!$A:$C,2,FALSE)),"",VLOOKUP(MID($A156,2,1),Kanji_2_HanViet!$A:$C,2,FALSE))</f>
        <v/>
      </c>
      <c r="E156" s="16" t="str">
        <f>IF(ISNA(VLOOKUP(MID($A156,3,1),Kanji_2_HanViet!$A:$C,2,FALSE)),"",VLOOKUP(MID($A156,3,1),Kanji_2_HanViet!$A:$C,2,FALSE))</f>
        <v/>
      </c>
      <c r="F156" s="16" t="str">
        <f>IF(ISNA(VLOOKUP(MID($A156,4,1),Kanji_2_HanViet!$A:$C,2,FALSE)),"",VLOOKUP(MID($A156,4,1),Kanji_2_HanViet!$A:$C,2,FALSE))</f>
        <v/>
      </c>
      <c r="G156" s="16" t="str">
        <f>IF(ISNA(VLOOKUP(MID($A156,5,1),Kanji_2_HanViet!$A:$C,2,FALSE)),"",VLOOKUP(MID($A156,5,1),Kanji_2_HanViet!$A:$C,2,FALSE))</f>
        <v/>
      </c>
      <c r="H156" s="16" t="str">
        <f>IF(ISNA(VLOOKUP(MID($A156,6,1),Kanji_2_HanViet!$A:$C,2,FALSE)),"",VLOOKUP(MID($A156,6,1),Kanji_2_HanViet!$A:$C,2,FALSE))</f>
        <v/>
      </c>
      <c r="I156" s="16" t="str">
        <f>IF(ISNA(VLOOKUP(MID($A156,7,1),Kanji_2_HanViet!$A:$C,2,FALSE)),"",VLOOKUP(MID($A156,7,1),Kanji_2_HanViet!$A:$C,2,FALSE))</f>
        <v/>
      </c>
      <c r="J156" s="16" t="str">
        <f>IF(ISNA(VLOOKUP(MID($A156,8,1),Kanji_2_HanViet!$A:$C,2,FALSE)),"",VLOOKUP(MID($A156,8,1),Kanji_2_HanViet!$A:$C,2,FALSE))</f>
        <v/>
      </c>
      <c r="K156" s="16" t="str">
        <f>IF(ISNA(VLOOKUP(MID($A156,9,1),Kanji_2_HanViet!$A:$C,2,FALSE)),"",VLOOKUP(MID($A156,9,1),Kanji_2_HanViet!$A:$C,2,FALSE))</f>
        <v/>
      </c>
    </row>
    <row r="157" spans="1:11">
      <c r="A157" s="14">
        <f>Master!B164</f>
        <v>0</v>
      </c>
      <c r="B157" s="17" t="str">
        <f t="shared" si="2"/>
        <v/>
      </c>
      <c r="C157" s="16" t="str">
        <f>IF(ISNA(VLOOKUP(MID($A157,1,1),Kanji_2_HanViet!$A:$C,2,FALSE)),"",VLOOKUP(MID($A157,1,1),Kanji_2_HanViet!$A:$C,2,FALSE))</f>
        <v/>
      </c>
      <c r="D157" s="16" t="str">
        <f>IF(ISNA(VLOOKUP(MID($A157,2,1),Kanji_2_HanViet!$A:$C,2,FALSE)),"",VLOOKUP(MID($A157,2,1),Kanji_2_HanViet!$A:$C,2,FALSE))</f>
        <v/>
      </c>
      <c r="E157" s="16" t="str">
        <f>IF(ISNA(VLOOKUP(MID($A157,3,1),Kanji_2_HanViet!$A:$C,2,FALSE)),"",VLOOKUP(MID($A157,3,1),Kanji_2_HanViet!$A:$C,2,FALSE))</f>
        <v/>
      </c>
      <c r="F157" s="16" t="str">
        <f>IF(ISNA(VLOOKUP(MID($A157,4,1),Kanji_2_HanViet!$A:$C,2,FALSE)),"",VLOOKUP(MID($A157,4,1),Kanji_2_HanViet!$A:$C,2,FALSE))</f>
        <v/>
      </c>
      <c r="G157" s="16" t="str">
        <f>IF(ISNA(VLOOKUP(MID($A157,5,1),Kanji_2_HanViet!$A:$C,2,FALSE)),"",VLOOKUP(MID($A157,5,1),Kanji_2_HanViet!$A:$C,2,FALSE))</f>
        <v/>
      </c>
      <c r="H157" s="16" t="str">
        <f>IF(ISNA(VLOOKUP(MID($A157,6,1),Kanji_2_HanViet!$A:$C,2,FALSE)),"",VLOOKUP(MID($A157,6,1),Kanji_2_HanViet!$A:$C,2,FALSE))</f>
        <v/>
      </c>
      <c r="I157" s="16" t="str">
        <f>IF(ISNA(VLOOKUP(MID($A157,7,1),Kanji_2_HanViet!$A:$C,2,FALSE)),"",VLOOKUP(MID($A157,7,1),Kanji_2_HanViet!$A:$C,2,FALSE))</f>
        <v/>
      </c>
      <c r="J157" s="16" t="str">
        <f>IF(ISNA(VLOOKUP(MID($A157,8,1),Kanji_2_HanViet!$A:$C,2,FALSE)),"",VLOOKUP(MID($A157,8,1),Kanji_2_HanViet!$A:$C,2,FALSE))</f>
        <v/>
      </c>
      <c r="K157" s="16" t="str">
        <f>IF(ISNA(VLOOKUP(MID($A157,9,1),Kanji_2_HanViet!$A:$C,2,FALSE)),"",VLOOKUP(MID($A157,9,1),Kanji_2_HanViet!$A:$C,2,FALSE))</f>
        <v/>
      </c>
    </row>
    <row r="158" spans="1:11">
      <c r="A158" s="14">
        <f>Master!B165</f>
        <v>0</v>
      </c>
      <c r="B158" s="17" t="str">
        <f t="shared" si="2"/>
        <v/>
      </c>
      <c r="C158" s="16" t="str">
        <f>IF(ISNA(VLOOKUP(MID($A158,1,1),Kanji_2_HanViet!$A:$C,2,FALSE)),"",VLOOKUP(MID($A158,1,1),Kanji_2_HanViet!$A:$C,2,FALSE))</f>
        <v/>
      </c>
      <c r="D158" s="16" t="str">
        <f>IF(ISNA(VLOOKUP(MID($A158,2,1),Kanji_2_HanViet!$A:$C,2,FALSE)),"",VLOOKUP(MID($A158,2,1),Kanji_2_HanViet!$A:$C,2,FALSE))</f>
        <v/>
      </c>
      <c r="E158" s="16" t="str">
        <f>IF(ISNA(VLOOKUP(MID($A158,3,1),Kanji_2_HanViet!$A:$C,2,FALSE)),"",VLOOKUP(MID($A158,3,1),Kanji_2_HanViet!$A:$C,2,FALSE))</f>
        <v/>
      </c>
      <c r="F158" s="16" t="str">
        <f>IF(ISNA(VLOOKUP(MID($A158,4,1),Kanji_2_HanViet!$A:$C,2,FALSE)),"",VLOOKUP(MID($A158,4,1),Kanji_2_HanViet!$A:$C,2,FALSE))</f>
        <v/>
      </c>
      <c r="G158" s="16" t="str">
        <f>IF(ISNA(VLOOKUP(MID($A158,5,1),Kanji_2_HanViet!$A:$C,2,FALSE)),"",VLOOKUP(MID($A158,5,1),Kanji_2_HanViet!$A:$C,2,FALSE))</f>
        <v/>
      </c>
      <c r="H158" s="16" t="str">
        <f>IF(ISNA(VLOOKUP(MID($A158,6,1),Kanji_2_HanViet!$A:$C,2,FALSE)),"",VLOOKUP(MID($A158,6,1),Kanji_2_HanViet!$A:$C,2,FALSE))</f>
        <v/>
      </c>
      <c r="I158" s="16" t="str">
        <f>IF(ISNA(VLOOKUP(MID($A158,7,1),Kanji_2_HanViet!$A:$C,2,FALSE)),"",VLOOKUP(MID($A158,7,1),Kanji_2_HanViet!$A:$C,2,FALSE))</f>
        <v/>
      </c>
      <c r="J158" s="16" t="str">
        <f>IF(ISNA(VLOOKUP(MID($A158,8,1),Kanji_2_HanViet!$A:$C,2,FALSE)),"",VLOOKUP(MID($A158,8,1),Kanji_2_HanViet!$A:$C,2,FALSE))</f>
        <v/>
      </c>
      <c r="K158" s="16" t="str">
        <f>IF(ISNA(VLOOKUP(MID($A158,9,1),Kanji_2_HanViet!$A:$C,2,FALSE)),"",VLOOKUP(MID($A158,9,1),Kanji_2_HanViet!$A:$C,2,FALSE))</f>
        <v/>
      </c>
    </row>
    <row r="159" spans="1:11">
      <c r="A159" s="14">
        <f>Master!B166</f>
        <v>0</v>
      </c>
      <c r="B159" s="17" t="str">
        <f t="shared" si="2"/>
        <v/>
      </c>
      <c r="C159" s="16" t="str">
        <f>IF(ISNA(VLOOKUP(MID($A159,1,1),Kanji_2_HanViet!$A:$C,2,FALSE)),"",VLOOKUP(MID($A159,1,1),Kanji_2_HanViet!$A:$C,2,FALSE))</f>
        <v/>
      </c>
      <c r="D159" s="16" t="str">
        <f>IF(ISNA(VLOOKUP(MID($A159,2,1),Kanji_2_HanViet!$A:$C,2,FALSE)),"",VLOOKUP(MID($A159,2,1),Kanji_2_HanViet!$A:$C,2,FALSE))</f>
        <v/>
      </c>
      <c r="E159" s="16" t="str">
        <f>IF(ISNA(VLOOKUP(MID($A159,3,1),Kanji_2_HanViet!$A:$C,2,FALSE)),"",VLOOKUP(MID($A159,3,1),Kanji_2_HanViet!$A:$C,2,FALSE))</f>
        <v/>
      </c>
      <c r="F159" s="16" t="str">
        <f>IF(ISNA(VLOOKUP(MID($A159,4,1),Kanji_2_HanViet!$A:$C,2,FALSE)),"",VLOOKUP(MID($A159,4,1),Kanji_2_HanViet!$A:$C,2,FALSE))</f>
        <v/>
      </c>
      <c r="G159" s="16" t="str">
        <f>IF(ISNA(VLOOKUP(MID($A159,5,1),Kanji_2_HanViet!$A:$C,2,FALSE)),"",VLOOKUP(MID($A159,5,1),Kanji_2_HanViet!$A:$C,2,FALSE))</f>
        <v/>
      </c>
      <c r="H159" s="16" t="str">
        <f>IF(ISNA(VLOOKUP(MID($A159,6,1),Kanji_2_HanViet!$A:$C,2,FALSE)),"",VLOOKUP(MID($A159,6,1),Kanji_2_HanViet!$A:$C,2,FALSE))</f>
        <v/>
      </c>
      <c r="I159" s="16" t="str">
        <f>IF(ISNA(VLOOKUP(MID($A159,7,1),Kanji_2_HanViet!$A:$C,2,FALSE)),"",VLOOKUP(MID($A159,7,1),Kanji_2_HanViet!$A:$C,2,FALSE))</f>
        <v/>
      </c>
      <c r="J159" s="16" t="str">
        <f>IF(ISNA(VLOOKUP(MID($A159,8,1),Kanji_2_HanViet!$A:$C,2,FALSE)),"",VLOOKUP(MID($A159,8,1),Kanji_2_HanViet!$A:$C,2,FALSE))</f>
        <v/>
      </c>
      <c r="K159" s="16" t="str">
        <f>IF(ISNA(VLOOKUP(MID($A159,9,1),Kanji_2_HanViet!$A:$C,2,FALSE)),"",VLOOKUP(MID($A159,9,1),Kanji_2_HanViet!$A:$C,2,FALSE))</f>
        <v/>
      </c>
    </row>
    <row r="160" spans="1:11">
      <c r="A160" s="14">
        <f>Master!B167</f>
        <v>0</v>
      </c>
      <c r="B160" s="17" t="str">
        <f t="shared" si="2"/>
        <v/>
      </c>
      <c r="C160" s="16" t="str">
        <f>IF(ISNA(VLOOKUP(MID($A160,1,1),Kanji_2_HanViet!$A:$C,2,FALSE)),"",VLOOKUP(MID($A160,1,1),Kanji_2_HanViet!$A:$C,2,FALSE))</f>
        <v/>
      </c>
      <c r="D160" s="16" t="str">
        <f>IF(ISNA(VLOOKUP(MID($A160,2,1),Kanji_2_HanViet!$A:$C,2,FALSE)),"",VLOOKUP(MID($A160,2,1),Kanji_2_HanViet!$A:$C,2,FALSE))</f>
        <v/>
      </c>
      <c r="E160" s="16" t="str">
        <f>IF(ISNA(VLOOKUP(MID($A160,3,1),Kanji_2_HanViet!$A:$C,2,FALSE)),"",VLOOKUP(MID($A160,3,1),Kanji_2_HanViet!$A:$C,2,FALSE))</f>
        <v/>
      </c>
      <c r="F160" s="16" t="str">
        <f>IF(ISNA(VLOOKUP(MID($A160,4,1),Kanji_2_HanViet!$A:$C,2,FALSE)),"",VLOOKUP(MID($A160,4,1),Kanji_2_HanViet!$A:$C,2,FALSE))</f>
        <v/>
      </c>
      <c r="G160" s="16" t="str">
        <f>IF(ISNA(VLOOKUP(MID($A160,5,1),Kanji_2_HanViet!$A:$C,2,FALSE)),"",VLOOKUP(MID($A160,5,1),Kanji_2_HanViet!$A:$C,2,FALSE))</f>
        <v/>
      </c>
      <c r="H160" s="16" t="str">
        <f>IF(ISNA(VLOOKUP(MID($A160,6,1),Kanji_2_HanViet!$A:$C,2,FALSE)),"",VLOOKUP(MID($A160,6,1),Kanji_2_HanViet!$A:$C,2,FALSE))</f>
        <v/>
      </c>
      <c r="I160" s="16" t="str">
        <f>IF(ISNA(VLOOKUP(MID($A160,7,1),Kanji_2_HanViet!$A:$C,2,FALSE)),"",VLOOKUP(MID($A160,7,1),Kanji_2_HanViet!$A:$C,2,FALSE))</f>
        <v/>
      </c>
      <c r="J160" s="16" t="str">
        <f>IF(ISNA(VLOOKUP(MID($A160,8,1),Kanji_2_HanViet!$A:$C,2,FALSE)),"",VLOOKUP(MID($A160,8,1),Kanji_2_HanViet!$A:$C,2,FALSE))</f>
        <v/>
      </c>
      <c r="K160" s="16" t="str">
        <f>IF(ISNA(VLOOKUP(MID($A160,9,1),Kanji_2_HanViet!$A:$C,2,FALSE)),"",VLOOKUP(MID($A160,9,1),Kanji_2_HanViet!$A:$C,2,FALSE))</f>
        <v/>
      </c>
    </row>
    <row r="161" spans="1:11">
      <c r="A161" s="14">
        <f>Master!B168</f>
        <v>0</v>
      </c>
      <c r="B161" s="17" t="str">
        <f t="shared" si="2"/>
        <v/>
      </c>
      <c r="C161" s="16" t="str">
        <f>IF(ISNA(VLOOKUP(MID($A161,1,1),Kanji_2_HanViet!$A:$C,2,FALSE)),"",VLOOKUP(MID($A161,1,1),Kanji_2_HanViet!$A:$C,2,FALSE))</f>
        <v/>
      </c>
      <c r="D161" s="16" t="str">
        <f>IF(ISNA(VLOOKUP(MID($A161,2,1),Kanji_2_HanViet!$A:$C,2,FALSE)),"",VLOOKUP(MID($A161,2,1),Kanji_2_HanViet!$A:$C,2,FALSE))</f>
        <v/>
      </c>
      <c r="E161" s="16" t="str">
        <f>IF(ISNA(VLOOKUP(MID($A161,3,1),Kanji_2_HanViet!$A:$C,2,FALSE)),"",VLOOKUP(MID($A161,3,1),Kanji_2_HanViet!$A:$C,2,FALSE))</f>
        <v/>
      </c>
      <c r="F161" s="16" t="str">
        <f>IF(ISNA(VLOOKUP(MID($A161,4,1),Kanji_2_HanViet!$A:$C,2,FALSE)),"",VLOOKUP(MID($A161,4,1),Kanji_2_HanViet!$A:$C,2,FALSE))</f>
        <v/>
      </c>
      <c r="G161" s="16" t="str">
        <f>IF(ISNA(VLOOKUP(MID($A161,5,1),Kanji_2_HanViet!$A:$C,2,FALSE)),"",VLOOKUP(MID($A161,5,1),Kanji_2_HanViet!$A:$C,2,FALSE))</f>
        <v/>
      </c>
      <c r="H161" s="16" t="str">
        <f>IF(ISNA(VLOOKUP(MID($A161,6,1),Kanji_2_HanViet!$A:$C,2,FALSE)),"",VLOOKUP(MID($A161,6,1),Kanji_2_HanViet!$A:$C,2,FALSE))</f>
        <v/>
      </c>
      <c r="I161" s="16" t="str">
        <f>IF(ISNA(VLOOKUP(MID($A161,7,1),Kanji_2_HanViet!$A:$C,2,FALSE)),"",VLOOKUP(MID($A161,7,1),Kanji_2_HanViet!$A:$C,2,FALSE))</f>
        <v/>
      </c>
      <c r="J161" s="16" t="str">
        <f>IF(ISNA(VLOOKUP(MID($A161,8,1),Kanji_2_HanViet!$A:$C,2,FALSE)),"",VLOOKUP(MID($A161,8,1),Kanji_2_HanViet!$A:$C,2,FALSE))</f>
        <v/>
      </c>
      <c r="K161" s="16" t="str">
        <f>IF(ISNA(VLOOKUP(MID($A161,9,1),Kanji_2_HanViet!$A:$C,2,FALSE)),"",VLOOKUP(MID($A161,9,1),Kanji_2_HanViet!$A:$C,2,FALSE))</f>
        <v/>
      </c>
    </row>
    <row r="162" spans="1:11">
      <c r="A162" s="14">
        <f>Master!B169</f>
        <v>0</v>
      </c>
      <c r="B162" s="17" t="str">
        <f t="shared" si="2"/>
        <v/>
      </c>
      <c r="C162" s="16" t="str">
        <f>IF(ISNA(VLOOKUP(MID($A162,1,1),Kanji_2_HanViet!$A:$C,2,FALSE)),"",VLOOKUP(MID($A162,1,1),Kanji_2_HanViet!$A:$C,2,FALSE))</f>
        <v/>
      </c>
      <c r="D162" s="16" t="str">
        <f>IF(ISNA(VLOOKUP(MID($A162,2,1),Kanji_2_HanViet!$A:$C,2,FALSE)),"",VLOOKUP(MID($A162,2,1),Kanji_2_HanViet!$A:$C,2,FALSE))</f>
        <v/>
      </c>
      <c r="E162" s="16" t="str">
        <f>IF(ISNA(VLOOKUP(MID($A162,3,1),Kanji_2_HanViet!$A:$C,2,FALSE)),"",VLOOKUP(MID($A162,3,1),Kanji_2_HanViet!$A:$C,2,FALSE))</f>
        <v/>
      </c>
      <c r="F162" s="16" t="str">
        <f>IF(ISNA(VLOOKUP(MID($A162,4,1),Kanji_2_HanViet!$A:$C,2,FALSE)),"",VLOOKUP(MID($A162,4,1),Kanji_2_HanViet!$A:$C,2,FALSE))</f>
        <v/>
      </c>
      <c r="G162" s="16" t="str">
        <f>IF(ISNA(VLOOKUP(MID($A162,5,1),Kanji_2_HanViet!$A:$C,2,FALSE)),"",VLOOKUP(MID($A162,5,1),Kanji_2_HanViet!$A:$C,2,FALSE))</f>
        <v/>
      </c>
      <c r="H162" s="16" t="str">
        <f>IF(ISNA(VLOOKUP(MID($A162,6,1),Kanji_2_HanViet!$A:$C,2,FALSE)),"",VLOOKUP(MID($A162,6,1),Kanji_2_HanViet!$A:$C,2,FALSE))</f>
        <v/>
      </c>
      <c r="I162" s="16" t="str">
        <f>IF(ISNA(VLOOKUP(MID($A162,7,1),Kanji_2_HanViet!$A:$C,2,FALSE)),"",VLOOKUP(MID($A162,7,1),Kanji_2_HanViet!$A:$C,2,FALSE))</f>
        <v/>
      </c>
      <c r="J162" s="16" t="str">
        <f>IF(ISNA(VLOOKUP(MID($A162,8,1),Kanji_2_HanViet!$A:$C,2,FALSE)),"",VLOOKUP(MID($A162,8,1),Kanji_2_HanViet!$A:$C,2,FALSE))</f>
        <v/>
      </c>
      <c r="K162" s="16" t="str">
        <f>IF(ISNA(VLOOKUP(MID($A162,9,1),Kanji_2_HanViet!$A:$C,2,FALSE)),"",VLOOKUP(MID($A162,9,1),Kanji_2_HanViet!$A:$C,2,FALSE))</f>
        <v/>
      </c>
    </row>
    <row r="163" spans="1:11">
      <c r="A163" s="14">
        <f>Master!B170</f>
        <v>0</v>
      </c>
      <c r="B163" s="17" t="str">
        <f t="shared" si="2"/>
        <v/>
      </c>
      <c r="C163" s="16" t="str">
        <f>IF(ISNA(VLOOKUP(MID($A163,1,1),Kanji_2_HanViet!$A:$C,2,FALSE)),"",VLOOKUP(MID($A163,1,1),Kanji_2_HanViet!$A:$C,2,FALSE))</f>
        <v/>
      </c>
      <c r="D163" s="16" t="str">
        <f>IF(ISNA(VLOOKUP(MID($A163,2,1),Kanji_2_HanViet!$A:$C,2,FALSE)),"",VLOOKUP(MID($A163,2,1),Kanji_2_HanViet!$A:$C,2,FALSE))</f>
        <v/>
      </c>
      <c r="E163" s="16" t="str">
        <f>IF(ISNA(VLOOKUP(MID($A163,3,1),Kanji_2_HanViet!$A:$C,2,FALSE)),"",VLOOKUP(MID($A163,3,1),Kanji_2_HanViet!$A:$C,2,FALSE))</f>
        <v/>
      </c>
      <c r="F163" s="16" t="str">
        <f>IF(ISNA(VLOOKUP(MID($A163,4,1),Kanji_2_HanViet!$A:$C,2,FALSE)),"",VLOOKUP(MID($A163,4,1),Kanji_2_HanViet!$A:$C,2,FALSE))</f>
        <v/>
      </c>
      <c r="G163" s="16" t="str">
        <f>IF(ISNA(VLOOKUP(MID($A163,5,1),Kanji_2_HanViet!$A:$C,2,FALSE)),"",VLOOKUP(MID($A163,5,1),Kanji_2_HanViet!$A:$C,2,FALSE))</f>
        <v/>
      </c>
      <c r="H163" s="16" t="str">
        <f>IF(ISNA(VLOOKUP(MID($A163,6,1),Kanji_2_HanViet!$A:$C,2,FALSE)),"",VLOOKUP(MID($A163,6,1),Kanji_2_HanViet!$A:$C,2,FALSE))</f>
        <v/>
      </c>
      <c r="I163" s="16" t="str">
        <f>IF(ISNA(VLOOKUP(MID($A163,7,1),Kanji_2_HanViet!$A:$C,2,FALSE)),"",VLOOKUP(MID($A163,7,1),Kanji_2_HanViet!$A:$C,2,FALSE))</f>
        <v/>
      </c>
      <c r="J163" s="16" t="str">
        <f>IF(ISNA(VLOOKUP(MID($A163,8,1),Kanji_2_HanViet!$A:$C,2,FALSE)),"",VLOOKUP(MID($A163,8,1),Kanji_2_HanViet!$A:$C,2,FALSE))</f>
        <v/>
      </c>
      <c r="K163" s="16" t="str">
        <f>IF(ISNA(VLOOKUP(MID($A163,9,1),Kanji_2_HanViet!$A:$C,2,FALSE)),"",VLOOKUP(MID($A163,9,1),Kanji_2_HanViet!$A:$C,2,FALSE))</f>
        <v/>
      </c>
    </row>
    <row r="164" spans="1:11">
      <c r="A164" s="14">
        <f>Master!B171</f>
        <v>0</v>
      </c>
      <c r="B164" s="17" t="str">
        <f t="shared" si="2"/>
        <v/>
      </c>
      <c r="C164" s="16" t="str">
        <f>IF(ISNA(VLOOKUP(MID($A164,1,1),Kanji_2_HanViet!$A:$C,2,FALSE)),"",VLOOKUP(MID($A164,1,1),Kanji_2_HanViet!$A:$C,2,FALSE))</f>
        <v/>
      </c>
      <c r="D164" s="16" t="str">
        <f>IF(ISNA(VLOOKUP(MID($A164,2,1),Kanji_2_HanViet!$A:$C,2,FALSE)),"",VLOOKUP(MID($A164,2,1),Kanji_2_HanViet!$A:$C,2,FALSE))</f>
        <v/>
      </c>
      <c r="E164" s="16" t="str">
        <f>IF(ISNA(VLOOKUP(MID($A164,3,1),Kanji_2_HanViet!$A:$C,2,FALSE)),"",VLOOKUP(MID($A164,3,1),Kanji_2_HanViet!$A:$C,2,FALSE))</f>
        <v/>
      </c>
      <c r="F164" s="16" t="str">
        <f>IF(ISNA(VLOOKUP(MID($A164,4,1),Kanji_2_HanViet!$A:$C,2,FALSE)),"",VLOOKUP(MID($A164,4,1),Kanji_2_HanViet!$A:$C,2,FALSE))</f>
        <v/>
      </c>
      <c r="G164" s="16" t="str">
        <f>IF(ISNA(VLOOKUP(MID($A164,5,1),Kanji_2_HanViet!$A:$C,2,FALSE)),"",VLOOKUP(MID($A164,5,1),Kanji_2_HanViet!$A:$C,2,FALSE))</f>
        <v/>
      </c>
      <c r="H164" s="16" t="str">
        <f>IF(ISNA(VLOOKUP(MID($A164,6,1),Kanji_2_HanViet!$A:$C,2,FALSE)),"",VLOOKUP(MID($A164,6,1),Kanji_2_HanViet!$A:$C,2,FALSE))</f>
        <v/>
      </c>
      <c r="I164" s="16" t="str">
        <f>IF(ISNA(VLOOKUP(MID($A164,7,1),Kanji_2_HanViet!$A:$C,2,FALSE)),"",VLOOKUP(MID($A164,7,1),Kanji_2_HanViet!$A:$C,2,FALSE))</f>
        <v/>
      </c>
      <c r="J164" s="16" t="str">
        <f>IF(ISNA(VLOOKUP(MID($A164,8,1),Kanji_2_HanViet!$A:$C,2,FALSE)),"",VLOOKUP(MID($A164,8,1),Kanji_2_HanViet!$A:$C,2,FALSE))</f>
        <v/>
      </c>
      <c r="K164" s="16" t="str">
        <f>IF(ISNA(VLOOKUP(MID($A164,9,1),Kanji_2_HanViet!$A:$C,2,FALSE)),"",VLOOKUP(MID($A164,9,1),Kanji_2_HanViet!$A:$C,2,FALSE))</f>
        <v/>
      </c>
    </row>
    <row r="165" spans="1:11">
      <c r="A165" s="14">
        <f>Master!B172</f>
        <v>0</v>
      </c>
      <c r="B165" s="17" t="str">
        <f t="shared" si="2"/>
        <v/>
      </c>
      <c r="C165" s="16" t="str">
        <f>IF(ISNA(VLOOKUP(MID($A165,1,1),Kanji_2_HanViet!$A:$C,2,FALSE)),"",VLOOKUP(MID($A165,1,1),Kanji_2_HanViet!$A:$C,2,FALSE))</f>
        <v/>
      </c>
      <c r="D165" s="16" t="str">
        <f>IF(ISNA(VLOOKUP(MID($A165,2,1),Kanji_2_HanViet!$A:$C,2,FALSE)),"",VLOOKUP(MID($A165,2,1),Kanji_2_HanViet!$A:$C,2,FALSE))</f>
        <v/>
      </c>
      <c r="E165" s="16" t="str">
        <f>IF(ISNA(VLOOKUP(MID($A165,3,1),Kanji_2_HanViet!$A:$C,2,FALSE)),"",VLOOKUP(MID($A165,3,1),Kanji_2_HanViet!$A:$C,2,FALSE))</f>
        <v/>
      </c>
      <c r="F165" s="16" t="str">
        <f>IF(ISNA(VLOOKUP(MID($A165,4,1),Kanji_2_HanViet!$A:$C,2,FALSE)),"",VLOOKUP(MID($A165,4,1),Kanji_2_HanViet!$A:$C,2,FALSE))</f>
        <v/>
      </c>
      <c r="G165" s="16" t="str">
        <f>IF(ISNA(VLOOKUP(MID($A165,5,1),Kanji_2_HanViet!$A:$C,2,FALSE)),"",VLOOKUP(MID($A165,5,1),Kanji_2_HanViet!$A:$C,2,FALSE))</f>
        <v/>
      </c>
      <c r="H165" s="16" t="str">
        <f>IF(ISNA(VLOOKUP(MID($A165,6,1),Kanji_2_HanViet!$A:$C,2,FALSE)),"",VLOOKUP(MID($A165,6,1),Kanji_2_HanViet!$A:$C,2,FALSE))</f>
        <v/>
      </c>
      <c r="I165" s="16" t="str">
        <f>IF(ISNA(VLOOKUP(MID($A165,7,1),Kanji_2_HanViet!$A:$C,2,FALSE)),"",VLOOKUP(MID($A165,7,1),Kanji_2_HanViet!$A:$C,2,FALSE))</f>
        <v/>
      </c>
      <c r="J165" s="16" t="str">
        <f>IF(ISNA(VLOOKUP(MID($A165,8,1),Kanji_2_HanViet!$A:$C,2,FALSE)),"",VLOOKUP(MID($A165,8,1),Kanji_2_HanViet!$A:$C,2,FALSE))</f>
        <v/>
      </c>
      <c r="K165" s="16" t="str">
        <f>IF(ISNA(VLOOKUP(MID($A165,9,1),Kanji_2_HanViet!$A:$C,2,FALSE)),"",VLOOKUP(MID($A165,9,1),Kanji_2_HanViet!$A:$C,2,FALSE))</f>
        <v/>
      </c>
    </row>
    <row r="166" spans="1:11">
      <c r="A166" s="14">
        <f>Master!B173</f>
        <v>0</v>
      </c>
      <c r="B166" s="17" t="str">
        <f t="shared" si="2"/>
        <v/>
      </c>
      <c r="C166" s="16" t="str">
        <f>IF(ISNA(VLOOKUP(MID($A166,1,1),Kanji_2_HanViet!$A:$C,2,FALSE)),"",VLOOKUP(MID($A166,1,1),Kanji_2_HanViet!$A:$C,2,FALSE))</f>
        <v/>
      </c>
      <c r="D166" s="16" t="str">
        <f>IF(ISNA(VLOOKUP(MID($A166,2,1),Kanji_2_HanViet!$A:$C,2,FALSE)),"",VLOOKUP(MID($A166,2,1),Kanji_2_HanViet!$A:$C,2,FALSE))</f>
        <v/>
      </c>
      <c r="E166" s="16" t="str">
        <f>IF(ISNA(VLOOKUP(MID($A166,3,1),Kanji_2_HanViet!$A:$C,2,FALSE)),"",VLOOKUP(MID($A166,3,1),Kanji_2_HanViet!$A:$C,2,FALSE))</f>
        <v/>
      </c>
      <c r="F166" s="16" t="str">
        <f>IF(ISNA(VLOOKUP(MID($A166,4,1),Kanji_2_HanViet!$A:$C,2,FALSE)),"",VLOOKUP(MID($A166,4,1),Kanji_2_HanViet!$A:$C,2,FALSE))</f>
        <v/>
      </c>
      <c r="G166" s="16" t="str">
        <f>IF(ISNA(VLOOKUP(MID($A166,5,1),Kanji_2_HanViet!$A:$C,2,FALSE)),"",VLOOKUP(MID($A166,5,1),Kanji_2_HanViet!$A:$C,2,FALSE))</f>
        <v/>
      </c>
      <c r="H166" s="16" t="str">
        <f>IF(ISNA(VLOOKUP(MID($A166,6,1),Kanji_2_HanViet!$A:$C,2,FALSE)),"",VLOOKUP(MID($A166,6,1),Kanji_2_HanViet!$A:$C,2,FALSE))</f>
        <v/>
      </c>
      <c r="I166" s="16" t="str">
        <f>IF(ISNA(VLOOKUP(MID($A166,7,1),Kanji_2_HanViet!$A:$C,2,FALSE)),"",VLOOKUP(MID($A166,7,1),Kanji_2_HanViet!$A:$C,2,FALSE))</f>
        <v/>
      </c>
      <c r="J166" s="16" t="str">
        <f>IF(ISNA(VLOOKUP(MID($A166,8,1),Kanji_2_HanViet!$A:$C,2,FALSE)),"",VLOOKUP(MID($A166,8,1),Kanji_2_HanViet!$A:$C,2,FALSE))</f>
        <v/>
      </c>
      <c r="K166" s="16" t="str">
        <f>IF(ISNA(VLOOKUP(MID($A166,9,1),Kanji_2_HanViet!$A:$C,2,FALSE)),"",VLOOKUP(MID($A166,9,1),Kanji_2_HanViet!$A:$C,2,FALSE))</f>
        <v/>
      </c>
    </row>
    <row r="167" spans="1:11">
      <c r="A167" s="14">
        <f>Master!B174</f>
        <v>0</v>
      </c>
      <c r="B167" s="17" t="str">
        <f t="shared" si="2"/>
        <v/>
      </c>
      <c r="C167" s="16" t="str">
        <f>IF(ISNA(VLOOKUP(MID($A167,1,1),Kanji_2_HanViet!$A:$C,2,FALSE)),"",VLOOKUP(MID($A167,1,1),Kanji_2_HanViet!$A:$C,2,FALSE))</f>
        <v/>
      </c>
      <c r="D167" s="16" t="str">
        <f>IF(ISNA(VLOOKUP(MID($A167,2,1),Kanji_2_HanViet!$A:$C,2,FALSE)),"",VLOOKUP(MID($A167,2,1),Kanji_2_HanViet!$A:$C,2,FALSE))</f>
        <v/>
      </c>
      <c r="E167" s="16" t="str">
        <f>IF(ISNA(VLOOKUP(MID($A167,3,1),Kanji_2_HanViet!$A:$C,2,FALSE)),"",VLOOKUP(MID($A167,3,1),Kanji_2_HanViet!$A:$C,2,FALSE))</f>
        <v/>
      </c>
      <c r="F167" s="16" t="str">
        <f>IF(ISNA(VLOOKUP(MID($A167,4,1),Kanji_2_HanViet!$A:$C,2,FALSE)),"",VLOOKUP(MID($A167,4,1),Kanji_2_HanViet!$A:$C,2,FALSE))</f>
        <v/>
      </c>
      <c r="G167" s="16" t="str">
        <f>IF(ISNA(VLOOKUP(MID($A167,5,1),Kanji_2_HanViet!$A:$C,2,FALSE)),"",VLOOKUP(MID($A167,5,1),Kanji_2_HanViet!$A:$C,2,FALSE))</f>
        <v/>
      </c>
      <c r="H167" s="16" t="str">
        <f>IF(ISNA(VLOOKUP(MID($A167,6,1),Kanji_2_HanViet!$A:$C,2,FALSE)),"",VLOOKUP(MID($A167,6,1),Kanji_2_HanViet!$A:$C,2,FALSE))</f>
        <v/>
      </c>
      <c r="I167" s="16" t="str">
        <f>IF(ISNA(VLOOKUP(MID($A167,7,1),Kanji_2_HanViet!$A:$C,2,FALSE)),"",VLOOKUP(MID($A167,7,1),Kanji_2_HanViet!$A:$C,2,FALSE))</f>
        <v/>
      </c>
      <c r="J167" s="16" t="str">
        <f>IF(ISNA(VLOOKUP(MID($A167,8,1),Kanji_2_HanViet!$A:$C,2,FALSE)),"",VLOOKUP(MID($A167,8,1),Kanji_2_HanViet!$A:$C,2,FALSE))</f>
        <v/>
      </c>
      <c r="K167" s="16" t="str">
        <f>IF(ISNA(VLOOKUP(MID($A167,9,1),Kanji_2_HanViet!$A:$C,2,FALSE)),"",VLOOKUP(MID($A167,9,1),Kanji_2_HanViet!$A:$C,2,FALSE))</f>
        <v/>
      </c>
    </row>
    <row r="168" spans="1:11">
      <c r="A168" s="14">
        <f>Master!B175</f>
        <v>0</v>
      </c>
      <c r="B168" s="17" t="str">
        <f t="shared" si="2"/>
        <v/>
      </c>
      <c r="C168" s="16" t="str">
        <f>IF(ISNA(VLOOKUP(MID($A168,1,1),Kanji_2_HanViet!$A:$C,2,FALSE)),"",VLOOKUP(MID($A168,1,1),Kanji_2_HanViet!$A:$C,2,FALSE))</f>
        <v/>
      </c>
      <c r="D168" s="16" t="str">
        <f>IF(ISNA(VLOOKUP(MID($A168,2,1),Kanji_2_HanViet!$A:$C,2,FALSE)),"",VLOOKUP(MID($A168,2,1),Kanji_2_HanViet!$A:$C,2,FALSE))</f>
        <v/>
      </c>
      <c r="E168" s="16" t="str">
        <f>IF(ISNA(VLOOKUP(MID($A168,3,1),Kanji_2_HanViet!$A:$C,2,FALSE)),"",VLOOKUP(MID($A168,3,1),Kanji_2_HanViet!$A:$C,2,FALSE))</f>
        <v/>
      </c>
      <c r="F168" s="16" t="str">
        <f>IF(ISNA(VLOOKUP(MID($A168,4,1),Kanji_2_HanViet!$A:$C,2,FALSE)),"",VLOOKUP(MID($A168,4,1),Kanji_2_HanViet!$A:$C,2,FALSE))</f>
        <v/>
      </c>
      <c r="G168" s="16" t="str">
        <f>IF(ISNA(VLOOKUP(MID($A168,5,1),Kanji_2_HanViet!$A:$C,2,FALSE)),"",VLOOKUP(MID($A168,5,1),Kanji_2_HanViet!$A:$C,2,FALSE))</f>
        <v/>
      </c>
      <c r="H168" s="16" t="str">
        <f>IF(ISNA(VLOOKUP(MID($A168,6,1),Kanji_2_HanViet!$A:$C,2,FALSE)),"",VLOOKUP(MID($A168,6,1),Kanji_2_HanViet!$A:$C,2,FALSE))</f>
        <v/>
      </c>
      <c r="I168" s="16" t="str">
        <f>IF(ISNA(VLOOKUP(MID($A168,7,1),Kanji_2_HanViet!$A:$C,2,FALSE)),"",VLOOKUP(MID($A168,7,1),Kanji_2_HanViet!$A:$C,2,FALSE))</f>
        <v/>
      </c>
      <c r="J168" s="16" t="str">
        <f>IF(ISNA(VLOOKUP(MID($A168,8,1),Kanji_2_HanViet!$A:$C,2,FALSE)),"",VLOOKUP(MID($A168,8,1),Kanji_2_HanViet!$A:$C,2,FALSE))</f>
        <v/>
      </c>
      <c r="K168" s="16" t="str">
        <f>IF(ISNA(VLOOKUP(MID($A168,9,1),Kanji_2_HanViet!$A:$C,2,FALSE)),"",VLOOKUP(MID($A168,9,1),Kanji_2_HanViet!$A:$C,2,FALSE))</f>
        <v/>
      </c>
    </row>
    <row r="169" spans="1:11">
      <c r="A169" s="14">
        <f>Master!B176</f>
        <v>0</v>
      </c>
      <c r="B169" s="17" t="str">
        <f t="shared" si="2"/>
        <v/>
      </c>
      <c r="C169" s="16" t="str">
        <f>IF(ISNA(VLOOKUP(MID($A169,1,1),Kanji_2_HanViet!$A:$C,2,FALSE)),"",VLOOKUP(MID($A169,1,1),Kanji_2_HanViet!$A:$C,2,FALSE))</f>
        <v/>
      </c>
      <c r="D169" s="16" t="str">
        <f>IF(ISNA(VLOOKUP(MID($A169,2,1),Kanji_2_HanViet!$A:$C,2,FALSE)),"",VLOOKUP(MID($A169,2,1),Kanji_2_HanViet!$A:$C,2,FALSE))</f>
        <v/>
      </c>
      <c r="E169" s="16" t="str">
        <f>IF(ISNA(VLOOKUP(MID($A169,3,1),Kanji_2_HanViet!$A:$C,2,FALSE)),"",VLOOKUP(MID($A169,3,1),Kanji_2_HanViet!$A:$C,2,FALSE))</f>
        <v/>
      </c>
      <c r="F169" s="16" t="str">
        <f>IF(ISNA(VLOOKUP(MID($A169,4,1),Kanji_2_HanViet!$A:$C,2,FALSE)),"",VLOOKUP(MID($A169,4,1),Kanji_2_HanViet!$A:$C,2,FALSE))</f>
        <v/>
      </c>
      <c r="G169" s="16" t="str">
        <f>IF(ISNA(VLOOKUP(MID($A169,5,1),Kanji_2_HanViet!$A:$C,2,FALSE)),"",VLOOKUP(MID($A169,5,1),Kanji_2_HanViet!$A:$C,2,FALSE))</f>
        <v/>
      </c>
      <c r="H169" s="16" t="str">
        <f>IF(ISNA(VLOOKUP(MID($A169,6,1),Kanji_2_HanViet!$A:$C,2,FALSE)),"",VLOOKUP(MID($A169,6,1),Kanji_2_HanViet!$A:$C,2,FALSE))</f>
        <v/>
      </c>
      <c r="I169" s="16" t="str">
        <f>IF(ISNA(VLOOKUP(MID($A169,7,1),Kanji_2_HanViet!$A:$C,2,FALSE)),"",VLOOKUP(MID($A169,7,1),Kanji_2_HanViet!$A:$C,2,FALSE))</f>
        <v/>
      </c>
      <c r="J169" s="16" t="str">
        <f>IF(ISNA(VLOOKUP(MID($A169,8,1),Kanji_2_HanViet!$A:$C,2,FALSE)),"",VLOOKUP(MID($A169,8,1),Kanji_2_HanViet!$A:$C,2,FALSE))</f>
        <v/>
      </c>
      <c r="K169" s="16" t="str">
        <f>IF(ISNA(VLOOKUP(MID($A169,9,1),Kanji_2_HanViet!$A:$C,2,FALSE)),"",VLOOKUP(MID($A169,9,1),Kanji_2_HanViet!$A:$C,2,FALSE))</f>
        <v/>
      </c>
    </row>
    <row r="170" spans="1:11">
      <c r="A170" s="14">
        <f>Master!B177</f>
        <v>0</v>
      </c>
      <c r="B170" s="17" t="str">
        <f t="shared" si="2"/>
        <v/>
      </c>
      <c r="C170" s="16" t="str">
        <f>IF(ISNA(VLOOKUP(MID($A170,1,1),Kanji_2_HanViet!$A:$C,2,FALSE)),"",VLOOKUP(MID($A170,1,1),Kanji_2_HanViet!$A:$C,2,FALSE))</f>
        <v/>
      </c>
      <c r="D170" s="16" t="str">
        <f>IF(ISNA(VLOOKUP(MID($A170,2,1),Kanji_2_HanViet!$A:$C,2,FALSE)),"",VLOOKUP(MID($A170,2,1),Kanji_2_HanViet!$A:$C,2,FALSE))</f>
        <v/>
      </c>
      <c r="E170" s="16" t="str">
        <f>IF(ISNA(VLOOKUP(MID($A170,3,1),Kanji_2_HanViet!$A:$C,2,FALSE)),"",VLOOKUP(MID($A170,3,1),Kanji_2_HanViet!$A:$C,2,FALSE))</f>
        <v/>
      </c>
      <c r="F170" s="16" t="str">
        <f>IF(ISNA(VLOOKUP(MID($A170,4,1),Kanji_2_HanViet!$A:$C,2,FALSE)),"",VLOOKUP(MID($A170,4,1),Kanji_2_HanViet!$A:$C,2,FALSE))</f>
        <v/>
      </c>
      <c r="G170" s="16" t="str">
        <f>IF(ISNA(VLOOKUP(MID($A170,5,1),Kanji_2_HanViet!$A:$C,2,FALSE)),"",VLOOKUP(MID($A170,5,1),Kanji_2_HanViet!$A:$C,2,FALSE))</f>
        <v/>
      </c>
      <c r="H170" s="16" t="str">
        <f>IF(ISNA(VLOOKUP(MID($A170,6,1),Kanji_2_HanViet!$A:$C,2,FALSE)),"",VLOOKUP(MID($A170,6,1),Kanji_2_HanViet!$A:$C,2,FALSE))</f>
        <v/>
      </c>
      <c r="I170" s="16" t="str">
        <f>IF(ISNA(VLOOKUP(MID($A170,7,1),Kanji_2_HanViet!$A:$C,2,FALSE)),"",VLOOKUP(MID($A170,7,1),Kanji_2_HanViet!$A:$C,2,FALSE))</f>
        <v/>
      </c>
      <c r="J170" s="16" t="str">
        <f>IF(ISNA(VLOOKUP(MID($A170,8,1),Kanji_2_HanViet!$A:$C,2,FALSE)),"",VLOOKUP(MID($A170,8,1),Kanji_2_HanViet!$A:$C,2,FALSE))</f>
        <v/>
      </c>
      <c r="K170" s="16" t="str">
        <f>IF(ISNA(VLOOKUP(MID($A170,9,1),Kanji_2_HanViet!$A:$C,2,FALSE)),"",VLOOKUP(MID($A170,9,1),Kanji_2_HanViet!$A:$C,2,FALSE))</f>
        <v/>
      </c>
    </row>
    <row r="171" spans="1:11">
      <c r="A171" s="14">
        <f>Master!B178</f>
        <v>0</v>
      </c>
      <c r="B171" s="17" t="str">
        <f t="shared" si="2"/>
        <v/>
      </c>
      <c r="C171" s="16" t="str">
        <f>IF(ISNA(VLOOKUP(MID($A171,1,1),Kanji_2_HanViet!$A:$C,2,FALSE)),"",VLOOKUP(MID($A171,1,1),Kanji_2_HanViet!$A:$C,2,FALSE))</f>
        <v/>
      </c>
      <c r="D171" s="16" t="str">
        <f>IF(ISNA(VLOOKUP(MID($A171,2,1),Kanji_2_HanViet!$A:$C,2,FALSE)),"",VLOOKUP(MID($A171,2,1),Kanji_2_HanViet!$A:$C,2,FALSE))</f>
        <v/>
      </c>
      <c r="E171" s="16" t="str">
        <f>IF(ISNA(VLOOKUP(MID($A171,3,1),Kanji_2_HanViet!$A:$C,2,FALSE)),"",VLOOKUP(MID($A171,3,1),Kanji_2_HanViet!$A:$C,2,FALSE))</f>
        <v/>
      </c>
      <c r="F171" s="16" t="str">
        <f>IF(ISNA(VLOOKUP(MID($A171,4,1),Kanji_2_HanViet!$A:$C,2,FALSE)),"",VLOOKUP(MID($A171,4,1),Kanji_2_HanViet!$A:$C,2,FALSE))</f>
        <v/>
      </c>
      <c r="G171" s="16" t="str">
        <f>IF(ISNA(VLOOKUP(MID($A171,5,1),Kanji_2_HanViet!$A:$C,2,FALSE)),"",VLOOKUP(MID($A171,5,1),Kanji_2_HanViet!$A:$C,2,FALSE))</f>
        <v/>
      </c>
      <c r="H171" s="16" t="str">
        <f>IF(ISNA(VLOOKUP(MID($A171,6,1),Kanji_2_HanViet!$A:$C,2,FALSE)),"",VLOOKUP(MID($A171,6,1),Kanji_2_HanViet!$A:$C,2,FALSE))</f>
        <v/>
      </c>
      <c r="I171" s="16" t="str">
        <f>IF(ISNA(VLOOKUP(MID($A171,7,1),Kanji_2_HanViet!$A:$C,2,FALSE)),"",VLOOKUP(MID($A171,7,1),Kanji_2_HanViet!$A:$C,2,FALSE))</f>
        <v/>
      </c>
      <c r="J171" s="16" t="str">
        <f>IF(ISNA(VLOOKUP(MID($A171,8,1),Kanji_2_HanViet!$A:$C,2,FALSE)),"",VLOOKUP(MID($A171,8,1),Kanji_2_HanViet!$A:$C,2,FALSE))</f>
        <v/>
      </c>
      <c r="K171" s="16" t="str">
        <f>IF(ISNA(VLOOKUP(MID($A171,9,1),Kanji_2_HanViet!$A:$C,2,FALSE)),"",VLOOKUP(MID($A171,9,1),Kanji_2_HanViet!$A:$C,2,FALSE))</f>
        <v/>
      </c>
    </row>
    <row r="172" spans="1:11">
      <c r="A172" s="14">
        <f>Master!B179</f>
        <v>0</v>
      </c>
      <c r="B172" s="17" t="str">
        <f t="shared" si="2"/>
        <v/>
      </c>
      <c r="C172" s="16" t="str">
        <f>IF(ISNA(VLOOKUP(MID($A172,1,1),Kanji_2_HanViet!$A:$C,2,FALSE)),"",VLOOKUP(MID($A172,1,1),Kanji_2_HanViet!$A:$C,2,FALSE))</f>
        <v/>
      </c>
      <c r="D172" s="16" t="str">
        <f>IF(ISNA(VLOOKUP(MID($A172,2,1),Kanji_2_HanViet!$A:$C,2,FALSE)),"",VLOOKUP(MID($A172,2,1),Kanji_2_HanViet!$A:$C,2,FALSE))</f>
        <v/>
      </c>
      <c r="E172" s="16" t="str">
        <f>IF(ISNA(VLOOKUP(MID($A172,3,1),Kanji_2_HanViet!$A:$C,2,FALSE)),"",VLOOKUP(MID($A172,3,1),Kanji_2_HanViet!$A:$C,2,FALSE))</f>
        <v/>
      </c>
      <c r="F172" s="16" t="str">
        <f>IF(ISNA(VLOOKUP(MID($A172,4,1),Kanji_2_HanViet!$A:$C,2,FALSE)),"",VLOOKUP(MID($A172,4,1),Kanji_2_HanViet!$A:$C,2,FALSE))</f>
        <v/>
      </c>
      <c r="G172" s="16" t="str">
        <f>IF(ISNA(VLOOKUP(MID($A172,5,1),Kanji_2_HanViet!$A:$C,2,FALSE)),"",VLOOKUP(MID($A172,5,1),Kanji_2_HanViet!$A:$C,2,FALSE))</f>
        <v/>
      </c>
      <c r="H172" s="16" t="str">
        <f>IF(ISNA(VLOOKUP(MID($A172,6,1),Kanji_2_HanViet!$A:$C,2,FALSE)),"",VLOOKUP(MID($A172,6,1),Kanji_2_HanViet!$A:$C,2,FALSE))</f>
        <v/>
      </c>
      <c r="I172" s="16" t="str">
        <f>IF(ISNA(VLOOKUP(MID($A172,7,1),Kanji_2_HanViet!$A:$C,2,FALSE)),"",VLOOKUP(MID($A172,7,1),Kanji_2_HanViet!$A:$C,2,FALSE))</f>
        <v/>
      </c>
      <c r="J172" s="16" t="str">
        <f>IF(ISNA(VLOOKUP(MID($A172,8,1),Kanji_2_HanViet!$A:$C,2,FALSE)),"",VLOOKUP(MID($A172,8,1),Kanji_2_HanViet!$A:$C,2,FALSE))</f>
        <v/>
      </c>
      <c r="K172" s="16" t="str">
        <f>IF(ISNA(VLOOKUP(MID($A172,9,1),Kanji_2_HanViet!$A:$C,2,FALSE)),"",VLOOKUP(MID($A172,9,1),Kanji_2_HanViet!$A:$C,2,FALSE))</f>
        <v/>
      </c>
    </row>
    <row r="173" spans="1:11">
      <c r="A173" s="14">
        <f>Master!B180</f>
        <v>0</v>
      </c>
      <c r="B173" s="17" t="str">
        <f t="shared" si="2"/>
        <v/>
      </c>
      <c r="C173" s="16" t="str">
        <f>IF(ISNA(VLOOKUP(MID($A173,1,1),Kanji_2_HanViet!$A:$C,2,FALSE)),"",VLOOKUP(MID($A173,1,1),Kanji_2_HanViet!$A:$C,2,FALSE))</f>
        <v/>
      </c>
      <c r="D173" s="16" t="str">
        <f>IF(ISNA(VLOOKUP(MID($A173,2,1),Kanji_2_HanViet!$A:$C,2,FALSE)),"",VLOOKUP(MID($A173,2,1),Kanji_2_HanViet!$A:$C,2,FALSE))</f>
        <v/>
      </c>
      <c r="E173" s="16" t="str">
        <f>IF(ISNA(VLOOKUP(MID($A173,3,1),Kanji_2_HanViet!$A:$C,2,FALSE)),"",VLOOKUP(MID($A173,3,1),Kanji_2_HanViet!$A:$C,2,FALSE))</f>
        <v/>
      </c>
      <c r="F173" s="16" t="str">
        <f>IF(ISNA(VLOOKUP(MID($A173,4,1),Kanji_2_HanViet!$A:$C,2,FALSE)),"",VLOOKUP(MID($A173,4,1),Kanji_2_HanViet!$A:$C,2,FALSE))</f>
        <v/>
      </c>
      <c r="G173" s="16" t="str">
        <f>IF(ISNA(VLOOKUP(MID($A173,5,1),Kanji_2_HanViet!$A:$C,2,FALSE)),"",VLOOKUP(MID($A173,5,1),Kanji_2_HanViet!$A:$C,2,FALSE))</f>
        <v/>
      </c>
      <c r="H173" s="16" t="str">
        <f>IF(ISNA(VLOOKUP(MID($A173,6,1),Kanji_2_HanViet!$A:$C,2,FALSE)),"",VLOOKUP(MID($A173,6,1),Kanji_2_HanViet!$A:$C,2,FALSE))</f>
        <v/>
      </c>
      <c r="I173" s="16" t="str">
        <f>IF(ISNA(VLOOKUP(MID($A173,7,1),Kanji_2_HanViet!$A:$C,2,FALSE)),"",VLOOKUP(MID($A173,7,1),Kanji_2_HanViet!$A:$C,2,FALSE))</f>
        <v/>
      </c>
      <c r="J173" s="16" t="str">
        <f>IF(ISNA(VLOOKUP(MID($A173,8,1),Kanji_2_HanViet!$A:$C,2,FALSE)),"",VLOOKUP(MID($A173,8,1),Kanji_2_HanViet!$A:$C,2,FALSE))</f>
        <v/>
      </c>
      <c r="K173" s="16" t="str">
        <f>IF(ISNA(VLOOKUP(MID($A173,9,1),Kanji_2_HanViet!$A:$C,2,FALSE)),"",VLOOKUP(MID($A173,9,1),Kanji_2_HanViet!$A:$C,2,FALSE))</f>
        <v/>
      </c>
    </row>
    <row r="174" spans="1:11">
      <c r="A174" s="14">
        <f>Master!B181</f>
        <v>0</v>
      </c>
      <c r="B174" s="17" t="str">
        <f t="shared" si="2"/>
        <v/>
      </c>
      <c r="C174" s="16" t="str">
        <f>IF(ISNA(VLOOKUP(MID($A174,1,1),Kanji_2_HanViet!$A:$C,2,FALSE)),"",VLOOKUP(MID($A174,1,1),Kanji_2_HanViet!$A:$C,2,FALSE))</f>
        <v/>
      </c>
      <c r="D174" s="16" t="str">
        <f>IF(ISNA(VLOOKUP(MID($A174,2,1),Kanji_2_HanViet!$A:$C,2,FALSE)),"",VLOOKUP(MID($A174,2,1),Kanji_2_HanViet!$A:$C,2,FALSE))</f>
        <v/>
      </c>
      <c r="E174" s="16" t="str">
        <f>IF(ISNA(VLOOKUP(MID($A174,3,1),Kanji_2_HanViet!$A:$C,2,FALSE)),"",VLOOKUP(MID($A174,3,1),Kanji_2_HanViet!$A:$C,2,FALSE))</f>
        <v/>
      </c>
      <c r="F174" s="16" t="str">
        <f>IF(ISNA(VLOOKUP(MID($A174,4,1),Kanji_2_HanViet!$A:$C,2,FALSE)),"",VLOOKUP(MID($A174,4,1),Kanji_2_HanViet!$A:$C,2,FALSE))</f>
        <v/>
      </c>
      <c r="G174" s="16" t="str">
        <f>IF(ISNA(VLOOKUP(MID($A174,5,1),Kanji_2_HanViet!$A:$C,2,FALSE)),"",VLOOKUP(MID($A174,5,1),Kanji_2_HanViet!$A:$C,2,FALSE))</f>
        <v/>
      </c>
      <c r="H174" s="16" t="str">
        <f>IF(ISNA(VLOOKUP(MID($A174,6,1),Kanji_2_HanViet!$A:$C,2,FALSE)),"",VLOOKUP(MID($A174,6,1),Kanji_2_HanViet!$A:$C,2,FALSE))</f>
        <v/>
      </c>
      <c r="I174" s="16" t="str">
        <f>IF(ISNA(VLOOKUP(MID($A174,7,1),Kanji_2_HanViet!$A:$C,2,FALSE)),"",VLOOKUP(MID($A174,7,1),Kanji_2_HanViet!$A:$C,2,FALSE))</f>
        <v/>
      </c>
      <c r="J174" s="16" t="str">
        <f>IF(ISNA(VLOOKUP(MID($A174,8,1),Kanji_2_HanViet!$A:$C,2,FALSE)),"",VLOOKUP(MID($A174,8,1),Kanji_2_HanViet!$A:$C,2,FALSE))</f>
        <v/>
      </c>
      <c r="K174" s="16" t="str">
        <f>IF(ISNA(VLOOKUP(MID($A174,9,1),Kanji_2_HanViet!$A:$C,2,FALSE)),"",VLOOKUP(MID($A174,9,1),Kanji_2_HanViet!$A:$C,2,FALSE))</f>
        <v/>
      </c>
    </row>
    <row r="175" spans="1:11">
      <c r="A175" s="14">
        <f>Master!B182</f>
        <v>0</v>
      </c>
      <c r="B175" s="17" t="str">
        <f t="shared" si="2"/>
        <v/>
      </c>
      <c r="C175" s="16" t="str">
        <f>IF(ISNA(VLOOKUP(MID($A175,1,1),Kanji_2_HanViet!$A:$C,2,FALSE)),"",VLOOKUP(MID($A175,1,1),Kanji_2_HanViet!$A:$C,2,FALSE))</f>
        <v/>
      </c>
      <c r="D175" s="16" t="str">
        <f>IF(ISNA(VLOOKUP(MID($A175,2,1),Kanji_2_HanViet!$A:$C,2,FALSE)),"",VLOOKUP(MID($A175,2,1),Kanji_2_HanViet!$A:$C,2,FALSE))</f>
        <v/>
      </c>
      <c r="E175" s="16" t="str">
        <f>IF(ISNA(VLOOKUP(MID($A175,3,1),Kanji_2_HanViet!$A:$C,2,FALSE)),"",VLOOKUP(MID($A175,3,1),Kanji_2_HanViet!$A:$C,2,FALSE))</f>
        <v/>
      </c>
      <c r="F175" s="16" t="str">
        <f>IF(ISNA(VLOOKUP(MID($A175,4,1),Kanji_2_HanViet!$A:$C,2,FALSE)),"",VLOOKUP(MID($A175,4,1),Kanji_2_HanViet!$A:$C,2,FALSE))</f>
        <v/>
      </c>
      <c r="G175" s="16" t="str">
        <f>IF(ISNA(VLOOKUP(MID($A175,5,1),Kanji_2_HanViet!$A:$C,2,FALSE)),"",VLOOKUP(MID($A175,5,1),Kanji_2_HanViet!$A:$C,2,FALSE))</f>
        <v/>
      </c>
      <c r="H175" s="16" t="str">
        <f>IF(ISNA(VLOOKUP(MID($A175,6,1),Kanji_2_HanViet!$A:$C,2,FALSE)),"",VLOOKUP(MID($A175,6,1),Kanji_2_HanViet!$A:$C,2,FALSE))</f>
        <v/>
      </c>
      <c r="I175" s="16" t="str">
        <f>IF(ISNA(VLOOKUP(MID($A175,7,1),Kanji_2_HanViet!$A:$C,2,FALSE)),"",VLOOKUP(MID($A175,7,1),Kanji_2_HanViet!$A:$C,2,FALSE))</f>
        <v/>
      </c>
      <c r="J175" s="16" t="str">
        <f>IF(ISNA(VLOOKUP(MID($A175,8,1),Kanji_2_HanViet!$A:$C,2,FALSE)),"",VLOOKUP(MID($A175,8,1),Kanji_2_HanViet!$A:$C,2,FALSE))</f>
        <v/>
      </c>
      <c r="K175" s="16" t="str">
        <f>IF(ISNA(VLOOKUP(MID($A175,9,1),Kanji_2_HanViet!$A:$C,2,FALSE)),"",VLOOKUP(MID($A175,9,1),Kanji_2_HanViet!$A:$C,2,FALSE))</f>
        <v/>
      </c>
    </row>
    <row r="176" spans="1:11">
      <c r="A176" s="14">
        <f>Master!B183</f>
        <v>0</v>
      </c>
      <c r="B176" s="17" t="str">
        <f t="shared" si="2"/>
        <v/>
      </c>
      <c r="C176" s="16" t="str">
        <f>IF(ISNA(VLOOKUP(MID($A176,1,1),Kanji_2_HanViet!$A:$C,2,FALSE)),"",VLOOKUP(MID($A176,1,1),Kanji_2_HanViet!$A:$C,2,FALSE))</f>
        <v/>
      </c>
      <c r="D176" s="16" t="str">
        <f>IF(ISNA(VLOOKUP(MID($A176,2,1),Kanji_2_HanViet!$A:$C,2,FALSE)),"",VLOOKUP(MID($A176,2,1),Kanji_2_HanViet!$A:$C,2,FALSE))</f>
        <v/>
      </c>
      <c r="E176" s="16" t="str">
        <f>IF(ISNA(VLOOKUP(MID($A176,3,1),Kanji_2_HanViet!$A:$C,2,FALSE)),"",VLOOKUP(MID($A176,3,1),Kanji_2_HanViet!$A:$C,2,FALSE))</f>
        <v/>
      </c>
      <c r="F176" s="16" t="str">
        <f>IF(ISNA(VLOOKUP(MID($A176,4,1),Kanji_2_HanViet!$A:$C,2,FALSE)),"",VLOOKUP(MID($A176,4,1),Kanji_2_HanViet!$A:$C,2,FALSE))</f>
        <v/>
      </c>
      <c r="G176" s="16" t="str">
        <f>IF(ISNA(VLOOKUP(MID($A176,5,1),Kanji_2_HanViet!$A:$C,2,FALSE)),"",VLOOKUP(MID($A176,5,1),Kanji_2_HanViet!$A:$C,2,FALSE))</f>
        <v/>
      </c>
      <c r="H176" s="16" t="str">
        <f>IF(ISNA(VLOOKUP(MID($A176,6,1),Kanji_2_HanViet!$A:$C,2,FALSE)),"",VLOOKUP(MID($A176,6,1),Kanji_2_HanViet!$A:$C,2,FALSE))</f>
        <v/>
      </c>
      <c r="I176" s="16" t="str">
        <f>IF(ISNA(VLOOKUP(MID($A176,7,1),Kanji_2_HanViet!$A:$C,2,FALSE)),"",VLOOKUP(MID($A176,7,1),Kanji_2_HanViet!$A:$C,2,FALSE))</f>
        <v/>
      </c>
      <c r="J176" s="16" t="str">
        <f>IF(ISNA(VLOOKUP(MID($A176,8,1),Kanji_2_HanViet!$A:$C,2,FALSE)),"",VLOOKUP(MID($A176,8,1),Kanji_2_HanViet!$A:$C,2,FALSE))</f>
        <v/>
      </c>
      <c r="K176" s="16" t="str">
        <f>IF(ISNA(VLOOKUP(MID($A176,9,1),Kanji_2_HanViet!$A:$C,2,FALSE)),"",VLOOKUP(MID($A176,9,1),Kanji_2_HanViet!$A:$C,2,FALSE))</f>
        <v/>
      </c>
    </row>
    <row r="177" spans="1:11">
      <c r="A177" s="14">
        <f>Master!B184</f>
        <v>0</v>
      </c>
      <c r="B177" s="17" t="str">
        <f t="shared" si="2"/>
        <v/>
      </c>
      <c r="C177" s="16" t="str">
        <f>IF(ISNA(VLOOKUP(MID($A177,1,1),Kanji_2_HanViet!$A:$C,2,FALSE)),"",VLOOKUP(MID($A177,1,1),Kanji_2_HanViet!$A:$C,2,FALSE))</f>
        <v/>
      </c>
      <c r="D177" s="16" t="str">
        <f>IF(ISNA(VLOOKUP(MID($A177,2,1),Kanji_2_HanViet!$A:$C,2,FALSE)),"",VLOOKUP(MID($A177,2,1),Kanji_2_HanViet!$A:$C,2,FALSE))</f>
        <v/>
      </c>
      <c r="E177" s="16" t="str">
        <f>IF(ISNA(VLOOKUP(MID($A177,3,1),Kanji_2_HanViet!$A:$C,2,FALSE)),"",VLOOKUP(MID($A177,3,1),Kanji_2_HanViet!$A:$C,2,FALSE))</f>
        <v/>
      </c>
      <c r="F177" s="16" t="str">
        <f>IF(ISNA(VLOOKUP(MID($A177,4,1),Kanji_2_HanViet!$A:$C,2,FALSE)),"",VLOOKUP(MID($A177,4,1),Kanji_2_HanViet!$A:$C,2,FALSE))</f>
        <v/>
      </c>
      <c r="G177" s="16" t="str">
        <f>IF(ISNA(VLOOKUP(MID($A177,5,1),Kanji_2_HanViet!$A:$C,2,FALSE)),"",VLOOKUP(MID($A177,5,1),Kanji_2_HanViet!$A:$C,2,FALSE))</f>
        <v/>
      </c>
      <c r="H177" s="16" t="str">
        <f>IF(ISNA(VLOOKUP(MID($A177,6,1),Kanji_2_HanViet!$A:$C,2,FALSE)),"",VLOOKUP(MID($A177,6,1),Kanji_2_HanViet!$A:$C,2,FALSE))</f>
        <v/>
      </c>
      <c r="I177" s="16" t="str">
        <f>IF(ISNA(VLOOKUP(MID($A177,7,1),Kanji_2_HanViet!$A:$C,2,FALSE)),"",VLOOKUP(MID($A177,7,1),Kanji_2_HanViet!$A:$C,2,FALSE))</f>
        <v/>
      </c>
      <c r="J177" s="16" t="str">
        <f>IF(ISNA(VLOOKUP(MID($A177,8,1),Kanji_2_HanViet!$A:$C,2,FALSE)),"",VLOOKUP(MID($A177,8,1),Kanji_2_HanViet!$A:$C,2,FALSE))</f>
        <v/>
      </c>
      <c r="K177" s="16" t="str">
        <f>IF(ISNA(VLOOKUP(MID($A177,9,1),Kanji_2_HanViet!$A:$C,2,FALSE)),"",VLOOKUP(MID($A177,9,1),Kanji_2_HanViet!$A:$C,2,FALSE))</f>
        <v/>
      </c>
    </row>
    <row r="178" spans="1:11">
      <c r="A178" s="14">
        <f>Master!B185</f>
        <v>0</v>
      </c>
      <c r="B178" s="17" t="str">
        <f t="shared" si="2"/>
        <v/>
      </c>
      <c r="C178" s="16" t="str">
        <f>IF(ISNA(VLOOKUP(MID($A178,1,1),Kanji_2_HanViet!$A:$C,2,FALSE)),"",VLOOKUP(MID($A178,1,1),Kanji_2_HanViet!$A:$C,2,FALSE))</f>
        <v/>
      </c>
      <c r="D178" s="16" t="str">
        <f>IF(ISNA(VLOOKUP(MID($A178,2,1),Kanji_2_HanViet!$A:$C,2,FALSE)),"",VLOOKUP(MID($A178,2,1),Kanji_2_HanViet!$A:$C,2,FALSE))</f>
        <v/>
      </c>
      <c r="E178" s="16" t="str">
        <f>IF(ISNA(VLOOKUP(MID($A178,3,1),Kanji_2_HanViet!$A:$C,2,FALSE)),"",VLOOKUP(MID($A178,3,1),Kanji_2_HanViet!$A:$C,2,FALSE))</f>
        <v/>
      </c>
      <c r="F178" s="16" t="str">
        <f>IF(ISNA(VLOOKUP(MID($A178,4,1),Kanji_2_HanViet!$A:$C,2,FALSE)),"",VLOOKUP(MID($A178,4,1),Kanji_2_HanViet!$A:$C,2,FALSE))</f>
        <v/>
      </c>
      <c r="G178" s="16" t="str">
        <f>IF(ISNA(VLOOKUP(MID($A178,5,1),Kanji_2_HanViet!$A:$C,2,FALSE)),"",VLOOKUP(MID($A178,5,1),Kanji_2_HanViet!$A:$C,2,FALSE))</f>
        <v/>
      </c>
      <c r="H178" s="16" t="str">
        <f>IF(ISNA(VLOOKUP(MID($A178,6,1),Kanji_2_HanViet!$A:$C,2,FALSE)),"",VLOOKUP(MID($A178,6,1),Kanji_2_HanViet!$A:$C,2,FALSE))</f>
        <v/>
      </c>
      <c r="I178" s="16" t="str">
        <f>IF(ISNA(VLOOKUP(MID($A178,7,1),Kanji_2_HanViet!$A:$C,2,FALSE)),"",VLOOKUP(MID($A178,7,1),Kanji_2_HanViet!$A:$C,2,FALSE))</f>
        <v/>
      </c>
      <c r="J178" s="16" t="str">
        <f>IF(ISNA(VLOOKUP(MID($A178,8,1),Kanji_2_HanViet!$A:$C,2,FALSE)),"",VLOOKUP(MID($A178,8,1),Kanji_2_HanViet!$A:$C,2,FALSE))</f>
        <v/>
      </c>
      <c r="K178" s="16" t="str">
        <f>IF(ISNA(VLOOKUP(MID($A178,9,1),Kanji_2_HanViet!$A:$C,2,FALSE)),"",VLOOKUP(MID($A178,9,1),Kanji_2_HanViet!$A:$C,2,FALSE))</f>
        <v/>
      </c>
    </row>
    <row r="179" spans="1:11">
      <c r="A179" s="14">
        <f>Master!B186</f>
        <v>0</v>
      </c>
      <c r="B179" s="17" t="str">
        <f t="shared" si="2"/>
        <v/>
      </c>
      <c r="C179" s="16" t="str">
        <f>IF(ISNA(VLOOKUP(MID($A179,1,1),Kanji_2_HanViet!$A:$C,2,FALSE)),"",VLOOKUP(MID($A179,1,1),Kanji_2_HanViet!$A:$C,2,FALSE))</f>
        <v/>
      </c>
      <c r="D179" s="16" t="str">
        <f>IF(ISNA(VLOOKUP(MID($A179,2,1),Kanji_2_HanViet!$A:$C,2,FALSE)),"",VLOOKUP(MID($A179,2,1),Kanji_2_HanViet!$A:$C,2,FALSE))</f>
        <v/>
      </c>
      <c r="E179" s="16" t="str">
        <f>IF(ISNA(VLOOKUP(MID($A179,3,1),Kanji_2_HanViet!$A:$C,2,FALSE)),"",VLOOKUP(MID($A179,3,1),Kanji_2_HanViet!$A:$C,2,FALSE))</f>
        <v/>
      </c>
      <c r="F179" s="16" t="str">
        <f>IF(ISNA(VLOOKUP(MID($A179,4,1),Kanji_2_HanViet!$A:$C,2,FALSE)),"",VLOOKUP(MID($A179,4,1),Kanji_2_HanViet!$A:$C,2,FALSE))</f>
        <v/>
      </c>
      <c r="G179" s="16" t="str">
        <f>IF(ISNA(VLOOKUP(MID($A179,5,1),Kanji_2_HanViet!$A:$C,2,FALSE)),"",VLOOKUP(MID($A179,5,1),Kanji_2_HanViet!$A:$C,2,FALSE))</f>
        <v/>
      </c>
      <c r="H179" s="16" t="str">
        <f>IF(ISNA(VLOOKUP(MID($A179,6,1),Kanji_2_HanViet!$A:$C,2,FALSE)),"",VLOOKUP(MID($A179,6,1),Kanji_2_HanViet!$A:$C,2,FALSE))</f>
        <v/>
      </c>
      <c r="I179" s="16" t="str">
        <f>IF(ISNA(VLOOKUP(MID($A179,7,1),Kanji_2_HanViet!$A:$C,2,FALSE)),"",VLOOKUP(MID($A179,7,1),Kanji_2_HanViet!$A:$C,2,FALSE))</f>
        <v/>
      </c>
      <c r="J179" s="16" t="str">
        <f>IF(ISNA(VLOOKUP(MID($A179,8,1),Kanji_2_HanViet!$A:$C,2,FALSE)),"",VLOOKUP(MID($A179,8,1),Kanji_2_HanViet!$A:$C,2,FALSE))</f>
        <v/>
      </c>
      <c r="K179" s="16" t="str">
        <f>IF(ISNA(VLOOKUP(MID($A179,9,1),Kanji_2_HanViet!$A:$C,2,FALSE)),"",VLOOKUP(MID($A179,9,1),Kanji_2_HanViet!$A:$C,2,FALSE))</f>
        <v/>
      </c>
    </row>
    <row r="180" spans="1:11">
      <c r="A180" s="14">
        <f>Master!B187</f>
        <v>0</v>
      </c>
      <c r="B180" s="17" t="str">
        <f t="shared" si="2"/>
        <v/>
      </c>
      <c r="C180" s="16" t="str">
        <f>IF(ISNA(VLOOKUP(MID($A180,1,1),Kanji_2_HanViet!$A:$C,2,FALSE)),"",VLOOKUP(MID($A180,1,1),Kanji_2_HanViet!$A:$C,2,FALSE))</f>
        <v/>
      </c>
      <c r="D180" s="16" t="str">
        <f>IF(ISNA(VLOOKUP(MID($A180,2,1),Kanji_2_HanViet!$A:$C,2,FALSE)),"",VLOOKUP(MID($A180,2,1),Kanji_2_HanViet!$A:$C,2,FALSE))</f>
        <v/>
      </c>
      <c r="E180" s="16" t="str">
        <f>IF(ISNA(VLOOKUP(MID($A180,3,1),Kanji_2_HanViet!$A:$C,2,FALSE)),"",VLOOKUP(MID($A180,3,1),Kanji_2_HanViet!$A:$C,2,FALSE))</f>
        <v/>
      </c>
      <c r="F180" s="16" t="str">
        <f>IF(ISNA(VLOOKUP(MID($A180,4,1),Kanji_2_HanViet!$A:$C,2,FALSE)),"",VLOOKUP(MID($A180,4,1),Kanji_2_HanViet!$A:$C,2,FALSE))</f>
        <v/>
      </c>
      <c r="G180" s="16" t="str">
        <f>IF(ISNA(VLOOKUP(MID($A180,5,1),Kanji_2_HanViet!$A:$C,2,FALSE)),"",VLOOKUP(MID($A180,5,1),Kanji_2_HanViet!$A:$C,2,FALSE))</f>
        <v/>
      </c>
      <c r="H180" s="16" t="str">
        <f>IF(ISNA(VLOOKUP(MID($A180,6,1),Kanji_2_HanViet!$A:$C,2,FALSE)),"",VLOOKUP(MID($A180,6,1),Kanji_2_HanViet!$A:$C,2,FALSE))</f>
        <v/>
      </c>
      <c r="I180" s="16" t="str">
        <f>IF(ISNA(VLOOKUP(MID($A180,7,1),Kanji_2_HanViet!$A:$C,2,FALSE)),"",VLOOKUP(MID($A180,7,1),Kanji_2_HanViet!$A:$C,2,FALSE))</f>
        <v/>
      </c>
      <c r="J180" s="16" t="str">
        <f>IF(ISNA(VLOOKUP(MID($A180,8,1),Kanji_2_HanViet!$A:$C,2,FALSE)),"",VLOOKUP(MID($A180,8,1),Kanji_2_HanViet!$A:$C,2,FALSE))</f>
        <v/>
      </c>
      <c r="K180" s="16" t="str">
        <f>IF(ISNA(VLOOKUP(MID($A180,9,1),Kanji_2_HanViet!$A:$C,2,FALSE)),"",VLOOKUP(MID($A180,9,1),Kanji_2_HanViet!$A:$C,2,FALSE))</f>
        <v/>
      </c>
    </row>
    <row r="181" spans="1:11">
      <c r="A181" s="14">
        <f>Master!B188</f>
        <v>0</v>
      </c>
      <c r="B181" s="17" t="str">
        <f t="shared" si="2"/>
        <v/>
      </c>
      <c r="C181" s="16" t="str">
        <f>IF(ISNA(VLOOKUP(MID($A181,1,1),Kanji_2_HanViet!$A:$C,2,FALSE)),"",VLOOKUP(MID($A181,1,1),Kanji_2_HanViet!$A:$C,2,FALSE))</f>
        <v/>
      </c>
      <c r="D181" s="16" t="str">
        <f>IF(ISNA(VLOOKUP(MID($A181,2,1),Kanji_2_HanViet!$A:$C,2,FALSE)),"",VLOOKUP(MID($A181,2,1),Kanji_2_HanViet!$A:$C,2,FALSE))</f>
        <v/>
      </c>
      <c r="E181" s="16" t="str">
        <f>IF(ISNA(VLOOKUP(MID($A181,3,1),Kanji_2_HanViet!$A:$C,2,FALSE)),"",VLOOKUP(MID($A181,3,1),Kanji_2_HanViet!$A:$C,2,FALSE))</f>
        <v/>
      </c>
      <c r="F181" s="16" t="str">
        <f>IF(ISNA(VLOOKUP(MID($A181,4,1),Kanji_2_HanViet!$A:$C,2,FALSE)),"",VLOOKUP(MID($A181,4,1),Kanji_2_HanViet!$A:$C,2,FALSE))</f>
        <v/>
      </c>
      <c r="G181" s="16" t="str">
        <f>IF(ISNA(VLOOKUP(MID($A181,5,1),Kanji_2_HanViet!$A:$C,2,FALSE)),"",VLOOKUP(MID($A181,5,1),Kanji_2_HanViet!$A:$C,2,FALSE))</f>
        <v/>
      </c>
      <c r="H181" s="16" t="str">
        <f>IF(ISNA(VLOOKUP(MID($A181,6,1),Kanji_2_HanViet!$A:$C,2,FALSE)),"",VLOOKUP(MID($A181,6,1),Kanji_2_HanViet!$A:$C,2,FALSE))</f>
        <v/>
      </c>
      <c r="I181" s="16" t="str">
        <f>IF(ISNA(VLOOKUP(MID($A181,7,1),Kanji_2_HanViet!$A:$C,2,FALSE)),"",VLOOKUP(MID($A181,7,1),Kanji_2_HanViet!$A:$C,2,FALSE))</f>
        <v/>
      </c>
      <c r="J181" s="16" t="str">
        <f>IF(ISNA(VLOOKUP(MID($A181,8,1),Kanji_2_HanViet!$A:$C,2,FALSE)),"",VLOOKUP(MID($A181,8,1),Kanji_2_HanViet!$A:$C,2,FALSE))</f>
        <v/>
      </c>
      <c r="K181" s="16" t="str">
        <f>IF(ISNA(VLOOKUP(MID($A181,9,1),Kanji_2_HanViet!$A:$C,2,FALSE)),"",VLOOKUP(MID($A181,9,1),Kanji_2_HanViet!$A:$C,2,FALSE))</f>
        <v/>
      </c>
    </row>
    <row r="182" spans="1:11">
      <c r="A182" s="14">
        <f>Master!B189</f>
        <v>0</v>
      </c>
      <c r="B182" s="17" t="str">
        <f t="shared" si="2"/>
        <v/>
      </c>
      <c r="C182" s="16" t="str">
        <f>IF(ISNA(VLOOKUP(MID($A182,1,1),Kanji_2_HanViet!$A:$C,2,FALSE)),"",VLOOKUP(MID($A182,1,1),Kanji_2_HanViet!$A:$C,2,FALSE))</f>
        <v/>
      </c>
      <c r="D182" s="16" t="str">
        <f>IF(ISNA(VLOOKUP(MID($A182,2,1),Kanji_2_HanViet!$A:$C,2,FALSE)),"",VLOOKUP(MID($A182,2,1),Kanji_2_HanViet!$A:$C,2,FALSE))</f>
        <v/>
      </c>
      <c r="E182" s="16" t="str">
        <f>IF(ISNA(VLOOKUP(MID($A182,3,1),Kanji_2_HanViet!$A:$C,2,FALSE)),"",VLOOKUP(MID($A182,3,1),Kanji_2_HanViet!$A:$C,2,FALSE))</f>
        <v/>
      </c>
      <c r="F182" s="16" t="str">
        <f>IF(ISNA(VLOOKUP(MID($A182,4,1),Kanji_2_HanViet!$A:$C,2,FALSE)),"",VLOOKUP(MID($A182,4,1),Kanji_2_HanViet!$A:$C,2,FALSE))</f>
        <v/>
      </c>
      <c r="G182" s="16" t="str">
        <f>IF(ISNA(VLOOKUP(MID($A182,5,1),Kanji_2_HanViet!$A:$C,2,FALSE)),"",VLOOKUP(MID($A182,5,1),Kanji_2_HanViet!$A:$C,2,FALSE))</f>
        <v/>
      </c>
      <c r="H182" s="16" t="str">
        <f>IF(ISNA(VLOOKUP(MID($A182,6,1),Kanji_2_HanViet!$A:$C,2,FALSE)),"",VLOOKUP(MID($A182,6,1),Kanji_2_HanViet!$A:$C,2,FALSE))</f>
        <v/>
      </c>
      <c r="I182" s="16" t="str">
        <f>IF(ISNA(VLOOKUP(MID($A182,7,1),Kanji_2_HanViet!$A:$C,2,FALSE)),"",VLOOKUP(MID($A182,7,1),Kanji_2_HanViet!$A:$C,2,FALSE))</f>
        <v/>
      </c>
      <c r="J182" s="16" t="str">
        <f>IF(ISNA(VLOOKUP(MID($A182,8,1),Kanji_2_HanViet!$A:$C,2,FALSE)),"",VLOOKUP(MID($A182,8,1),Kanji_2_HanViet!$A:$C,2,FALSE))</f>
        <v/>
      </c>
      <c r="K182" s="16" t="str">
        <f>IF(ISNA(VLOOKUP(MID($A182,9,1),Kanji_2_HanViet!$A:$C,2,FALSE)),"",VLOOKUP(MID($A182,9,1),Kanji_2_HanViet!$A:$C,2,FALSE))</f>
        <v/>
      </c>
    </row>
    <row r="183" spans="1:11">
      <c r="A183" s="14">
        <f>Master!B190</f>
        <v>0</v>
      </c>
      <c r="B183" s="17" t="str">
        <f t="shared" si="2"/>
        <v/>
      </c>
      <c r="C183" s="16" t="str">
        <f>IF(ISNA(VLOOKUP(MID($A183,1,1),Kanji_2_HanViet!$A:$C,2,FALSE)),"",VLOOKUP(MID($A183,1,1),Kanji_2_HanViet!$A:$C,2,FALSE))</f>
        <v/>
      </c>
      <c r="D183" s="16" t="str">
        <f>IF(ISNA(VLOOKUP(MID($A183,2,1),Kanji_2_HanViet!$A:$C,2,FALSE)),"",VLOOKUP(MID($A183,2,1),Kanji_2_HanViet!$A:$C,2,FALSE))</f>
        <v/>
      </c>
      <c r="E183" s="16" t="str">
        <f>IF(ISNA(VLOOKUP(MID($A183,3,1),Kanji_2_HanViet!$A:$C,2,FALSE)),"",VLOOKUP(MID($A183,3,1),Kanji_2_HanViet!$A:$C,2,FALSE))</f>
        <v/>
      </c>
      <c r="F183" s="16" t="str">
        <f>IF(ISNA(VLOOKUP(MID($A183,4,1),Kanji_2_HanViet!$A:$C,2,FALSE)),"",VLOOKUP(MID($A183,4,1),Kanji_2_HanViet!$A:$C,2,FALSE))</f>
        <v/>
      </c>
      <c r="G183" s="16" t="str">
        <f>IF(ISNA(VLOOKUP(MID($A183,5,1),Kanji_2_HanViet!$A:$C,2,FALSE)),"",VLOOKUP(MID($A183,5,1),Kanji_2_HanViet!$A:$C,2,FALSE))</f>
        <v/>
      </c>
      <c r="H183" s="16" t="str">
        <f>IF(ISNA(VLOOKUP(MID($A183,6,1),Kanji_2_HanViet!$A:$C,2,FALSE)),"",VLOOKUP(MID($A183,6,1),Kanji_2_HanViet!$A:$C,2,FALSE))</f>
        <v/>
      </c>
      <c r="I183" s="16" t="str">
        <f>IF(ISNA(VLOOKUP(MID($A183,7,1),Kanji_2_HanViet!$A:$C,2,FALSE)),"",VLOOKUP(MID($A183,7,1),Kanji_2_HanViet!$A:$C,2,FALSE))</f>
        <v/>
      </c>
      <c r="J183" s="16" t="str">
        <f>IF(ISNA(VLOOKUP(MID($A183,8,1),Kanji_2_HanViet!$A:$C,2,FALSE)),"",VLOOKUP(MID($A183,8,1),Kanji_2_HanViet!$A:$C,2,FALSE))</f>
        <v/>
      </c>
      <c r="K183" s="16" t="str">
        <f>IF(ISNA(VLOOKUP(MID($A183,9,1),Kanji_2_HanViet!$A:$C,2,FALSE)),"",VLOOKUP(MID($A183,9,1),Kanji_2_HanViet!$A:$C,2,FALSE))</f>
        <v/>
      </c>
    </row>
    <row r="184" spans="1:11">
      <c r="A184" s="14">
        <f>Master!B191</f>
        <v>0</v>
      </c>
      <c r="B184" s="17" t="str">
        <f t="shared" si="2"/>
        <v/>
      </c>
      <c r="C184" s="16" t="str">
        <f>IF(ISNA(VLOOKUP(MID($A184,1,1),Kanji_2_HanViet!$A:$C,2,FALSE)),"",VLOOKUP(MID($A184,1,1),Kanji_2_HanViet!$A:$C,2,FALSE))</f>
        <v/>
      </c>
      <c r="D184" s="16" t="str">
        <f>IF(ISNA(VLOOKUP(MID($A184,2,1),Kanji_2_HanViet!$A:$C,2,FALSE)),"",VLOOKUP(MID($A184,2,1),Kanji_2_HanViet!$A:$C,2,FALSE))</f>
        <v/>
      </c>
      <c r="E184" s="16" t="str">
        <f>IF(ISNA(VLOOKUP(MID($A184,3,1),Kanji_2_HanViet!$A:$C,2,FALSE)),"",VLOOKUP(MID($A184,3,1),Kanji_2_HanViet!$A:$C,2,FALSE))</f>
        <v/>
      </c>
      <c r="F184" s="16" t="str">
        <f>IF(ISNA(VLOOKUP(MID($A184,4,1),Kanji_2_HanViet!$A:$C,2,FALSE)),"",VLOOKUP(MID($A184,4,1),Kanji_2_HanViet!$A:$C,2,FALSE))</f>
        <v/>
      </c>
      <c r="G184" s="16" t="str">
        <f>IF(ISNA(VLOOKUP(MID($A184,5,1),Kanji_2_HanViet!$A:$C,2,FALSE)),"",VLOOKUP(MID($A184,5,1),Kanji_2_HanViet!$A:$C,2,FALSE))</f>
        <v/>
      </c>
      <c r="H184" s="16" t="str">
        <f>IF(ISNA(VLOOKUP(MID($A184,6,1),Kanji_2_HanViet!$A:$C,2,FALSE)),"",VLOOKUP(MID($A184,6,1),Kanji_2_HanViet!$A:$C,2,FALSE))</f>
        <v/>
      </c>
      <c r="I184" s="16" t="str">
        <f>IF(ISNA(VLOOKUP(MID($A184,7,1),Kanji_2_HanViet!$A:$C,2,FALSE)),"",VLOOKUP(MID($A184,7,1),Kanji_2_HanViet!$A:$C,2,FALSE))</f>
        <v/>
      </c>
      <c r="J184" s="16" t="str">
        <f>IF(ISNA(VLOOKUP(MID($A184,8,1),Kanji_2_HanViet!$A:$C,2,FALSE)),"",VLOOKUP(MID($A184,8,1),Kanji_2_HanViet!$A:$C,2,FALSE))</f>
        <v/>
      </c>
      <c r="K184" s="16" t="str">
        <f>IF(ISNA(VLOOKUP(MID($A184,9,1),Kanji_2_HanViet!$A:$C,2,FALSE)),"",VLOOKUP(MID($A184,9,1),Kanji_2_HanViet!$A:$C,2,FALSE))</f>
        <v/>
      </c>
    </row>
    <row r="185" spans="1:11">
      <c r="A185" s="14">
        <f>Master!B192</f>
        <v>0</v>
      </c>
      <c r="B185" s="17" t="str">
        <f t="shared" si="2"/>
        <v/>
      </c>
      <c r="C185" s="16" t="str">
        <f>IF(ISNA(VLOOKUP(MID($A185,1,1),Kanji_2_HanViet!$A:$C,2,FALSE)),"",VLOOKUP(MID($A185,1,1),Kanji_2_HanViet!$A:$C,2,FALSE))</f>
        <v/>
      </c>
      <c r="D185" s="16" t="str">
        <f>IF(ISNA(VLOOKUP(MID($A185,2,1),Kanji_2_HanViet!$A:$C,2,FALSE)),"",VLOOKUP(MID($A185,2,1),Kanji_2_HanViet!$A:$C,2,FALSE))</f>
        <v/>
      </c>
      <c r="E185" s="16" t="str">
        <f>IF(ISNA(VLOOKUP(MID($A185,3,1),Kanji_2_HanViet!$A:$C,2,FALSE)),"",VLOOKUP(MID($A185,3,1),Kanji_2_HanViet!$A:$C,2,FALSE))</f>
        <v/>
      </c>
      <c r="F185" s="16" t="str">
        <f>IF(ISNA(VLOOKUP(MID($A185,4,1),Kanji_2_HanViet!$A:$C,2,FALSE)),"",VLOOKUP(MID($A185,4,1),Kanji_2_HanViet!$A:$C,2,FALSE))</f>
        <v/>
      </c>
      <c r="G185" s="16" t="str">
        <f>IF(ISNA(VLOOKUP(MID($A185,5,1),Kanji_2_HanViet!$A:$C,2,FALSE)),"",VLOOKUP(MID($A185,5,1),Kanji_2_HanViet!$A:$C,2,FALSE))</f>
        <v/>
      </c>
      <c r="H185" s="16" t="str">
        <f>IF(ISNA(VLOOKUP(MID($A185,6,1),Kanji_2_HanViet!$A:$C,2,FALSE)),"",VLOOKUP(MID($A185,6,1),Kanji_2_HanViet!$A:$C,2,FALSE))</f>
        <v/>
      </c>
      <c r="I185" s="16" t="str">
        <f>IF(ISNA(VLOOKUP(MID($A185,7,1),Kanji_2_HanViet!$A:$C,2,FALSE)),"",VLOOKUP(MID($A185,7,1),Kanji_2_HanViet!$A:$C,2,FALSE))</f>
        <v/>
      </c>
      <c r="J185" s="16" t="str">
        <f>IF(ISNA(VLOOKUP(MID($A185,8,1),Kanji_2_HanViet!$A:$C,2,FALSE)),"",VLOOKUP(MID($A185,8,1),Kanji_2_HanViet!$A:$C,2,FALSE))</f>
        <v/>
      </c>
      <c r="K185" s="16" t="str">
        <f>IF(ISNA(VLOOKUP(MID($A185,9,1),Kanji_2_HanViet!$A:$C,2,FALSE)),"",VLOOKUP(MID($A185,9,1),Kanji_2_HanViet!$A:$C,2,FALSE))</f>
        <v/>
      </c>
    </row>
    <row r="186" spans="1:11">
      <c r="A186" s="14">
        <f>Master!B193</f>
        <v>0</v>
      </c>
      <c r="B186" s="17" t="str">
        <f t="shared" si="2"/>
        <v/>
      </c>
      <c r="C186" s="16" t="str">
        <f>IF(ISNA(VLOOKUP(MID($A186,1,1),Kanji_2_HanViet!$A:$C,2,FALSE)),"",VLOOKUP(MID($A186,1,1),Kanji_2_HanViet!$A:$C,2,FALSE))</f>
        <v/>
      </c>
      <c r="D186" s="16" t="str">
        <f>IF(ISNA(VLOOKUP(MID($A186,2,1),Kanji_2_HanViet!$A:$C,2,FALSE)),"",VLOOKUP(MID($A186,2,1),Kanji_2_HanViet!$A:$C,2,FALSE))</f>
        <v/>
      </c>
      <c r="E186" s="16" t="str">
        <f>IF(ISNA(VLOOKUP(MID($A186,3,1),Kanji_2_HanViet!$A:$C,2,FALSE)),"",VLOOKUP(MID($A186,3,1),Kanji_2_HanViet!$A:$C,2,FALSE))</f>
        <v/>
      </c>
      <c r="F186" s="16" t="str">
        <f>IF(ISNA(VLOOKUP(MID($A186,4,1),Kanji_2_HanViet!$A:$C,2,FALSE)),"",VLOOKUP(MID($A186,4,1),Kanji_2_HanViet!$A:$C,2,FALSE))</f>
        <v/>
      </c>
      <c r="G186" s="16" t="str">
        <f>IF(ISNA(VLOOKUP(MID($A186,5,1),Kanji_2_HanViet!$A:$C,2,FALSE)),"",VLOOKUP(MID($A186,5,1),Kanji_2_HanViet!$A:$C,2,FALSE))</f>
        <v/>
      </c>
      <c r="H186" s="16" t="str">
        <f>IF(ISNA(VLOOKUP(MID($A186,6,1),Kanji_2_HanViet!$A:$C,2,FALSE)),"",VLOOKUP(MID($A186,6,1),Kanji_2_HanViet!$A:$C,2,FALSE))</f>
        <v/>
      </c>
      <c r="I186" s="16" t="str">
        <f>IF(ISNA(VLOOKUP(MID($A186,7,1),Kanji_2_HanViet!$A:$C,2,FALSE)),"",VLOOKUP(MID($A186,7,1),Kanji_2_HanViet!$A:$C,2,FALSE))</f>
        <v/>
      </c>
      <c r="J186" s="16" t="str">
        <f>IF(ISNA(VLOOKUP(MID($A186,8,1),Kanji_2_HanViet!$A:$C,2,FALSE)),"",VLOOKUP(MID($A186,8,1),Kanji_2_HanViet!$A:$C,2,FALSE))</f>
        <v/>
      </c>
      <c r="K186" s="16" t="str">
        <f>IF(ISNA(VLOOKUP(MID($A186,9,1),Kanji_2_HanViet!$A:$C,2,FALSE)),"",VLOOKUP(MID($A186,9,1),Kanji_2_HanViet!$A:$C,2,FALSE))</f>
        <v/>
      </c>
    </row>
    <row r="187" spans="1:11">
      <c r="A187" s="14">
        <f>Master!B194</f>
        <v>0</v>
      </c>
      <c r="B187" s="17" t="str">
        <f t="shared" si="2"/>
        <v/>
      </c>
      <c r="C187" s="16" t="str">
        <f>IF(ISNA(VLOOKUP(MID($A187,1,1),Kanji_2_HanViet!$A:$C,2,FALSE)),"",VLOOKUP(MID($A187,1,1),Kanji_2_HanViet!$A:$C,2,FALSE))</f>
        <v/>
      </c>
      <c r="D187" s="16" t="str">
        <f>IF(ISNA(VLOOKUP(MID($A187,2,1),Kanji_2_HanViet!$A:$C,2,FALSE)),"",VLOOKUP(MID($A187,2,1),Kanji_2_HanViet!$A:$C,2,FALSE))</f>
        <v/>
      </c>
      <c r="E187" s="16" t="str">
        <f>IF(ISNA(VLOOKUP(MID($A187,3,1),Kanji_2_HanViet!$A:$C,2,FALSE)),"",VLOOKUP(MID($A187,3,1),Kanji_2_HanViet!$A:$C,2,FALSE))</f>
        <v/>
      </c>
      <c r="F187" s="16" t="str">
        <f>IF(ISNA(VLOOKUP(MID($A187,4,1),Kanji_2_HanViet!$A:$C,2,FALSE)),"",VLOOKUP(MID($A187,4,1),Kanji_2_HanViet!$A:$C,2,FALSE))</f>
        <v/>
      </c>
      <c r="G187" s="16" t="str">
        <f>IF(ISNA(VLOOKUP(MID($A187,5,1),Kanji_2_HanViet!$A:$C,2,FALSE)),"",VLOOKUP(MID($A187,5,1),Kanji_2_HanViet!$A:$C,2,FALSE))</f>
        <v/>
      </c>
      <c r="H187" s="16" t="str">
        <f>IF(ISNA(VLOOKUP(MID($A187,6,1),Kanji_2_HanViet!$A:$C,2,FALSE)),"",VLOOKUP(MID($A187,6,1),Kanji_2_HanViet!$A:$C,2,FALSE))</f>
        <v/>
      </c>
      <c r="I187" s="16" t="str">
        <f>IF(ISNA(VLOOKUP(MID($A187,7,1),Kanji_2_HanViet!$A:$C,2,FALSE)),"",VLOOKUP(MID($A187,7,1),Kanji_2_HanViet!$A:$C,2,FALSE))</f>
        <v/>
      </c>
      <c r="J187" s="16" t="str">
        <f>IF(ISNA(VLOOKUP(MID($A187,8,1),Kanji_2_HanViet!$A:$C,2,FALSE)),"",VLOOKUP(MID($A187,8,1),Kanji_2_HanViet!$A:$C,2,FALSE))</f>
        <v/>
      </c>
      <c r="K187" s="16" t="str">
        <f>IF(ISNA(VLOOKUP(MID($A187,9,1),Kanji_2_HanViet!$A:$C,2,FALSE)),"",VLOOKUP(MID($A187,9,1),Kanji_2_HanViet!$A:$C,2,FALSE))</f>
        <v/>
      </c>
    </row>
    <row r="188" spans="1:11">
      <c r="A188" s="14">
        <f>Master!B195</f>
        <v>0</v>
      </c>
      <c r="B188" s="17" t="str">
        <f t="shared" si="2"/>
        <v/>
      </c>
      <c r="C188" s="16" t="str">
        <f>IF(ISNA(VLOOKUP(MID($A188,1,1),Kanji_2_HanViet!$A:$C,2,FALSE)),"",VLOOKUP(MID($A188,1,1),Kanji_2_HanViet!$A:$C,2,FALSE))</f>
        <v/>
      </c>
      <c r="D188" s="16" t="str">
        <f>IF(ISNA(VLOOKUP(MID($A188,2,1),Kanji_2_HanViet!$A:$C,2,FALSE)),"",VLOOKUP(MID($A188,2,1),Kanji_2_HanViet!$A:$C,2,FALSE))</f>
        <v/>
      </c>
      <c r="E188" s="16" t="str">
        <f>IF(ISNA(VLOOKUP(MID($A188,3,1),Kanji_2_HanViet!$A:$C,2,FALSE)),"",VLOOKUP(MID($A188,3,1),Kanji_2_HanViet!$A:$C,2,FALSE))</f>
        <v/>
      </c>
      <c r="F188" s="16" t="str">
        <f>IF(ISNA(VLOOKUP(MID($A188,4,1),Kanji_2_HanViet!$A:$C,2,FALSE)),"",VLOOKUP(MID($A188,4,1),Kanji_2_HanViet!$A:$C,2,FALSE))</f>
        <v/>
      </c>
      <c r="G188" s="16" t="str">
        <f>IF(ISNA(VLOOKUP(MID($A188,5,1),Kanji_2_HanViet!$A:$C,2,FALSE)),"",VLOOKUP(MID($A188,5,1),Kanji_2_HanViet!$A:$C,2,FALSE))</f>
        <v/>
      </c>
      <c r="H188" s="16" t="str">
        <f>IF(ISNA(VLOOKUP(MID($A188,6,1),Kanji_2_HanViet!$A:$C,2,FALSE)),"",VLOOKUP(MID($A188,6,1),Kanji_2_HanViet!$A:$C,2,FALSE))</f>
        <v/>
      </c>
      <c r="I188" s="16" t="str">
        <f>IF(ISNA(VLOOKUP(MID($A188,7,1),Kanji_2_HanViet!$A:$C,2,FALSE)),"",VLOOKUP(MID($A188,7,1),Kanji_2_HanViet!$A:$C,2,FALSE))</f>
        <v/>
      </c>
      <c r="J188" s="16" t="str">
        <f>IF(ISNA(VLOOKUP(MID($A188,8,1),Kanji_2_HanViet!$A:$C,2,FALSE)),"",VLOOKUP(MID($A188,8,1),Kanji_2_HanViet!$A:$C,2,FALSE))</f>
        <v/>
      </c>
      <c r="K188" s="16" t="str">
        <f>IF(ISNA(VLOOKUP(MID($A188,9,1),Kanji_2_HanViet!$A:$C,2,FALSE)),"",VLOOKUP(MID($A188,9,1),Kanji_2_HanViet!$A:$C,2,FALSE))</f>
        <v/>
      </c>
    </row>
    <row r="189" spans="1:11">
      <c r="A189" s="14">
        <f>Master!B196</f>
        <v>0</v>
      </c>
      <c r="B189" s="17" t="str">
        <f t="shared" si="2"/>
        <v/>
      </c>
      <c r="C189" s="16" t="str">
        <f>IF(ISNA(VLOOKUP(MID($A189,1,1),Kanji_2_HanViet!$A:$C,2,FALSE)),"",VLOOKUP(MID($A189,1,1),Kanji_2_HanViet!$A:$C,2,FALSE))</f>
        <v/>
      </c>
      <c r="D189" s="16" t="str">
        <f>IF(ISNA(VLOOKUP(MID($A189,2,1),Kanji_2_HanViet!$A:$C,2,FALSE)),"",VLOOKUP(MID($A189,2,1),Kanji_2_HanViet!$A:$C,2,FALSE))</f>
        <v/>
      </c>
      <c r="E189" s="16" t="str">
        <f>IF(ISNA(VLOOKUP(MID($A189,3,1),Kanji_2_HanViet!$A:$C,2,FALSE)),"",VLOOKUP(MID($A189,3,1),Kanji_2_HanViet!$A:$C,2,FALSE))</f>
        <v/>
      </c>
      <c r="F189" s="16" t="str">
        <f>IF(ISNA(VLOOKUP(MID($A189,4,1),Kanji_2_HanViet!$A:$C,2,FALSE)),"",VLOOKUP(MID($A189,4,1),Kanji_2_HanViet!$A:$C,2,FALSE))</f>
        <v/>
      </c>
      <c r="G189" s="16" t="str">
        <f>IF(ISNA(VLOOKUP(MID($A189,5,1),Kanji_2_HanViet!$A:$C,2,FALSE)),"",VLOOKUP(MID($A189,5,1),Kanji_2_HanViet!$A:$C,2,FALSE))</f>
        <v/>
      </c>
      <c r="H189" s="16" t="str">
        <f>IF(ISNA(VLOOKUP(MID($A189,6,1),Kanji_2_HanViet!$A:$C,2,FALSE)),"",VLOOKUP(MID($A189,6,1),Kanji_2_HanViet!$A:$C,2,FALSE))</f>
        <v/>
      </c>
      <c r="I189" s="16" t="str">
        <f>IF(ISNA(VLOOKUP(MID($A189,7,1),Kanji_2_HanViet!$A:$C,2,FALSE)),"",VLOOKUP(MID($A189,7,1),Kanji_2_HanViet!$A:$C,2,FALSE))</f>
        <v/>
      </c>
      <c r="J189" s="16" t="str">
        <f>IF(ISNA(VLOOKUP(MID($A189,8,1),Kanji_2_HanViet!$A:$C,2,FALSE)),"",VLOOKUP(MID($A189,8,1),Kanji_2_HanViet!$A:$C,2,FALSE))</f>
        <v/>
      </c>
      <c r="K189" s="16" t="str">
        <f>IF(ISNA(VLOOKUP(MID($A189,9,1),Kanji_2_HanViet!$A:$C,2,FALSE)),"",VLOOKUP(MID($A189,9,1),Kanji_2_HanViet!$A:$C,2,FALSE))</f>
        <v/>
      </c>
    </row>
    <row r="190" spans="1:11">
      <c r="A190" s="14">
        <f>Master!B197</f>
        <v>0</v>
      </c>
      <c r="B190" s="17" t="str">
        <f t="shared" si="2"/>
        <v/>
      </c>
      <c r="C190" s="16" t="str">
        <f>IF(ISNA(VLOOKUP(MID($A190,1,1),Kanji_2_HanViet!$A:$C,2,FALSE)),"",VLOOKUP(MID($A190,1,1),Kanji_2_HanViet!$A:$C,2,FALSE))</f>
        <v/>
      </c>
      <c r="D190" s="16" t="str">
        <f>IF(ISNA(VLOOKUP(MID($A190,2,1),Kanji_2_HanViet!$A:$C,2,FALSE)),"",VLOOKUP(MID($A190,2,1),Kanji_2_HanViet!$A:$C,2,FALSE))</f>
        <v/>
      </c>
      <c r="E190" s="16" t="str">
        <f>IF(ISNA(VLOOKUP(MID($A190,3,1),Kanji_2_HanViet!$A:$C,2,FALSE)),"",VLOOKUP(MID($A190,3,1),Kanji_2_HanViet!$A:$C,2,FALSE))</f>
        <v/>
      </c>
      <c r="F190" s="16" t="str">
        <f>IF(ISNA(VLOOKUP(MID($A190,4,1),Kanji_2_HanViet!$A:$C,2,FALSE)),"",VLOOKUP(MID($A190,4,1),Kanji_2_HanViet!$A:$C,2,FALSE))</f>
        <v/>
      </c>
      <c r="G190" s="16" t="str">
        <f>IF(ISNA(VLOOKUP(MID($A190,5,1),Kanji_2_HanViet!$A:$C,2,FALSE)),"",VLOOKUP(MID($A190,5,1),Kanji_2_HanViet!$A:$C,2,FALSE))</f>
        <v/>
      </c>
      <c r="H190" s="16" t="str">
        <f>IF(ISNA(VLOOKUP(MID($A190,6,1),Kanji_2_HanViet!$A:$C,2,FALSE)),"",VLOOKUP(MID($A190,6,1),Kanji_2_HanViet!$A:$C,2,FALSE))</f>
        <v/>
      </c>
      <c r="I190" s="16" t="str">
        <f>IF(ISNA(VLOOKUP(MID($A190,7,1),Kanji_2_HanViet!$A:$C,2,FALSE)),"",VLOOKUP(MID($A190,7,1),Kanji_2_HanViet!$A:$C,2,FALSE))</f>
        <v/>
      </c>
      <c r="J190" s="16" t="str">
        <f>IF(ISNA(VLOOKUP(MID($A190,8,1),Kanji_2_HanViet!$A:$C,2,FALSE)),"",VLOOKUP(MID($A190,8,1),Kanji_2_HanViet!$A:$C,2,FALSE))</f>
        <v/>
      </c>
      <c r="K190" s="16" t="str">
        <f>IF(ISNA(VLOOKUP(MID($A190,9,1),Kanji_2_HanViet!$A:$C,2,FALSE)),"",VLOOKUP(MID($A190,9,1),Kanji_2_HanViet!$A:$C,2,FALSE))</f>
        <v/>
      </c>
    </row>
    <row r="191" spans="1:11">
      <c r="A191" s="14">
        <f>Master!B198</f>
        <v>0</v>
      </c>
      <c r="B191" s="17" t="str">
        <f t="shared" si="2"/>
        <v/>
      </c>
      <c r="C191" s="16" t="str">
        <f>IF(ISNA(VLOOKUP(MID($A191,1,1),Kanji_2_HanViet!$A:$C,2,FALSE)),"",VLOOKUP(MID($A191,1,1),Kanji_2_HanViet!$A:$C,2,FALSE))</f>
        <v/>
      </c>
      <c r="D191" s="16" t="str">
        <f>IF(ISNA(VLOOKUP(MID($A191,2,1),Kanji_2_HanViet!$A:$C,2,FALSE)),"",VLOOKUP(MID($A191,2,1),Kanji_2_HanViet!$A:$C,2,FALSE))</f>
        <v/>
      </c>
      <c r="E191" s="16" t="str">
        <f>IF(ISNA(VLOOKUP(MID($A191,3,1),Kanji_2_HanViet!$A:$C,2,FALSE)),"",VLOOKUP(MID($A191,3,1),Kanji_2_HanViet!$A:$C,2,FALSE))</f>
        <v/>
      </c>
      <c r="F191" s="16" t="str">
        <f>IF(ISNA(VLOOKUP(MID($A191,4,1),Kanji_2_HanViet!$A:$C,2,FALSE)),"",VLOOKUP(MID($A191,4,1),Kanji_2_HanViet!$A:$C,2,FALSE))</f>
        <v/>
      </c>
      <c r="G191" s="16" t="str">
        <f>IF(ISNA(VLOOKUP(MID($A191,5,1),Kanji_2_HanViet!$A:$C,2,FALSE)),"",VLOOKUP(MID($A191,5,1),Kanji_2_HanViet!$A:$C,2,FALSE))</f>
        <v/>
      </c>
      <c r="H191" s="16" t="str">
        <f>IF(ISNA(VLOOKUP(MID($A191,6,1),Kanji_2_HanViet!$A:$C,2,FALSE)),"",VLOOKUP(MID($A191,6,1),Kanji_2_HanViet!$A:$C,2,FALSE))</f>
        <v/>
      </c>
      <c r="I191" s="16" t="str">
        <f>IF(ISNA(VLOOKUP(MID($A191,7,1),Kanji_2_HanViet!$A:$C,2,FALSE)),"",VLOOKUP(MID($A191,7,1),Kanji_2_HanViet!$A:$C,2,FALSE))</f>
        <v/>
      </c>
      <c r="J191" s="16" t="str">
        <f>IF(ISNA(VLOOKUP(MID($A191,8,1),Kanji_2_HanViet!$A:$C,2,FALSE)),"",VLOOKUP(MID($A191,8,1),Kanji_2_HanViet!$A:$C,2,FALSE))</f>
        <v/>
      </c>
      <c r="K191" s="16" t="str">
        <f>IF(ISNA(VLOOKUP(MID($A191,9,1),Kanji_2_HanViet!$A:$C,2,FALSE)),"",VLOOKUP(MID($A191,9,1),Kanji_2_HanViet!$A:$C,2,FALSE))</f>
        <v/>
      </c>
    </row>
    <row r="192" spans="1:11">
      <c r="A192" s="14">
        <f>Master!B199</f>
        <v>0</v>
      </c>
      <c r="B192" s="17" t="str">
        <f t="shared" si="2"/>
        <v/>
      </c>
      <c r="C192" s="16" t="str">
        <f>IF(ISNA(VLOOKUP(MID($A192,1,1),Kanji_2_HanViet!$A:$C,2,FALSE)),"",VLOOKUP(MID($A192,1,1),Kanji_2_HanViet!$A:$C,2,FALSE))</f>
        <v/>
      </c>
      <c r="D192" s="16" t="str">
        <f>IF(ISNA(VLOOKUP(MID($A192,2,1),Kanji_2_HanViet!$A:$C,2,FALSE)),"",VLOOKUP(MID($A192,2,1),Kanji_2_HanViet!$A:$C,2,FALSE))</f>
        <v/>
      </c>
      <c r="E192" s="16" t="str">
        <f>IF(ISNA(VLOOKUP(MID($A192,3,1),Kanji_2_HanViet!$A:$C,2,FALSE)),"",VLOOKUP(MID($A192,3,1),Kanji_2_HanViet!$A:$C,2,FALSE))</f>
        <v/>
      </c>
      <c r="F192" s="16" t="str">
        <f>IF(ISNA(VLOOKUP(MID($A192,4,1),Kanji_2_HanViet!$A:$C,2,FALSE)),"",VLOOKUP(MID($A192,4,1),Kanji_2_HanViet!$A:$C,2,FALSE))</f>
        <v/>
      </c>
      <c r="G192" s="16" t="str">
        <f>IF(ISNA(VLOOKUP(MID($A192,5,1),Kanji_2_HanViet!$A:$C,2,FALSE)),"",VLOOKUP(MID($A192,5,1),Kanji_2_HanViet!$A:$C,2,FALSE))</f>
        <v/>
      </c>
      <c r="H192" s="16" t="str">
        <f>IF(ISNA(VLOOKUP(MID($A192,6,1),Kanji_2_HanViet!$A:$C,2,FALSE)),"",VLOOKUP(MID($A192,6,1),Kanji_2_HanViet!$A:$C,2,FALSE))</f>
        <v/>
      </c>
      <c r="I192" s="16" t="str">
        <f>IF(ISNA(VLOOKUP(MID($A192,7,1),Kanji_2_HanViet!$A:$C,2,FALSE)),"",VLOOKUP(MID($A192,7,1),Kanji_2_HanViet!$A:$C,2,FALSE))</f>
        <v/>
      </c>
      <c r="J192" s="16" t="str">
        <f>IF(ISNA(VLOOKUP(MID($A192,8,1),Kanji_2_HanViet!$A:$C,2,FALSE)),"",VLOOKUP(MID($A192,8,1),Kanji_2_HanViet!$A:$C,2,FALSE))</f>
        <v/>
      </c>
      <c r="K192" s="16" t="str">
        <f>IF(ISNA(VLOOKUP(MID($A192,9,1),Kanji_2_HanViet!$A:$C,2,FALSE)),"",VLOOKUP(MID($A192,9,1),Kanji_2_HanViet!$A:$C,2,FALSE))</f>
        <v/>
      </c>
    </row>
    <row r="193" spans="1:11">
      <c r="A193" s="14">
        <f>Master!B200</f>
        <v>0</v>
      </c>
      <c r="B193" s="17" t="str">
        <f t="shared" si="2"/>
        <v/>
      </c>
      <c r="C193" s="16" t="str">
        <f>IF(ISNA(VLOOKUP(MID($A193,1,1),Kanji_2_HanViet!$A:$C,2,FALSE)),"",VLOOKUP(MID($A193,1,1),Kanji_2_HanViet!$A:$C,2,FALSE))</f>
        <v/>
      </c>
      <c r="D193" s="16" t="str">
        <f>IF(ISNA(VLOOKUP(MID($A193,2,1),Kanji_2_HanViet!$A:$C,2,FALSE)),"",VLOOKUP(MID($A193,2,1),Kanji_2_HanViet!$A:$C,2,FALSE))</f>
        <v/>
      </c>
      <c r="E193" s="16" t="str">
        <f>IF(ISNA(VLOOKUP(MID($A193,3,1),Kanji_2_HanViet!$A:$C,2,FALSE)),"",VLOOKUP(MID($A193,3,1),Kanji_2_HanViet!$A:$C,2,FALSE))</f>
        <v/>
      </c>
      <c r="F193" s="16" t="str">
        <f>IF(ISNA(VLOOKUP(MID($A193,4,1),Kanji_2_HanViet!$A:$C,2,FALSE)),"",VLOOKUP(MID($A193,4,1),Kanji_2_HanViet!$A:$C,2,FALSE))</f>
        <v/>
      </c>
      <c r="G193" s="16" t="str">
        <f>IF(ISNA(VLOOKUP(MID($A193,5,1),Kanji_2_HanViet!$A:$C,2,FALSE)),"",VLOOKUP(MID($A193,5,1),Kanji_2_HanViet!$A:$C,2,FALSE))</f>
        <v/>
      </c>
      <c r="H193" s="16" t="str">
        <f>IF(ISNA(VLOOKUP(MID($A193,6,1),Kanji_2_HanViet!$A:$C,2,FALSE)),"",VLOOKUP(MID($A193,6,1),Kanji_2_HanViet!$A:$C,2,FALSE))</f>
        <v/>
      </c>
      <c r="I193" s="16" t="str">
        <f>IF(ISNA(VLOOKUP(MID($A193,7,1),Kanji_2_HanViet!$A:$C,2,FALSE)),"",VLOOKUP(MID($A193,7,1),Kanji_2_HanViet!$A:$C,2,FALSE))</f>
        <v/>
      </c>
      <c r="J193" s="16" t="str">
        <f>IF(ISNA(VLOOKUP(MID($A193,8,1),Kanji_2_HanViet!$A:$C,2,FALSE)),"",VLOOKUP(MID($A193,8,1),Kanji_2_HanViet!$A:$C,2,FALSE))</f>
        <v/>
      </c>
      <c r="K193" s="16" t="str">
        <f>IF(ISNA(VLOOKUP(MID($A193,9,1),Kanji_2_HanViet!$A:$C,2,FALSE)),"",VLOOKUP(MID($A193,9,1),Kanji_2_HanViet!$A:$C,2,FALSE))</f>
        <v/>
      </c>
    </row>
    <row r="194" spans="1:11">
      <c r="A194" s="14">
        <f>Master!B201</f>
        <v>0</v>
      </c>
      <c r="B194" s="17" t="str">
        <f t="shared" si="2"/>
        <v/>
      </c>
      <c r="C194" s="16" t="str">
        <f>IF(ISNA(VLOOKUP(MID($A194,1,1),Kanji_2_HanViet!$A:$C,2,FALSE)),"",VLOOKUP(MID($A194,1,1),Kanji_2_HanViet!$A:$C,2,FALSE))</f>
        <v/>
      </c>
      <c r="D194" s="16" t="str">
        <f>IF(ISNA(VLOOKUP(MID($A194,2,1),Kanji_2_HanViet!$A:$C,2,FALSE)),"",VLOOKUP(MID($A194,2,1),Kanji_2_HanViet!$A:$C,2,FALSE))</f>
        <v/>
      </c>
      <c r="E194" s="16" t="str">
        <f>IF(ISNA(VLOOKUP(MID($A194,3,1),Kanji_2_HanViet!$A:$C,2,FALSE)),"",VLOOKUP(MID($A194,3,1),Kanji_2_HanViet!$A:$C,2,FALSE))</f>
        <v/>
      </c>
      <c r="F194" s="16" t="str">
        <f>IF(ISNA(VLOOKUP(MID($A194,4,1),Kanji_2_HanViet!$A:$C,2,FALSE)),"",VLOOKUP(MID($A194,4,1),Kanji_2_HanViet!$A:$C,2,FALSE))</f>
        <v/>
      </c>
      <c r="G194" s="16" t="str">
        <f>IF(ISNA(VLOOKUP(MID($A194,5,1),Kanji_2_HanViet!$A:$C,2,FALSE)),"",VLOOKUP(MID($A194,5,1),Kanji_2_HanViet!$A:$C,2,FALSE))</f>
        <v/>
      </c>
      <c r="H194" s="16" t="str">
        <f>IF(ISNA(VLOOKUP(MID($A194,6,1),Kanji_2_HanViet!$A:$C,2,FALSE)),"",VLOOKUP(MID($A194,6,1),Kanji_2_HanViet!$A:$C,2,FALSE))</f>
        <v/>
      </c>
      <c r="I194" s="16" t="str">
        <f>IF(ISNA(VLOOKUP(MID($A194,7,1),Kanji_2_HanViet!$A:$C,2,FALSE)),"",VLOOKUP(MID($A194,7,1),Kanji_2_HanViet!$A:$C,2,FALSE))</f>
        <v/>
      </c>
      <c r="J194" s="16" t="str">
        <f>IF(ISNA(VLOOKUP(MID($A194,8,1),Kanji_2_HanViet!$A:$C,2,FALSE)),"",VLOOKUP(MID($A194,8,1),Kanji_2_HanViet!$A:$C,2,FALSE))</f>
        <v/>
      </c>
      <c r="K194" s="16" t="str">
        <f>IF(ISNA(VLOOKUP(MID($A194,9,1),Kanji_2_HanViet!$A:$C,2,FALSE)),"",VLOOKUP(MID($A194,9,1),Kanji_2_HanViet!$A:$C,2,FALSE))</f>
        <v/>
      </c>
    </row>
    <row r="195" spans="1:11">
      <c r="A195" s="14">
        <f>Master!B202</f>
        <v>0</v>
      </c>
      <c r="B195" s="17" t="str">
        <f t="shared" ref="B195:B251" si="3">TRIM(CONCATENATE($C195," ",$D195," ",$E195," ",$F195," ",$G195," ",$H195," ",$I195," ",$J195," ",$K195))</f>
        <v/>
      </c>
      <c r="C195" s="16" t="str">
        <f>IF(ISNA(VLOOKUP(MID($A195,1,1),Kanji_2_HanViet!$A:$C,2,FALSE)),"",VLOOKUP(MID($A195,1,1),Kanji_2_HanViet!$A:$C,2,FALSE))</f>
        <v/>
      </c>
      <c r="D195" s="16" t="str">
        <f>IF(ISNA(VLOOKUP(MID($A195,2,1),Kanji_2_HanViet!$A:$C,2,FALSE)),"",VLOOKUP(MID($A195,2,1),Kanji_2_HanViet!$A:$C,2,FALSE))</f>
        <v/>
      </c>
      <c r="E195" s="16" t="str">
        <f>IF(ISNA(VLOOKUP(MID($A195,3,1),Kanji_2_HanViet!$A:$C,2,FALSE)),"",VLOOKUP(MID($A195,3,1),Kanji_2_HanViet!$A:$C,2,FALSE))</f>
        <v/>
      </c>
      <c r="F195" s="16" t="str">
        <f>IF(ISNA(VLOOKUP(MID($A195,4,1),Kanji_2_HanViet!$A:$C,2,FALSE)),"",VLOOKUP(MID($A195,4,1),Kanji_2_HanViet!$A:$C,2,FALSE))</f>
        <v/>
      </c>
      <c r="G195" s="16" t="str">
        <f>IF(ISNA(VLOOKUP(MID($A195,5,1),Kanji_2_HanViet!$A:$C,2,FALSE)),"",VLOOKUP(MID($A195,5,1),Kanji_2_HanViet!$A:$C,2,FALSE))</f>
        <v/>
      </c>
      <c r="H195" s="16" t="str">
        <f>IF(ISNA(VLOOKUP(MID($A195,6,1),Kanji_2_HanViet!$A:$C,2,FALSE)),"",VLOOKUP(MID($A195,6,1),Kanji_2_HanViet!$A:$C,2,FALSE))</f>
        <v/>
      </c>
      <c r="I195" s="16" t="str">
        <f>IF(ISNA(VLOOKUP(MID($A195,7,1),Kanji_2_HanViet!$A:$C,2,FALSE)),"",VLOOKUP(MID($A195,7,1),Kanji_2_HanViet!$A:$C,2,FALSE))</f>
        <v/>
      </c>
      <c r="J195" s="16" t="str">
        <f>IF(ISNA(VLOOKUP(MID($A195,8,1),Kanji_2_HanViet!$A:$C,2,FALSE)),"",VLOOKUP(MID($A195,8,1),Kanji_2_HanViet!$A:$C,2,FALSE))</f>
        <v/>
      </c>
      <c r="K195" s="16" t="str">
        <f>IF(ISNA(VLOOKUP(MID($A195,9,1),Kanji_2_HanViet!$A:$C,2,FALSE)),"",VLOOKUP(MID($A195,9,1),Kanji_2_HanViet!$A:$C,2,FALSE))</f>
        <v/>
      </c>
    </row>
    <row r="196" spans="1:11">
      <c r="A196" s="14">
        <f>Master!B203</f>
        <v>0</v>
      </c>
      <c r="B196" s="17" t="str">
        <f t="shared" si="3"/>
        <v/>
      </c>
      <c r="C196" s="16" t="str">
        <f>IF(ISNA(VLOOKUP(MID($A196,1,1),Kanji_2_HanViet!$A:$C,2,FALSE)),"",VLOOKUP(MID($A196,1,1),Kanji_2_HanViet!$A:$C,2,FALSE))</f>
        <v/>
      </c>
      <c r="D196" s="16" t="str">
        <f>IF(ISNA(VLOOKUP(MID($A196,2,1),Kanji_2_HanViet!$A:$C,2,FALSE)),"",VLOOKUP(MID($A196,2,1),Kanji_2_HanViet!$A:$C,2,FALSE))</f>
        <v/>
      </c>
      <c r="E196" s="16" t="str">
        <f>IF(ISNA(VLOOKUP(MID($A196,3,1),Kanji_2_HanViet!$A:$C,2,FALSE)),"",VLOOKUP(MID($A196,3,1),Kanji_2_HanViet!$A:$C,2,FALSE))</f>
        <v/>
      </c>
      <c r="F196" s="16" t="str">
        <f>IF(ISNA(VLOOKUP(MID($A196,4,1),Kanji_2_HanViet!$A:$C,2,FALSE)),"",VLOOKUP(MID($A196,4,1),Kanji_2_HanViet!$A:$C,2,FALSE))</f>
        <v/>
      </c>
      <c r="G196" s="16" t="str">
        <f>IF(ISNA(VLOOKUP(MID($A196,5,1),Kanji_2_HanViet!$A:$C,2,FALSE)),"",VLOOKUP(MID($A196,5,1),Kanji_2_HanViet!$A:$C,2,FALSE))</f>
        <v/>
      </c>
      <c r="H196" s="16" t="str">
        <f>IF(ISNA(VLOOKUP(MID($A196,6,1),Kanji_2_HanViet!$A:$C,2,FALSE)),"",VLOOKUP(MID($A196,6,1),Kanji_2_HanViet!$A:$C,2,FALSE))</f>
        <v/>
      </c>
      <c r="I196" s="16" t="str">
        <f>IF(ISNA(VLOOKUP(MID($A196,7,1),Kanji_2_HanViet!$A:$C,2,FALSE)),"",VLOOKUP(MID($A196,7,1),Kanji_2_HanViet!$A:$C,2,FALSE))</f>
        <v/>
      </c>
      <c r="J196" s="16" t="str">
        <f>IF(ISNA(VLOOKUP(MID($A196,8,1),Kanji_2_HanViet!$A:$C,2,FALSE)),"",VLOOKUP(MID($A196,8,1),Kanji_2_HanViet!$A:$C,2,FALSE))</f>
        <v/>
      </c>
      <c r="K196" s="16" t="str">
        <f>IF(ISNA(VLOOKUP(MID($A196,9,1),Kanji_2_HanViet!$A:$C,2,FALSE)),"",VLOOKUP(MID($A196,9,1),Kanji_2_HanViet!$A:$C,2,FALSE))</f>
        <v/>
      </c>
    </row>
    <row r="197" spans="1:11">
      <c r="A197" s="14">
        <f>Master!B204</f>
        <v>0</v>
      </c>
      <c r="B197" s="17" t="str">
        <f t="shared" si="3"/>
        <v/>
      </c>
      <c r="C197" s="16" t="str">
        <f>IF(ISNA(VLOOKUP(MID($A197,1,1),Kanji_2_HanViet!$A:$C,2,FALSE)),"",VLOOKUP(MID($A197,1,1),Kanji_2_HanViet!$A:$C,2,FALSE))</f>
        <v/>
      </c>
      <c r="D197" s="16" t="str">
        <f>IF(ISNA(VLOOKUP(MID($A197,2,1),Kanji_2_HanViet!$A:$C,2,FALSE)),"",VLOOKUP(MID($A197,2,1),Kanji_2_HanViet!$A:$C,2,FALSE))</f>
        <v/>
      </c>
      <c r="E197" s="16" t="str">
        <f>IF(ISNA(VLOOKUP(MID($A197,3,1),Kanji_2_HanViet!$A:$C,2,FALSE)),"",VLOOKUP(MID($A197,3,1),Kanji_2_HanViet!$A:$C,2,FALSE))</f>
        <v/>
      </c>
      <c r="F197" s="16" t="str">
        <f>IF(ISNA(VLOOKUP(MID($A197,4,1),Kanji_2_HanViet!$A:$C,2,FALSE)),"",VLOOKUP(MID($A197,4,1),Kanji_2_HanViet!$A:$C,2,FALSE))</f>
        <v/>
      </c>
      <c r="G197" s="16" t="str">
        <f>IF(ISNA(VLOOKUP(MID($A197,5,1),Kanji_2_HanViet!$A:$C,2,FALSE)),"",VLOOKUP(MID($A197,5,1),Kanji_2_HanViet!$A:$C,2,FALSE))</f>
        <v/>
      </c>
      <c r="H197" s="16" t="str">
        <f>IF(ISNA(VLOOKUP(MID($A197,6,1),Kanji_2_HanViet!$A:$C,2,FALSE)),"",VLOOKUP(MID($A197,6,1),Kanji_2_HanViet!$A:$C,2,FALSE))</f>
        <v/>
      </c>
      <c r="I197" s="16" t="str">
        <f>IF(ISNA(VLOOKUP(MID($A197,7,1),Kanji_2_HanViet!$A:$C,2,FALSE)),"",VLOOKUP(MID($A197,7,1),Kanji_2_HanViet!$A:$C,2,FALSE))</f>
        <v/>
      </c>
      <c r="J197" s="16" t="str">
        <f>IF(ISNA(VLOOKUP(MID($A197,8,1),Kanji_2_HanViet!$A:$C,2,FALSE)),"",VLOOKUP(MID($A197,8,1),Kanji_2_HanViet!$A:$C,2,FALSE))</f>
        <v/>
      </c>
      <c r="K197" s="16" t="str">
        <f>IF(ISNA(VLOOKUP(MID($A197,9,1),Kanji_2_HanViet!$A:$C,2,FALSE)),"",VLOOKUP(MID($A197,9,1),Kanji_2_HanViet!$A:$C,2,FALSE))</f>
        <v/>
      </c>
    </row>
    <row r="198" spans="1:11">
      <c r="A198" s="14">
        <f>Master!B205</f>
        <v>0</v>
      </c>
      <c r="B198" s="17" t="str">
        <f t="shared" si="3"/>
        <v/>
      </c>
      <c r="C198" s="16" t="str">
        <f>IF(ISNA(VLOOKUP(MID($A198,1,1),Kanji_2_HanViet!$A:$C,2,FALSE)),"",VLOOKUP(MID($A198,1,1),Kanji_2_HanViet!$A:$C,2,FALSE))</f>
        <v/>
      </c>
      <c r="D198" s="16" t="str">
        <f>IF(ISNA(VLOOKUP(MID($A198,2,1),Kanji_2_HanViet!$A:$C,2,FALSE)),"",VLOOKUP(MID($A198,2,1),Kanji_2_HanViet!$A:$C,2,FALSE))</f>
        <v/>
      </c>
      <c r="E198" s="16" t="str">
        <f>IF(ISNA(VLOOKUP(MID($A198,3,1),Kanji_2_HanViet!$A:$C,2,FALSE)),"",VLOOKUP(MID($A198,3,1),Kanji_2_HanViet!$A:$C,2,FALSE))</f>
        <v/>
      </c>
      <c r="F198" s="16" t="str">
        <f>IF(ISNA(VLOOKUP(MID($A198,4,1),Kanji_2_HanViet!$A:$C,2,FALSE)),"",VLOOKUP(MID($A198,4,1),Kanji_2_HanViet!$A:$C,2,FALSE))</f>
        <v/>
      </c>
      <c r="G198" s="16" t="str">
        <f>IF(ISNA(VLOOKUP(MID($A198,5,1),Kanji_2_HanViet!$A:$C,2,FALSE)),"",VLOOKUP(MID($A198,5,1),Kanji_2_HanViet!$A:$C,2,FALSE))</f>
        <v/>
      </c>
      <c r="H198" s="16" t="str">
        <f>IF(ISNA(VLOOKUP(MID($A198,6,1),Kanji_2_HanViet!$A:$C,2,FALSE)),"",VLOOKUP(MID($A198,6,1),Kanji_2_HanViet!$A:$C,2,FALSE))</f>
        <v/>
      </c>
      <c r="I198" s="16" t="str">
        <f>IF(ISNA(VLOOKUP(MID($A198,7,1),Kanji_2_HanViet!$A:$C,2,FALSE)),"",VLOOKUP(MID($A198,7,1),Kanji_2_HanViet!$A:$C,2,FALSE))</f>
        <v/>
      </c>
      <c r="J198" s="16" t="str">
        <f>IF(ISNA(VLOOKUP(MID($A198,8,1),Kanji_2_HanViet!$A:$C,2,FALSE)),"",VLOOKUP(MID($A198,8,1),Kanji_2_HanViet!$A:$C,2,FALSE))</f>
        <v/>
      </c>
      <c r="K198" s="16" t="str">
        <f>IF(ISNA(VLOOKUP(MID($A198,9,1),Kanji_2_HanViet!$A:$C,2,FALSE)),"",VLOOKUP(MID($A198,9,1),Kanji_2_HanViet!$A:$C,2,FALSE))</f>
        <v/>
      </c>
    </row>
    <row r="199" spans="1:11">
      <c r="A199" s="14">
        <f>Master!B206</f>
        <v>0</v>
      </c>
      <c r="B199" s="17" t="str">
        <f t="shared" si="3"/>
        <v/>
      </c>
      <c r="C199" s="16" t="str">
        <f>IF(ISNA(VLOOKUP(MID($A199,1,1),Kanji_2_HanViet!$A:$C,2,FALSE)),"",VLOOKUP(MID($A199,1,1),Kanji_2_HanViet!$A:$C,2,FALSE))</f>
        <v/>
      </c>
      <c r="D199" s="16" t="str">
        <f>IF(ISNA(VLOOKUP(MID($A199,2,1),Kanji_2_HanViet!$A:$C,2,FALSE)),"",VLOOKUP(MID($A199,2,1),Kanji_2_HanViet!$A:$C,2,FALSE))</f>
        <v/>
      </c>
      <c r="E199" s="16" t="str">
        <f>IF(ISNA(VLOOKUP(MID($A199,3,1),Kanji_2_HanViet!$A:$C,2,FALSE)),"",VLOOKUP(MID($A199,3,1),Kanji_2_HanViet!$A:$C,2,FALSE))</f>
        <v/>
      </c>
      <c r="F199" s="16" t="str">
        <f>IF(ISNA(VLOOKUP(MID($A199,4,1),Kanji_2_HanViet!$A:$C,2,FALSE)),"",VLOOKUP(MID($A199,4,1),Kanji_2_HanViet!$A:$C,2,FALSE))</f>
        <v/>
      </c>
      <c r="G199" s="16" t="str">
        <f>IF(ISNA(VLOOKUP(MID($A199,5,1),Kanji_2_HanViet!$A:$C,2,FALSE)),"",VLOOKUP(MID($A199,5,1),Kanji_2_HanViet!$A:$C,2,FALSE))</f>
        <v/>
      </c>
      <c r="H199" s="16" t="str">
        <f>IF(ISNA(VLOOKUP(MID($A199,6,1),Kanji_2_HanViet!$A:$C,2,FALSE)),"",VLOOKUP(MID($A199,6,1),Kanji_2_HanViet!$A:$C,2,FALSE))</f>
        <v/>
      </c>
      <c r="I199" s="16" t="str">
        <f>IF(ISNA(VLOOKUP(MID($A199,7,1),Kanji_2_HanViet!$A:$C,2,FALSE)),"",VLOOKUP(MID($A199,7,1),Kanji_2_HanViet!$A:$C,2,FALSE))</f>
        <v/>
      </c>
      <c r="J199" s="16" t="str">
        <f>IF(ISNA(VLOOKUP(MID($A199,8,1),Kanji_2_HanViet!$A:$C,2,FALSE)),"",VLOOKUP(MID($A199,8,1),Kanji_2_HanViet!$A:$C,2,FALSE))</f>
        <v/>
      </c>
      <c r="K199" s="16" t="str">
        <f>IF(ISNA(VLOOKUP(MID($A199,9,1),Kanji_2_HanViet!$A:$C,2,FALSE)),"",VLOOKUP(MID($A199,9,1),Kanji_2_HanViet!$A:$C,2,FALSE))</f>
        <v/>
      </c>
    </row>
    <row r="200" spans="1:11">
      <c r="A200" s="14">
        <f>Master!B207</f>
        <v>0</v>
      </c>
      <c r="B200" s="17" t="str">
        <f t="shared" si="3"/>
        <v/>
      </c>
      <c r="C200" s="16" t="str">
        <f>IF(ISNA(VLOOKUP(MID($A200,1,1),Kanji_2_HanViet!$A:$C,2,FALSE)),"",VLOOKUP(MID($A200,1,1),Kanji_2_HanViet!$A:$C,2,FALSE))</f>
        <v/>
      </c>
      <c r="D200" s="16" t="str">
        <f>IF(ISNA(VLOOKUP(MID($A200,2,1),Kanji_2_HanViet!$A:$C,2,FALSE)),"",VLOOKUP(MID($A200,2,1),Kanji_2_HanViet!$A:$C,2,FALSE))</f>
        <v/>
      </c>
      <c r="E200" s="16" t="str">
        <f>IF(ISNA(VLOOKUP(MID($A200,3,1),Kanji_2_HanViet!$A:$C,2,FALSE)),"",VLOOKUP(MID($A200,3,1),Kanji_2_HanViet!$A:$C,2,FALSE))</f>
        <v/>
      </c>
      <c r="F200" s="16" t="str">
        <f>IF(ISNA(VLOOKUP(MID($A200,4,1),Kanji_2_HanViet!$A:$C,2,FALSE)),"",VLOOKUP(MID($A200,4,1),Kanji_2_HanViet!$A:$C,2,FALSE))</f>
        <v/>
      </c>
      <c r="G200" s="16" t="str">
        <f>IF(ISNA(VLOOKUP(MID($A200,5,1),Kanji_2_HanViet!$A:$C,2,FALSE)),"",VLOOKUP(MID($A200,5,1),Kanji_2_HanViet!$A:$C,2,FALSE))</f>
        <v/>
      </c>
      <c r="H200" s="16" t="str">
        <f>IF(ISNA(VLOOKUP(MID($A200,6,1),Kanji_2_HanViet!$A:$C,2,FALSE)),"",VLOOKUP(MID($A200,6,1),Kanji_2_HanViet!$A:$C,2,FALSE))</f>
        <v/>
      </c>
      <c r="I200" s="16" t="str">
        <f>IF(ISNA(VLOOKUP(MID($A200,7,1),Kanji_2_HanViet!$A:$C,2,FALSE)),"",VLOOKUP(MID($A200,7,1),Kanji_2_HanViet!$A:$C,2,FALSE))</f>
        <v/>
      </c>
      <c r="J200" s="16" t="str">
        <f>IF(ISNA(VLOOKUP(MID($A200,8,1),Kanji_2_HanViet!$A:$C,2,FALSE)),"",VLOOKUP(MID($A200,8,1),Kanji_2_HanViet!$A:$C,2,FALSE))</f>
        <v/>
      </c>
      <c r="K200" s="16" t="str">
        <f>IF(ISNA(VLOOKUP(MID($A200,9,1),Kanji_2_HanViet!$A:$C,2,FALSE)),"",VLOOKUP(MID($A200,9,1),Kanji_2_HanViet!$A:$C,2,FALSE))</f>
        <v/>
      </c>
    </row>
    <row r="201" spans="1:11">
      <c r="A201" s="14">
        <f>Master!B208</f>
        <v>0</v>
      </c>
      <c r="B201" s="17" t="str">
        <f t="shared" si="3"/>
        <v/>
      </c>
      <c r="C201" s="16" t="str">
        <f>IF(ISNA(VLOOKUP(MID($A201,1,1),Kanji_2_HanViet!$A:$C,2,FALSE)),"",VLOOKUP(MID($A201,1,1),Kanji_2_HanViet!$A:$C,2,FALSE))</f>
        <v/>
      </c>
      <c r="D201" s="16" t="str">
        <f>IF(ISNA(VLOOKUP(MID($A201,2,1),Kanji_2_HanViet!$A:$C,2,FALSE)),"",VLOOKUP(MID($A201,2,1),Kanji_2_HanViet!$A:$C,2,FALSE))</f>
        <v/>
      </c>
      <c r="E201" s="16" t="str">
        <f>IF(ISNA(VLOOKUP(MID($A201,3,1),Kanji_2_HanViet!$A:$C,2,FALSE)),"",VLOOKUP(MID($A201,3,1),Kanji_2_HanViet!$A:$C,2,FALSE))</f>
        <v/>
      </c>
      <c r="F201" s="16" t="str">
        <f>IF(ISNA(VLOOKUP(MID($A201,4,1),Kanji_2_HanViet!$A:$C,2,FALSE)),"",VLOOKUP(MID($A201,4,1),Kanji_2_HanViet!$A:$C,2,FALSE))</f>
        <v/>
      </c>
      <c r="G201" s="16" t="str">
        <f>IF(ISNA(VLOOKUP(MID($A201,5,1),Kanji_2_HanViet!$A:$C,2,FALSE)),"",VLOOKUP(MID($A201,5,1),Kanji_2_HanViet!$A:$C,2,FALSE))</f>
        <v/>
      </c>
      <c r="H201" s="16" t="str">
        <f>IF(ISNA(VLOOKUP(MID($A201,6,1),Kanji_2_HanViet!$A:$C,2,FALSE)),"",VLOOKUP(MID($A201,6,1),Kanji_2_HanViet!$A:$C,2,FALSE))</f>
        <v/>
      </c>
      <c r="I201" s="16" t="str">
        <f>IF(ISNA(VLOOKUP(MID($A201,7,1),Kanji_2_HanViet!$A:$C,2,FALSE)),"",VLOOKUP(MID($A201,7,1),Kanji_2_HanViet!$A:$C,2,FALSE))</f>
        <v/>
      </c>
      <c r="J201" s="16" t="str">
        <f>IF(ISNA(VLOOKUP(MID($A201,8,1),Kanji_2_HanViet!$A:$C,2,FALSE)),"",VLOOKUP(MID($A201,8,1),Kanji_2_HanViet!$A:$C,2,FALSE))</f>
        <v/>
      </c>
      <c r="K201" s="16" t="str">
        <f>IF(ISNA(VLOOKUP(MID($A201,9,1),Kanji_2_HanViet!$A:$C,2,FALSE)),"",VLOOKUP(MID($A201,9,1),Kanji_2_HanViet!$A:$C,2,FALSE))</f>
        <v/>
      </c>
    </row>
    <row r="202" spans="1:11">
      <c r="A202" s="14">
        <f>Master!B209</f>
        <v>0</v>
      </c>
      <c r="B202" s="17" t="str">
        <f t="shared" si="3"/>
        <v/>
      </c>
      <c r="C202" s="16" t="str">
        <f>IF(ISNA(VLOOKUP(MID($A202,1,1),Kanji_2_HanViet!$A:$C,2,FALSE)),"",VLOOKUP(MID($A202,1,1),Kanji_2_HanViet!$A:$C,2,FALSE))</f>
        <v/>
      </c>
      <c r="D202" s="16" t="str">
        <f>IF(ISNA(VLOOKUP(MID($A202,2,1),Kanji_2_HanViet!$A:$C,2,FALSE)),"",VLOOKUP(MID($A202,2,1),Kanji_2_HanViet!$A:$C,2,FALSE))</f>
        <v/>
      </c>
      <c r="E202" s="16" t="str">
        <f>IF(ISNA(VLOOKUP(MID($A202,3,1),Kanji_2_HanViet!$A:$C,2,FALSE)),"",VLOOKUP(MID($A202,3,1),Kanji_2_HanViet!$A:$C,2,FALSE))</f>
        <v/>
      </c>
      <c r="F202" s="16" t="str">
        <f>IF(ISNA(VLOOKUP(MID($A202,4,1),Kanji_2_HanViet!$A:$C,2,FALSE)),"",VLOOKUP(MID($A202,4,1),Kanji_2_HanViet!$A:$C,2,FALSE))</f>
        <v/>
      </c>
      <c r="G202" s="16" t="str">
        <f>IF(ISNA(VLOOKUP(MID($A202,5,1),Kanji_2_HanViet!$A:$C,2,FALSE)),"",VLOOKUP(MID($A202,5,1),Kanji_2_HanViet!$A:$C,2,FALSE))</f>
        <v/>
      </c>
      <c r="H202" s="16" t="str">
        <f>IF(ISNA(VLOOKUP(MID($A202,6,1),Kanji_2_HanViet!$A:$C,2,FALSE)),"",VLOOKUP(MID($A202,6,1),Kanji_2_HanViet!$A:$C,2,FALSE))</f>
        <v/>
      </c>
      <c r="I202" s="16" t="str">
        <f>IF(ISNA(VLOOKUP(MID($A202,7,1),Kanji_2_HanViet!$A:$C,2,FALSE)),"",VLOOKUP(MID($A202,7,1),Kanji_2_HanViet!$A:$C,2,FALSE))</f>
        <v/>
      </c>
      <c r="J202" s="16" t="str">
        <f>IF(ISNA(VLOOKUP(MID($A202,8,1),Kanji_2_HanViet!$A:$C,2,FALSE)),"",VLOOKUP(MID($A202,8,1),Kanji_2_HanViet!$A:$C,2,FALSE))</f>
        <v/>
      </c>
      <c r="K202" s="16" t="str">
        <f>IF(ISNA(VLOOKUP(MID($A202,9,1),Kanji_2_HanViet!$A:$C,2,FALSE)),"",VLOOKUP(MID($A202,9,1),Kanji_2_HanViet!$A:$C,2,FALSE))</f>
        <v/>
      </c>
    </row>
    <row r="203" spans="1:11">
      <c r="A203" s="14">
        <f>Master!B210</f>
        <v>0</v>
      </c>
      <c r="B203" s="17" t="str">
        <f t="shared" si="3"/>
        <v/>
      </c>
      <c r="C203" s="16" t="str">
        <f>IF(ISNA(VLOOKUP(MID($A203,1,1),Kanji_2_HanViet!$A:$C,2,FALSE)),"",VLOOKUP(MID($A203,1,1),Kanji_2_HanViet!$A:$C,2,FALSE))</f>
        <v/>
      </c>
      <c r="D203" s="16" t="str">
        <f>IF(ISNA(VLOOKUP(MID($A203,2,1),Kanji_2_HanViet!$A:$C,2,FALSE)),"",VLOOKUP(MID($A203,2,1),Kanji_2_HanViet!$A:$C,2,FALSE))</f>
        <v/>
      </c>
      <c r="E203" s="16" t="str">
        <f>IF(ISNA(VLOOKUP(MID($A203,3,1),Kanji_2_HanViet!$A:$C,2,FALSE)),"",VLOOKUP(MID($A203,3,1),Kanji_2_HanViet!$A:$C,2,FALSE))</f>
        <v/>
      </c>
      <c r="F203" s="16" t="str">
        <f>IF(ISNA(VLOOKUP(MID($A203,4,1),Kanji_2_HanViet!$A:$C,2,FALSE)),"",VLOOKUP(MID($A203,4,1),Kanji_2_HanViet!$A:$C,2,FALSE))</f>
        <v/>
      </c>
      <c r="G203" s="16" t="str">
        <f>IF(ISNA(VLOOKUP(MID($A203,5,1),Kanji_2_HanViet!$A:$C,2,FALSE)),"",VLOOKUP(MID($A203,5,1),Kanji_2_HanViet!$A:$C,2,FALSE))</f>
        <v/>
      </c>
      <c r="H203" s="16" t="str">
        <f>IF(ISNA(VLOOKUP(MID($A203,6,1),Kanji_2_HanViet!$A:$C,2,FALSE)),"",VLOOKUP(MID($A203,6,1),Kanji_2_HanViet!$A:$C,2,FALSE))</f>
        <v/>
      </c>
      <c r="I203" s="16" t="str">
        <f>IF(ISNA(VLOOKUP(MID($A203,7,1),Kanji_2_HanViet!$A:$C,2,FALSE)),"",VLOOKUP(MID($A203,7,1),Kanji_2_HanViet!$A:$C,2,FALSE))</f>
        <v/>
      </c>
      <c r="J203" s="16" t="str">
        <f>IF(ISNA(VLOOKUP(MID($A203,8,1),Kanji_2_HanViet!$A:$C,2,FALSE)),"",VLOOKUP(MID($A203,8,1),Kanji_2_HanViet!$A:$C,2,FALSE))</f>
        <v/>
      </c>
      <c r="K203" s="16" t="str">
        <f>IF(ISNA(VLOOKUP(MID($A203,9,1),Kanji_2_HanViet!$A:$C,2,FALSE)),"",VLOOKUP(MID($A203,9,1),Kanji_2_HanViet!$A:$C,2,FALSE))</f>
        <v/>
      </c>
    </row>
    <row r="204" spans="1:11">
      <c r="A204" s="14">
        <f>Master!B211</f>
        <v>0</v>
      </c>
      <c r="B204" s="17" t="str">
        <f t="shared" si="3"/>
        <v/>
      </c>
      <c r="C204" s="16" t="str">
        <f>IF(ISNA(VLOOKUP(MID($A204,1,1),Kanji_2_HanViet!$A:$C,2,FALSE)),"",VLOOKUP(MID($A204,1,1),Kanji_2_HanViet!$A:$C,2,FALSE))</f>
        <v/>
      </c>
      <c r="D204" s="16" t="str">
        <f>IF(ISNA(VLOOKUP(MID($A204,2,1),Kanji_2_HanViet!$A:$C,2,FALSE)),"",VLOOKUP(MID($A204,2,1),Kanji_2_HanViet!$A:$C,2,FALSE))</f>
        <v/>
      </c>
      <c r="E204" s="16" t="str">
        <f>IF(ISNA(VLOOKUP(MID($A204,3,1),Kanji_2_HanViet!$A:$C,2,FALSE)),"",VLOOKUP(MID($A204,3,1),Kanji_2_HanViet!$A:$C,2,FALSE))</f>
        <v/>
      </c>
      <c r="F204" s="16" t="str">
        <f>IF(ISNA(VLOOKUP(MID($A204,4,1),Kanji_2_HanViet!$A:$C,2,FALSE)),"",VLOOKUP(MID($A204,4,1),Kanji_2_HanViet!$A:$C,2,FALSE))</f>
        <v/>
      </c>
      <c r="G204" s="16" t="str">
        <f>IF(ISNA(VLOOKUP(MID($A204,5,1),Kanji_2_HanViet!$A:$C,2,FALSE)),"",VLOOKUP(MID($A204,5,1),Kanji_2_HanViet!$A:$C,2,FALSE))</f>
        <v/>
      </c>
      <c r="H204" s="16" t="str">
        <f>IF(ISNA(VLOOKUP(MID($A204,6,1),Kanji_2_HanViet!$A:$C,2,FALSE)),"",VLOOKUP(MID($A204,6,1),Kanji_2_HanViet!$A:$C,2,FALSE))</f>
        <v/>
      </c>
      <c r="I204" s="16" t="str">
        <f>IF(ISNA(VLOOKUP(MID($A204,7,1),Kanji_2_HanViet!$A:$C,2,FALSE)),"",VLOOKUP(MID($A204,7,1),Kanji_2_HanViet!$A:$C,2,FALSE))</f>
        <v/>
      </c>
      <c r="J204" s="16" t="str">
        <f>IF(ISNA(VLOOKUP(MID($A204,8,1),Kanji_2_HanViet!$A:$C,2,FALSE)),"",VLOOKUP(MID($A204,8,1),Kanji_2_HanViet!$A:$C,2,FALSE))</f>
        <v/>
      </c>
      <c r="K204" s="16" t="str">
        <f>IF(ISNA(VLOOKUP(MID($A204,9,1),Kanji_2_HanViet!$A:$C,2,FALSE)),"",VLOOKUP(MID($A204,9,1),Kanji_2_HanViet!$A:$C,2,FALSE))</f>
        <v/>
      </c>
    </row>
    <row r="205" spans="1:11">
      <c r="A205" s="14">
        <f>Master!B212</f>
        <v>0</v>
      </c>
      <c r="B205" s="17" t="str">
        <f t="shared" si="3"/>
        <v/>
      </c>
      <c r="C205" s="16" t="str">
        <f>IF(ISNA(VLOOKUP(MID($A205,1,1),Kanji_2_HanViet!$A:$C,2,FALSE)),"",VLOOKUP(MID($A205,1,1),Kanji_2_HanViet!$A:$C,2,FALSE))</f>
        <v/>
      </c>
      <c r="D205" s="16" t="str">
        <f>IF(ISNA(VLOOKUP(MID($A205,2,1),Kanji_2_HanViet!$A:$C,2,FALSE)),"",VLOOKUP(MID($A205,2,1),Kanji_2_HanViet!$A:$C,2,FALSE))</f>
        <v/>
      </c>
      <c r="E205" s="16" t="str">
        <f>IF(ISNA(VLOOKUP(MID($A205,3,1),Kanji_2_HanViet!$A:$C,2,FALSE)),"",VLOOKUP(MID($A205,3,1),Kanji_2_HanViet!$A:$C,2,FALSE))</f>
        <v/>
      </c>
      <c r="F205" s="16" t="str">
        <f>IF(ISNA(VLOOKUP(MID($A205,4,1),Kanji_2_HanViet!$A:$C,2,FALSE)),"",VLOOKUP(MID($A205,4,1),Kanji_2_HanViet!$A:$C,2,FALSE))</f>
        <v/>
      </c>
      <c r="G205" s="16" t="str">
        <f>IF(ISNA(VLOOKUP(MID($A205,5,1),Kanji_2_HanViet!$A:$C,2,FALSE)),"",VLOOKUP(MID($A205,5,1),Kanji_2_HanViet!$A:$C,2,FALSE))</f>
        <v/>
      </c>
      <c r="H205" s="16" t="str">
        <f>IF(ISNA(VLOOKUP(MID($A205,6,1),Kanji_2_HanViet!$A:$C,2,FALSE)),"",VLOOKUP(MID($A205,6,1),Kanji_2_HanViet!$A:$C,2,FALSE))</f>
        <v/>
      </c>
      <c r="I205" s="16" t="str">
        <f>IF(ISNA(VLOOKUP(MID($A205,7,1),Kanji_2_HanViet!$A:$C,2,FALSE)),"",VLOOKUP(MID($A205,7,1),Kanji_2_HanViet!$A:$C,2,FALSE))</f>
        <v/>
      </c>
      <c r="J205" s="16" t="str">
        <f>IF(ISNA(VLOOKUP(MID($A205,8,1),Kanji_2_HanViet!$A:$C,2,FALSE)),"",VLOOKUP(MID($A205,8,1),Kanji_2_HanViet!$A:$C,2,FALSE))</f>
        <v/>
      </c>
      <c r="K205" s="16" t="str">
        <f>IF(ISNA(VLOOKUP(MID($A205,9,1),Kanji_2_HanViet!$A:$C,2,FALSE)),"",VLOOKUP(MID($A205,9,1),Kanji_2_HanViet!$A:$C,2,FALSE))</f>
        <v/>
      </c>
    </row>
    <row r="206" spans="1:11">
      <c r="A206" s="14">
        <f>Master!B213</f>
        <v>0</v>
      </c>
      <c r="B206" s="17" t="str">
        <f t="shared" si="3"/>
        <v/>
      </c>
      <c r="C206" s="16" t="str">
        <f>IF(ISNA(VLOOKUP(MID($A206,1,1),Kanji_2_HanViet!$A:$C,2,FALSE)),"",VLOOKUP(MID($A206,1,1),Kanji_2_HanViet!$A:$C,2,FALSE))</f>
        <v/>
      </c>
      <c r="D206" s="16" t="str">
        <f>IF(ISNA(VLOOKUP(MID($A206,2,1),Kanji_2_HanViet!$A:$C,2,FALSE)),"",VLOOKUP(MID($A206,2,1),Kanji_2_HanViet!$A:$C,2,FALSE))</f>
        <v/>
      </c>
      <c r="E206" s="16" t="str">
        <f>IF(ISNA(VLOOKUP(MID($A206,3,1),Kanji_2_HanViet!$A:$C,2,FALSE)),"",VLOOKUP(MID($A206,3,1),Kanji_2_HanViet!$A:$C,2,FALSE))</f>
        <v/>
      </c>
      <c r="F206" s="16" t="str">
        <f>IF(ISNA(VLOOKUP(MID($A206,4,1),Kanji_2_HanViet!$A:$C,2,FALSE)),"",VLOOKUP(MID($A206,4,1),Kanji_2_HanViet!$A:$C,2,FALSE))</f>
        <v/>
      </c>
      <c r="G206" s="16" t="str">
        <f>IF(ISNA(VLOOKUP(MID($A206,5,1),Kanji_2_HanViet!$A:$C,2,FALSE)),"",VLOOKUP(MID($A206,5,1),Kanji_2_HanViet!$A:$C,2,FALSE))</f>
        <v/>
      </c>
      <c r="H206" s="16" t="str">
        <f>IF(ISNA(VLOOKUP(MID($A206,6,1),Kanji_2_HanViet!$A:$C,2,FALSE)),"",VLOOKUP(MID($A206,6,1),Kanji_2_HanViet!$A:$C,2,FALSE))</f>
        <v/>
      </c>
      <c r="I206" s="16" t="str">
        <f>IF(ISNA(VLOOKUP(MID($A206,7,1),Kanji_2_HanViet!$A:$C,2,FALSE)),"",VLOOKUP(MID($A206,7,1),Kanji_2_HanViet!$A:$C,2,FALSE))</f>
        <v/>
      </c>
      <c r="J206" s="16" t="str">
        <f>IF(ISNA(VLOOKUP(MID($A206,8,1),Kanji_2_HanViet!$A:$C,2,FALSE)),"",VLOOKUP(MID($A206,8,1),Kanji_2_HanViet!$A:$C,2,FALSE))</f>
        <v/>
      </c>
      <c r="K206" s="16" t="str">
        <f>IF(ISNA(VLOOKUP(MID($A206,9,1),Kanji_2_HanViet!$A:$C,2,FALSE)),"",VLOOKUP(MID($A206,9,1),Kanji_2_HanViet!$A:$C,2,FALSE))</f>
        <v/>
      </c>
    </row>
    <row r="207" spans="1:11">
      <c r="A207" s="14">
        <f>Master!B214</f>
        <v>0</v>
      </c>
      <c r="B207" s="17" t="str">
        <f t="shared" si="3"/>
        <v/>
      </c>
      <c r="C207" s="16" t="str">
        <f>IF(ISNA(VLOOKUP(MID($A207,1,1),Kanji_2_HanViet!$A:$C,2,FALSE)),"",VLOOKUP(MID($A207,1,1),Kanji_2_HanViet!$A:$C,2,FALSE))</f>
        <v/>
      </c>
      <c r="D207" s="16" t="str">
        <f>IF(ISNA(VLOOKUP(MID($A207,2,1),Kanji_2_HanViet!$A:$C,2,FALSE)),"",VLOOKUP(MID($A207,2,1),Kanji_2_HanViet!$A:$C,2,FALSE))</f>
        <v/>
      </c>
      <c r="E207" s="16" t="str">
        <f>IF(ISNA(VLOOKUP(MID($A207,3,1),Kanji_2_HanViet!$A:$C,2,FALSE)),"",VLOOKUP(MID($A207,3,1),Kanji_2_HanViet!$A:$C,2,FALSE))</f>
        <v/>
      </c>
      <c r="F207" s="16" t="str">
        <f>IF(ISNA(VLOOKUP(MID($A207,4,1),Kanji_2_HanViet!$A:$C,2,FALSE)),"",VLOOKUP(MID($A207,4,1),Kanji_2_HanViet!$A:$C,2,FALSE))</f>
        <v/>
      </c>
      <c r="G207" s="16" t="str">
        <f>IF(ISNA(VLOOKUP(MID($A207,5,1),Kanji_2_HanViet!$A:$C,2,FALSE)),"",VLOOKUP(MID($A207,5,1),Kanji_2_HanViet!$A:$C,2,FALSE))</f>
        <v/>
      </c>
      <c r="H207" s="16" t="str">
        <f>IF(ISNA(VLOOKUP(MID($A207,6,1),Kanji_2_HanViet!$A:$C,2,FALSE)),"",VLOOKUP(MID($A207,6,1),Kanji_2_HanViet!$A:$C,2,FALSE))</f>
        <v/>
      </c>
      <c r="I207" s="16" t="str">
        <f>IF(ISNA(VLOOKUP(MID($A207,7,1),Kanji_2_HanViet!$A:$C,2,FALSE)),"",VLOOKUP(MID($A207,7,1),Kanji_2_HanViet!$A:$C,2,FALSE))</f>
        <v/>
      </c>
      <c r="J207" s="16" t="str">
        <f>IF(ISNA(VLOOKUP(MID($A207,8,1),Kanji_2_HanViet!$A:$C,2,FALSE)),"",VLOOKUP(MID($A207,8,1),Kanji_2_HanViet!$A:$C,2,FALSE))</f>
        <v/>
      </c>
      <c r="K207" s="16" t="str">
        <f>IF(ISNA(VLOOKUP(MID($A207,9,1),Kanji_2_HanViet!$A:$C,2,FALSE)),"",VLOOKUP(MID($A207,9,1),Kanji_2_HanViet!$A:$C,2,FALSE))</f>
        <v/>
      </c>
    </row>
    <row r="208" spans="1:11">
      <c r="A208" s="14">
        <f>Master!B215</f>
        <v>0</v>
      </c>
      <c r="B208" s="17" t="str">
        <f t="shared" si="3"/>
        <v/>
      </c>
      <c r="C208" s="16" t="str">
        <f>IF(ISNA(VLOOKUP(MID($A208,1,1),Kanji_2_HanViet!$A:$C,2,FALSE)),"",VLOOKUP(MID($A208,1,1),Kanji_2_HanViet!$A:$C,2,FALSE))</f>
        <v/>
      </c>
      <c r="D208" s="16" t="str">
        <f>IF(ISNA(VLOOKUP(MID($A208,2,1),Kanji_2_HanViet!$A:$C,2,FALSE)),"",VLOOKUP(MID($A208,2,1),Kanji_2_HanViet!$A:$C,2,FALSE))</f>
        <v/>
      </c>
      <c r="E208" s="16" t="str">
        <f>IF(ISNA(VLOOKUP(MID($A208,3,1),Kanji_2_HanViet!$A:$C,2,FALSE)),"",VLOOKUP(MID($A208,3,1),Kanji_2_HanViet!$A:$C,2,FALSE))</f>
        <v/>
      </c>
      <c r="F208" s="16" t="str">
        <f>IF(ISNA(VLOOKUP(MID($A208,4,1),Kanji_2_HanViet!$A:$C,2,FALSE)),"",VLOOKUP(MID($A208,4,1),Kanji_2_HanViet!$A:$C,2,FALSE))</f>
        <v/>
      </c>
      <c r="G208" s="16" t="str">
        <f>IF(ISNA(VLOOKUP(MID($A208,5,1),Kanji_2_HanViet!$A:$C,2,FALSE)),"",VLOOKUP(MID($A208,5,1),Kanji_2_HanViet!$A:$C,2,FALSE))</f>
        <v/>
      </c>
      <c r="H208" s="16" t="str">
        <f>IF(ISNA(VLOOKUP(MID($A208,6,1),Kanji_2_HanViet!$A:$C,2,FALSE)),"",VLOOKUP(MID($A208,6,1),Kanji_2_HanViet!$A:$C,2,FALSE))</f>
        <v/>
      </c>
      <c r="I208" s="16" t="str">
        <f>IF(ISNA(VLOOKUP(MID($A208,7,1),Kanji_2_HanViet!$A:$C,2,FALSE)),"",VLOOKUP(MID($A208,7,1),Kanji_2_HanViet!$A:$C,2,FALSE))</f>
        <v/>
      </c>
      <c r="J208" s="16" t="str">
        <f>IF(ISNA(VLOOKUP(MID($A208,8,1),Kanji_2_HanViet!$A:$C,2,FALSE)),"",VLOOKUP(MID($A208,8,1),Kanji_2_HanViet!$A:$C,2,FALSE))</f>
        <v/>
      </c>
      <c r="K208" s="16" t="str">
        <f>IF(ISNA(VLOOKUP(MID($A208,9,1),Kanji_2_HanViet!$A:$C,2,FALSE)),"",VLOOKUP(MID($A208,9,1),Kanji_2_HanViet!$A:$C,2,FALSE))</f>
        <v/>
      </c>
    </row>
    <row r="209" spans="1:11">
      <c r="A209" s="14">
        <f>Master!B216</f>
        <v>0</v>
      </c>
      <c r="B209" s="17" t="str">
        <f t="shared" si="3"/>
        <v/>
      </c>
      <c r="C209" s="16" t="str">
        <f>IF(ISNA(VLOOKUP(MID($A209,1,1),Kanji_2_HanViet!$A:$C,2,FALSE)),"",VLOOKUP(MID($A209,1,1),Kanji_2_HanViet!$A:$C,2,FALSE))</f>
        <v/>
      </c>
      <c r="D209" s="16" t="str">
        <f>IF(ISNA(VLOOKUP(MID($A209,2,1),Kanji_2_HanViet!$A:$C,2,FALSE)),"",VLOOKUP(MID($A209,2,1),Kanji_2_HanViet!$A:$C,2,FALSE))</f>
        <v/>
      </c>
      <c r="E209" s="16" t="str">
        <f>IF(ISNA(VLOOKUP(MID($A209,3,1),Kanji_2_HanViet!$A:$C,2,FALSE)),"",VLOOKUP(MID($A209,3,1),Kanji_2_HanViet!$A:$C,2,FALSE))</f>
        <v/>
      </c>
      <c r="F209" s="16" t="str">
        <f>IF(ISNA(VLOOKUP(MID($A209,4,1),Kanji_2_HanViet!$A:$C,2,FALSE)),"",VLOOKUP(MID($A209,4,1),Kanji_2_HanViet!$A:$C,2,FALSE))</f>
        <v/>
      </c>
      <c r="G209" s="16" t="str">
        <f>IF(ISNA(VLOOKUP(MID($A209,5,1),Kanji_2_HanViet!$A:$C,2,FALSE)),"",VLOOKUP(MID($A209,5,1),Kanji_2_HanViet!$A:$C,2,FALSE))</f>
        <v/>
      </c>
      <c r="H209" s="16" t="str">
        <f>IF(ISNA(VLOOKUP(MID($A209,6,1),Kanji_2_HanViet!$A:$C,2,FALSE)),"",VLOOKUP(MID($A209,6,1),Kanji_2_HanViet!$A:$C,2,FALSE))</f>
        <v/>
      </c>
      <c r="I209" s="16" t="str">
        <f>IF(ISNA(VLOOKUP(MID($A209,7,1),Kanji_2_HanViet!$A:$C,2,FALSE)),"",VLOOKUP(MID($A209,7,1),Kanji_2_HanViet!$A:$C,2,FALSE))</f>
        <v/>
      </c>
      <c r="J209" s="16" t="str">
        <f>IF(ISNA(VLOOKUP(MID($A209,8,1),Kanji_2_HanViet!$A:$C,2,FALSE)),"",VLOOKUP(MID($A209,8,1),Kanji_2_HanViet!$A:$C,2,FALSE))</f>
        <v/>
      </c>
      <c r="K209" s="16" t="str">
        <f>IF(ISNA(VLOOKUP(MID($A209,9,1),Kanji_2_HanViet!$A:$C,2,FALSE)),"",VLOOKUP(MID($A209,9,1),Kanji_2_HanViet!$A:$C,2,FALSE))</f>
        <v/>
      </c>
    </row>
    <row r="210" spans="1:11">
      <c r="A210" s="14">
        <f>Master!B217</f>
        <v>0</v>
      </c>
      <c r="B210" s="17" t="str">
        <f t="shared" si="3"/>
        <v/>
      </c>
      <c r="C210" s="16" t="str">
        <f>IF(ISNA(VLOOKUP(MID($A210,1,1),Kanji_2_HanViet!$A:$C,2,FALSE)),"",VLOOKUP(MID($A210,1,1),Kanji_2_HanViet!$A:$C,2,FALSE))</f>
        <v/>
      </c>
      <c r="D210" s="16" t="str">
        <f>IF(ISNA(VLOOKUP(MID($A210,2,1),Kanji_2_HanViet!$A:$C,2,FALSE)),"",VLOOKUP(MID($A210,2,1),Kanji_2_HanViet!$A:$C,2,FALSE))</f>
        <v/>
      </c>
      <c r="E210" s="16" t="str">
        <f>IF(ISNA(VLOOKUP(MID($A210,3,1),Kanji_2_HanViet!$A:$C,2,FALSE)),"",VLOOKUP(MID($A210,3,1),Kanji_2_HanViet!$A:$C,2,FALSE))</f>
        <v/>
      </c>
      <c r="F210" s="16" t="str">
        <f>IF(ISNA(VLOOKUP(MID($A210,4,1),Kanji_2_HanViet!$A:$C,2,FALSE)),"",VLOOKUP(MID($A210,4,1),Kanji_2_HanViet!$A:$C,2,FALSE))</f>
        <v/>
      </c>
      <c r="G210" s="16" t="str">
        <f>IF(ISNA(VLOOKUP(MID($A210,5,1),Kanji_2_HanViet!$A:$C,2,FALSE)),"",VLOOKUP(MID($A210,5,1),Kanji_2_HanViet!$A:$C,2,FALSE))</f>
        <v/>
      </c>
      <c r="H210" s="16" t="str">
        <f>IF(ISNA(VLOOKUP(MID($A210,6,1),Kanji_2_HanViet!$A:$C,2,FALSE)),"",VLOOKUP(MID($A210,6,1),Kanji_2_HanViet!$A:$C,2,FALSE))</f>
        <v/>
      </c>
      <c r="I210" s="16" t="str">
        <f>IF(ISNA(VLOOKUP(MID($A210,7,1),Kanji_2_HanViet!$A:$C,2,FALSE)),"",VLOOKUP(MID($A210,7,1),Kanji_2_HanViet!$A:$C,2,FALSE))</f>
        <v/>
      </c>
      <c r="J210" s="16" t="str">
        <f>IF(ISNA(VLOOKUP(MID($A210,8,1),Kanji_2_HanViet!$A:$C,2,FALSE)),"",VLOOKUP(MID($A210,8,1),Kanji_2_HanViet!$A:$C,2,FALSE))</f>
        <v/>
      </c>
      <c r="K210" s="16" t="str">
        <f>IF(ISNA(VLOOKUP(MID($A210,9,1),Kanji_2_HanViet!$A:$C,2,FALSE)),"",VLOOKUP(MID($A210,9,1),Kanji_2_HanViet!$A:$C,2,FALSE))</f>
        <v/>
      </c>
    </row>
    <row r="211" spans="1:11">
      <c r="A211" s="14">
        <f>Master!B218</f>
        <v>0</v>
      </c>
      <c r="B211" s="17" t="str">
        <f t="shared" si="3"/>
        <v/>
      </c>
      <c r="C211" s="16" t="str">
        <f>IF(ISNA(VLOOKUP(MID($A211,1,1),Kanji_2_HanViet!$A:$C,2,FALSE)),"",VLOOKUP(MID($A211,1,1),Kanji_2_HanViet!$A:$C,2,FALSE))</f>
        <v/>
      </c>
      <c r="D211" s="16" t="str">
        <f>IF(ISNA(VLOOKUP(MID($A211,2,1),Kanji_2_HanViet!$A:$C,2,FALSE)),"",VLOOKUP(MID($A211,2,1),Kanji_2_HanViet!$A:$C,2,FALSE))</f>
        <v/>
      </c>
      <c r="E211" s="16" t="str">
        <f>IF(ISNA(VLOOKUP(MID($A211,3,1),Kanji_2_HanViet!$A:$C,2,FALSE)),"",VLOOKUP(MID($A211,3,1),Kanji_2_HanViet!$A:$C,2,FALSE))</f>
        <v/>
      </c>
      <c r="F211" s="16" t="str">
        <f>IF(ISNA(VLOOKUP(MID($A211,4,1),Kanji_2_HanViet!$A:$C,2,FALSE)),"",VLOOKUP(MID($A211,4,1),Kanji_2_HanViet!$A:$C,2,FALSE))</f>
        <v/>
      </c>
      <c r="G211" s="16" t="str">
        <f>IF(ISNA(VLOOKUP(MID($A211,5,1),Kanji_2_HanViet!$A:$C,2,FALSE)),"",VLOOKUP(MID($A211,5,1),Kanji_2_HanViet!$A:$C,2,FALSE))</f>
        <v/>
      </c>
      <c r="H211" s="16" t="str">
        <f>IF(ISNA(VLOOKUP(MID($A211,6,1),Kanji_2_HanViet!$A:$C,2,FALSE)),"",VLOOKUP(MID($A211,6,1),Kanji_2_HanViet!$A:$C,2,FALSE))</f>
        <v/>
      </c>
      <c r="I211" s="16" t="str">
        <f>IF(ISNA(VLOOKUP(MID($A211,7,1),Kanji_2_HanViet!$A:$C,2,FALSE)),"",VLOOKUP(MID($A211,7,1),Kanji_2_HanViet!$A:$C,2,FALSE))</f>
        <v/>
      </c>
      <c r="J211" s="16" t="str">
        <f>IF(ISNA(VLOOKUP(MID($A211,8,1),Kanji_2_HanViet!$A:$C,2,FALSE)),"",VLOOKUP(MID($A211,8,1),Kanji_2_HanViet!$A:$C,2,FALSE))</f>
        <v/>
      </c>
      <c r="K211" s="16" t="str">
        <f>IF(ISNA(VLOOKUP(MID($A211,9,1),Kanji_2_HanViet!$A:$C,2,FALSE)),"",VLOOKUP(MID($A211,9,1),Kanji_2_HanViet!$A:$C,2,FALSE))</f>
        <v/>
      </c>
    </row>
    <row r="212" spans="1:11">
      <c r="A212" s="14">
        <f>Master!B219</f>
        <v>0</v>
      </c>
      <c r="B212" s="17" t="str">
        <f t="shared" si="3"/>
        <v/>
      </c>
      <c r="C212" s="16" t="str">
        <f>IF(ISNA(VLOOKUP(MID($A212,1,1),Kanji_2_HanViet!$A:$C,2,FALSE)),"",VLOOKUP(MID($A212,1,1),Kanji_2_HanViet!$A:$C,2,FALSE))</f>
        <v/>
      </c>
      <c r="D212" s="16" t="str">
        <f>IF(ISNA(VLOOKUP(MID($A212,2,1),Kanji_2_HanViet!$A:$C,2,FALSE)),"",VLOOKUP(MID($A212,2,1),Kanji_2_HanViet!$A:$C,2,FALSE))</f>
        <v/>
      </c>
      <c r="E212" s="16" t="str">
        <f>IF(ISNA(VLOOKUP(MID($A212,3,1),Kanji_2_HanViet!$A:$C,2,FALSE)),"",VLOOKUP(MID($A212,3,1),Kanji_2_HanViet!$A:$C,2,FALSE))</f>
        <v/>
      </c>
      <c r="F212" s="16" t="str">
        <f>IF(ISNA(VLOOKUP(MID($A212,4,1),Kanji_2_HanViet!$A:$C,2,FALSE)),"",VLOOKUP(MID($A212,4,1),Kanji_2_HanViet!$A:$C,2,FALSE))</f>
        <v/>
      </c>
      <c r="G212" s="16" t="str">
        <f>IF(ISNA(VLOOKUP(MID($A212,5,1),Kanji_2_HanViet!$A:$C,2,FALSE)),"",VLOOKUP(MID($A212,5,1),Kanji_2_HanViet!$A:$C,2,FALSE))</f>
        <v/>
      </c>
      <c r="H212" s="16" t="str">
        <f>IF(ISNA(VLOOKUP(MID($A212,6,1),Kanji_2_HanViet!$A:$C,2,FALSE)),"",VLOOKUP(MID($A212,6,1),Kanji_2_HanViet!$A:$C,2,FALSE))</f>
        <v/>
      </c>
      <c r="I212" s="16" t="str">
        <f>IF(ISNA(VLOOKUP(MID($A212,7,1),Kanji_2_HanViet!$A:$C,2,FALSE)),"",VLOOKUP(MID($A212,7,1),Kanji_2_HanViet!$A:$C,2,FALSE))</f>
        <v/>
      </c>
      <c r="J212" s="16" t="str">
        <f>IF(ISNA(VLOOKUP(MID($A212,8,1),Kanji_2_HanViet!$A:$C,2,FALSE)),"",VLOOKUP(MID($A212,8,1),Kanji_2_HanViet!$A:$C,2,FALSE))</f>
        <v/>
      </c>
      <c r="K212" s="16" t="str">
        <f>IF(ISNA(VLOOKUP(MID($A212,9,1),Kanji_2_HanViet!$A:$C,2,FALSE)),"",VLOOKUP(MID($A212,9,1),Kanji_2_HanViet!$A:$C,2,FALSE))</f>
        <v/>
      </c>
    </row>
    <row r="213" spans="1:11">
      <c r="A213" s="14">
        <f>Master!B220</f>
        <v>0</v>
      </c>
      <c r="B213" s="17" t="str">
        <f t="shared" si="3"/>
        <v/>
      </c>
      <c r="C213" s="16" t="str">
        <f>IF(ISNA(VLOOKUP(MID($A213,1,1),Kanji_2_HanViet!$A:$C,2,FALSE)),"",VLOOKUP(MID($A213,1,1),Kanji_2_HanViet!$A:$C,2,FALSE))</f>
        <v/>
      </c>
      <c r="D213" s="16" t="str">
        <f>IF(ISNA(VLOOKUP(MID($A213,2,1),Kanji_2_HanViet!$A:$C,2,FALSE)),"",VLOOKUP(MID($A213,2,1),Kanji_2_HanViet!$A:$C,2,FALSE))</f>
        <v/>
      </c>
      <c r="E213" s="16" t="str">
        <f>IF(ISNA(VLOOKUP(MID($A213,3,1),Kanji_2_HanViet!$A:$C,2,FALSE)),"",VLOOKUP(MID($A213,3,1),Kanji_2_HanViet!$A:$C,2,FALSE))</f>
        <v/>
      </c>
      <c r="F213" s="16" t="str">
        <f>IF(ISNA(VLOOKUP(MID($A213,4,1),Kanji_2_HanViet!$A:$C,2,FALSE)),"",VLOOKUP(MID($A213,4,1),Kanji_2_HanViet!$A:$C,2,FALSE))</f>
        <v/>
      </c>
      <c r="G213" s="16" t="str">
        <f>IF(ISNA(VLOOKUP(MID($A213,5,1),Kanji_2_HanViet!$A:$C,2,FALSE)),"",VLOOKUP(MID($A213,5,1),Kanji_2_HanViet!$A:$C,2,FALSE))</f>
        <v/>
      </c>
      <c r="H213" s="16" t="str">
        <f>IF(ISNA(VLOOKUP(MID($A213,6,1),Kanji_2_HanViet!$A:$C,2,FALSE)),"",VLOOKUP(MID($A213,6,1),Kanji_2_HanViet!$A:$C,2,FALSE))</f>
        <v/>
      </c>
      <c r="I213" s="16" t="str">
        <f>IF(ISNA(VLOOKUP(MID($A213,7,1),Kanji_2_HanViet!$A:$C,2,FALSE)),"",VLOOKUP(MID($A213,7,1),Kanji_2_HanViet!$A:$C,2,FALSE))</f>
        <v/>
      </c>
      <c r="J213" s="16" t="str">
        <f>IF(ISNA(VLOOKUP(MID($A213,8,1),Kanji_2_HanViet!$A:$C,2,FALSE)),"",VLOOKUP(MID($A213,8,1),Kanji_2_HanViet!$A:$C,2,FALSE))</f>
        <v/>
      </c>
      <c r="K213" s="16" t="str">
        <f>IF(ISNA(VLOOKUP(MID($A213,9,1),Kanji_2_HanViet!$A:$C,2,FALSE)),"",VLOOKUP(MID($A213,9,1),Kanji_2_HanViet!$A:$C,2,FALSE))</f>
        <v/>
      </c>
    </row>
    <row r="214" spans="1:11">
      <c r="A214" s="14">
        <f>Master!B221</f>
        <v>0</v>
      </c>
      <c r="B214" s="17" t="str">
        <f t="shared" si="3"/>
        <v/>
      </c>
      <c r="C214" s="16" t="str">
        <f>IF(ISNA(VLOOKUP(MID($A214,1,1),Kanji_2_HanViet!$A:$C,2,FALSE)),"",VLOOKUP(MID($A214,1,1),Kanji_2_HanViet!$A:$C,2,FALSE))</f>
        <v/>
      </c>
      <c r="D214" s="16" t="str">
        <f>IF(ISNA(VLOOKUP(MID($A214,2,1),Kanji_2_HanViet!$A:$C,2,FALSE)),"",VLOOKUP(MID($A214,2,1),Kanji_2_HanViet!$A:$C,2,FALSE))</f>
        <v/>
      </c>
      <c r="E214" s="16" t="str">
        <f>IF(ISNA(VLOOKUP(MID($A214,3,1),Kanji_2_HanViet!$A:$C,2,FALSE)),"",VLOOKUP(MID($A214,3,1),Kanji_2_HanViet!$A:$C,2,FALSE))</f>
        <v/>
      </c>
      <c r="F214" s="16" t="str">
        <f>IF(ISNA(VLOOKUP(MID($A214,4,1),Kanji_2_HanViet!$A:$C,2,FALSE)),"",VLOOKUP(MID($A214,4,1),Kanji_2_HanViet!$A:$C,2,FALSE))</f>
        <v/>
      </c>
      <c r="G214" s="16" t="str">
        <f>IF(ISNA(VLOOKUP(MID($A214,5,1),Kanji_2_HanViet!$A:$C,2,FALSE)),"",VLOOKUP(MID($A214,5,1),Kanji_2_HanViet!$A:$C,2,FALSE))</f>
        <v/>
      </c>
      <c r="H214" s="16" t="str">
        <f>IF(ISNA(VLOOKUP(MID($A214,6,1),Kanji_2_HanViet!$A:$C,2,FALSE)),"",VLOOKUP(MID($A214,6,1),Kanji_2_HanViet!$A:$C,2,FALSE))</f>
        <v/>
      </c>
      <c r="I214" s="16" t="str">
        <f>IF(ISNA(VLOOKUP(MID($A214,7,1),Kanji_2_HanViet!$A:$C,2,FALSE)),"",VLOOKUP(MID($A214,7,1),Kanji_2_HanViet!$A:$C,2,FALSE))</f>
        <v/>
      </c>
      <c r="J214" s="16" t="str">
        <f>IF(ISNA(VLOOKUP(MID($A214,8,1),Kanji_2_HanViet!$A:$C,2,FALSE)),"",VLOOKUP(MID($A214,8,1),Kanji_2_HanViet!$A:$C,2,FALSE))</f>
        <v/>
      </c>
      <c r="K214" s="16" t="str">
        <f>IF(ISNA(VLOOKUP(MID($A214,9,1),Kanji_2_HanViet!$A:$C,2,FALSE)),"",VLOOKUP(MID($A214,9,1),Kanji_2_HanViet!$A:$C,2,FALSE))</f>
        <v/>
      </c>
    </row>
    <row r="215" spans="1:11">
      <c r="A215" s="14">
        <f>Master!B222</f>
        <v>0</v>
      </c>
      <c r="B215" s="17" t="str">
        <f t="shared" si="3"/>
        <v/>
      </c>
      <c r="C215" s="16" t="str">
        <f>IF(ISNA(VLOOKUP(MID($A215,1,1),Kanji_2_HanViet!$A:$C,2,FALSE)),"",VLOOKUP(MID($A215,1,1),Kanji_2_HanViet!$A:$C,2,FALSE))</f>
        <v/>
      </c>
      <c r="D215" s="16" t="str">
        <f>IF(ISNA(VLOOKUP(MID($A215,2,1),Kanji_2_HanViet!$A:$C,2,FALSE)),"",VLOOKUP(MID($A215,2,1),Kanji_2_HanViet!$A:$C,2,FALSE))</f>
        <v/>
      </c>
      <c r="E215" s="16" t="str">
        <f>IF(ISNA(VLOOKUP(MID($A215,3,1),Kanji_2_HanViet!$A:$C,2,FALSE)),"",VLOOKUP(MID($A215,3,1),Kanji_2_HanViet!$A:$C,2,FALSE))</f>
        <v/>
      </c>
      <c r="F215" s="16" t="str">
        <f>IF(ISNA(VLOOKUP(MID($A215,4,1),Kanji_2_HanViet!$A:$C,2,FALSE)),"",VLOOKUP(MID($A215,4,1),Kanji_2_HanViet!$A:$C,2,FALSE))</f>
        <v/>
      </c>
      <c r="G215" s="16" t="str">
        <f>IF(ISNA(VLOOKUP(MID($A215,5,1),Kanji_2_HanViet!$A:$C,2,FALSE)),"",VLOOKUP(MID($A215,5,1),Kanji_2_HanViet!$A:$C,2,FALSE))</f>
        <v/>
      </c>
      <c r="H215" s="16" t="str">
        <f>IF(ISNA(VLOOKUP(MID($A215,6,1),Kanji_2_HanViet!$A:$C,2,FALSE)),"",VLOOKUP(MID($A215,6,1),Kanji_2_HanViet!$A:$C,2,FALSE))</f>
        <v/>
      </c>
      <c r="I215" s="16" t="str">
        <f>IF(ISNA(VLOOKUP(MID($A215,7,1),Kanji_2_HanViet!$A:$C,2,FALSE)),"",VLOOKUP(MID($A215,7,1),Kanji_2_HanViet!$A:$C,2,FALSE))</f>
        <v/>
      </c>
      <c r="J215" s="16" t="str">
        <f>IF(ISNA(VLOOKUP(MID($A215,8,1),Kanji_2_HanViet!$A:$C,2,FALSE)),"",VLOOKUP(MID($A215,8,1),Kanji_2_HanViet!$A:$C,2,FALSE))</f>
        <v/>
      </c>
      <c r="K215" s="16" t="str">
        <f>IF(ISNA(VLOOKUP(MID($A215,9,1),Kanji_2_HanViet!$A:$C,2,FALSE)),"",VLOOKUP(MID($A215,9,1),Kanji_2_HanViet!$A:$C,2,FALSE))</f>
        <v/>
      </c>
    </row>
    <row r="216" spans="1:11">
      <c r="A216" s="14">
        <f>Master!B223</f>
        <v>0</v>
      </c>
      <c r="B216" s="17" t="str">
        <f t="shared" si="3"/>
        <v/>
      </c>
      <c r="C216" s="16" t="str">
        <f>IF(ISNA(VLOOKUP(MID($A216,1,1),Kanji_2_HanViet!$A:$C,2,FALSE)),"",VLOOKUP(MID($A216,1,1),Kanji_2_HanViet!$A:$C,2,FALSE))</f>
        <v/>
      </c>
      <c r="D216" s="16" t="str">
        <f>IF(ISNA(VLOOKUP(MID($A216,2,1),Kanji_2_HanViet!$A:$C,2,FALSE)),"",VLOOKUP(MID($A216,2,1),Kanji_2_HanViet!$A:$C,2,FALSE))</f>
        <v/>
      </c>
      <c r="E216" s="16" t="str">
        <f>IF(ISNA(VLOOKUP(MID($A216,3,1),Kanji_2_HanViet!$A:$C,2,FALSE)),"",VLOOKUP(MID($A216,3,1),Kanji_2_HanViet!$A:$C,2,FALSE))</f>
        <v/>
      </c>
      <c r="F216" s="16" t="str">
        <f>IF(ISNA(VLOOKUP(MID($A216,4,1),Kanji_2_HanViet!$A:$C,2,FALSE)),"",VLOOKUP(MID($A216,4,1),Kanji_2_HanViet!$A:$C,2,FALSE))</f>
        <v/>
      </c>
      <c r="G216" s="16" t="str">
        <f>IF(ISNA(VLOOKUP(MID($A216,5,1),Kanji_2_HanViet!$A:$C,2,FALSE)),"",VLOOKUP(MID($A216,5,1),Kanji_2_HanViet!$A:$C,2,FALSE))</f>
        <v/>
      </c>
      <c r="H216" s="16" t="str">
        <f>IF(ISNA(VLOOKUP(MID($A216,6,1),Kanji_2_HanViet!$A:$C,2,FALSE)),"",VLOOKUP(MID($A216,6,1),Kanji_2_HanViet!$A:$C,2,FALSE))</f>
        <v/>
      </c>
      <c r="I216" s="16" t="str">
        <f>IF(ISNA(VLOOKUP(MID($A216,7,1),Kanji_2_HanViet!$A:$C,2,FALSE)),"",VLOOKUP(MID($A216,7,1),Kanji_2_HanViet!$A:$C,2,FALSE))</f>
        <v/>
      </c>
      <c r="J216" s="16" t="str">
        <f>IF(ISNA(VLOOKUP(MID($A216,8,1),Kanji_2_HanViet!$A:$C,2,FALSE)),"",VLOOKUP(MID($A216,8,1),Kanji_2_HanViet!$A:$C,2,FALSE))</f>
        <v/>
      </c>
      <c r="K216" s="16" t="str">
        <f>IF(ISNA(VLOOKUP(MID($A216,9,1),Kanji_2_HanViet!$A:$C,2,FALSE)),"",VLOOKUP(MID($A216,9,1),Kanji_2_HanViet!$A:$C,2,FALSE))</f>
        <v/>
      </c>
    </row>
    <row r="217" spans="1:11">
      <c r="A217" s="14">
        <f>Master!B224</f>
        <v>0</v>
      </c>
      <c r="B217" s="17" t="str">
        <f t="shared" si="3"/>
        <v/>
      </c>
      <c r="C217" s="16" t="str">
        <f>IF(ISNA(VLOOKUP(MID($A217,1,1),Kanji_2_HanViet!$A:$C,2,FALSE)),"",VLOOKUP(MID($A217,1,1),Kanji_2_HanViet!$A:$C,2,FALSE))</f>
        <v/>
      </c>
      <c r="D217" s="16" t="str">
        <f>IF(ISNA(VLOOKUP(MID($A217,2,1),Kanji_2_HanViet!$A:$C,2,FALSE)),"",VLOOKUP(MID($A217,2,1),Kanji_2_HanViet!$A:$C,2,FALSE))</f>
        <v/>
      </c>
      <c r="E217" s="16" t="str">
        <f>IF(ISNA(VLOOKUP(MID($A217,3,1),Kanji_2_HanViet!$A:$C,2,FALSE)),"",VLOOKUP(MID($A217,3,1),Kanji_2_HanViet!$A:$C,2,FALSE))</f>
        <v/>
      </c>
      <c r="F217" s="16" t="str">
        <f>IF(ISNA(VLOOKUP(MID($A217,4,1),Kanji_2_HanViet!$A:$C,2,FALSE)),"",VLOOKUP(MID($A217,4,1),Kanji_2_HanViet!$A:$C,2,FALSE))</f>
        <v/>
      </c>
      <c r="G217" s="16" t="str">
        <f>IF(ISNA(VLOOKUP(MID($A217,5,1),Kanji_2_HanViet!$A:$C,2,FALSE)),"",VLOOKUP(MID($A217,5,1),Kanji_2_HanViet!$A:$C,2,FALSE))</f>
        <v/>
      </c>
      <c r="H217" s="16" t="str">
        <f>IF(ISNA(VLOOKUP(MID($A217,6,1),Kanji_2_HanViet!$A:$C,2,FALSE)),"",VLOOKUP(MID($A217,6,1),Kanji_2_HanViet!$A:$C,2,FALSE))</f>
        <v/>
      </c>
      <c r="I217" s="16" t="str">
        <f>IF(ISNA(VLOOKUP(MID($A217,7,1),Kanji_2_HanViet!$A:$C,2,FALSE)),"",VLOOKUP(MID($A217,7,1),Kanji_2_HanViet!$A:$C,2,FALSE))</f>
        <v/>
      </c>
      <c r="J217" s="16" t="str">
        <f>IF(ISNA(VLOOKUP(MID($A217,8,1),Kanji_2_HanViet!$A:$C,2,FALSE)),"",VLOOKUP(MID($A217,8,1),Kanji_2_HanViet!$A:$C,2,FALSE))</f>
        <v/>
      </c>
      <c r="K217" s="16" t="str">
        <f>IF(ISNA(VLOOKUP(MID($A217,9,1),Kanji_2_HanViet!$A:$C,2,FALSE)),"",VLOOKUP(MID($A217,9,1),Kanji_2_HanViet!$A:$C,2,FALSE))</f>
        <v/>
      </c>
    </row>
    <row r="218" spans="1:11">
      <c r="A218" s="14">
        <f>Master!B225</f>
        <v>0</v>
      </c>
      <c r="B218" s="17" t="str">
        <f t="shared" si="3"/>
        <v/>
      </c>
      <c r="C218" s="16" t="str">
        <f>IF(ISNA(VLOOKUP(MID($A218,1,1),Kanji_2_HanViet!$A:$C,2,FALSE)),"",VLOOKUP(MID($A218,1,1),Kanji_2_HanViet!$A:$C,2,FALSE))</f>
        <v/>
      </c>
      <c r="D218" s="16" t="str">
        <f>IF(ISNA(VLOOKUP(MID($A218,2,1),Kanji_2_HanViet!$A:$C,2,FALSE)),"",VLOOKUP(MID($A218,2,1),Kanji_2_HanViet!$A:$C,2,FALSE))</f>
        <v/>
      </c>
      <c r="E218" s="16" t="str">
        <f>IF(ISNA(VLOOKUP(MID($A218,3,1),Kanji_2_HanViet!$A:$C,2,FALSE)),"",VLOOKUP(MID($A218,3,1),Kanji_2_HanViet!$A:$C,2,FALSE))</f>
        <v/>
      </c>
      <c r="F218" s="16" t="str">
        <f>IF(ISNA(VLOOKUP(MID($A218,4,1),Kanji_2_HanViet!$A:$C,2,FALSE)),"",VLOOKUP(MID($A218,4,1),Kanji_2_HanViet!$A:$C,2,FALSE))</f>
        <v/>
      </c>
      <c r="G218" s="16" t="str">
        <f>IF(ISNA(VLOOKUP(MID($A218,5,1),Kanji_2_HanViet!$A:$C,2,FALSE)),"",VLOOKUP(MID($A218,5,1),Kanji_2_HanViet!$A:$C,2,FALSE))</f>
        <v/>
      </c>
      <c r="H218" s="16" t="str">
        <f>IF(ISNA(VLOOKUP(MID($A218,6,1),Kanji_2_HanViet!$A:$C,2,FALSE)),"",VLOOKUP(MID($A218,6,1),Kanji_2_HanViet!$A:$C,2,FALSE))</f>
        <v/>
      </c>
      <c r="I218" s="16" t="str">
        <f>IF(ISNA(VLOOKUP(MID($A218,7,1),Kanji_2_HanViet!$A:$C,2,FALSE)),"",VLOOKUP(MID($A218,7,1),Kanji_2_HanViet!$A:$C,2,FALSE))</f>
        <v/>
      </c>
      <c r="J218" s="16" t="str">
        <f>IF(ISNA(VLOOKUP(MID($A218,8,1),Kanji_2_HanViet!$A:$C,2,FALSE)),"",VLOOKUP(MID($A218,8,1),Kanji_2_HanViet!$A:$C,2,FALSE))</f>
        <v/>
      </c>
      <c r="K218" s="16" t="str">
        <f>IF(ISNA(VLOOKUP(MID($A218,9,1),Kanji_2_HanViet!$A:$C,2,FALSE)),"",VLOOKUP(MID($A218,9,1),Kanji_2_HanViet!$A:$C,2,FALSE))</f>
        <v/>
      </c>
    </row>
    <row r="219" spans="1:11">
      <c r="A219" s="14">
        <f>Master!B226</f>
        <v>0</v>
      </c>
      <c r="B219" s="17" t="str">
        <f t="shared" si="3"/>
        <v/>
      </c>
      <c r="C219" s="16" t="str">
        <f>IF(ISNA(VLOOKUP(MID($A219,1,1),Kanji_2_HanViet!$A:$C,2,FALSE)),"",VLOOKUP(MID($A219,1,1),Kanji_2_HanViet!$A:$C,2,FALSE))</f>
        <v/>
      </c>
      <c r="D219" s="16" t="str">
        <f>IF(ISNA(VLOOKUP(MID($A219,2,1),Kanji_2_HanViet!$A:$C,2,FALSE)),"",VLOOKUP(MID($A219,2,1),Kanji_2_HanViet!$A:$C,2,FALSE))</f>
        <v/>
      </c>
      <c r="E219" s="16" t="str">
        <f>IF(ISNA(VLOOKUP(MID($A219,3,1),Kanji_2_HanViet!$A:$C,2,FALSE)),"",VLOOKUP(MID($A219,3,1),Kanji_2_HanViet!$A:$C,2,FALSE))</f>
        <v/>
      </c>
      <c r="F219" s="16" t="str">
        <f>IF(ISNA(VLOOKUP(MID($A219,4,1),Kanji_2_HanViet!$A:$C,2,FALSE)),"",VLOOKUP(MID($A219,4,1),Kanji_2_HanViet!$A:$C,2,FALSE))</f>
        <v/>
      </c>
      <c r="G219" s="16" t="str">
        <f>IF(ISNA(VLOOKUP(MID($A219,5,1),Kanji_2_HanViet!$A:$C,2,FALSE)),"",VLOOKUP(MID($A219,5,1),Kanji_2_HanViet!$A:$C,2,FALSE))</f>
        <v/>
      </c>
      <c r="H219" s="16" t="str">
        <f>IF(ISNA(VLOOKUP(MID($A219,6,1),Kanji_2_HanViet!$A:$C,2,FALSE)),"",VLOOKUP(MID($A219,6,1),Kanji_2_HanViet!$A:$C,2,FALSE))</f>
        <v/>
      </c>
      <c r="I219" s="16" t="str">
        <f>IF(ISNA(VLOOKUP(MID($A219,7,1),Kanji_2_HanViet!$A:$C,2,FALSE)),"",VLOOKUP(MID($A219,7,1),Kanji_2_HanViet!$A:$C,2,FALSE))</f>
        <v/>
      </c>
      <c r="J219" s="16" t="str">
        <f>IF(ISNA(VLOOKUP(MID($A219,8,1),Kanji_2_HanViet!$A:$C,2,FALSE)),"",VLOOKUP(MID($A219,8,1),Kanji_2_HanViet!$A:$C,2,FALSE))</f>
        <v/>
      </c>
      <c r="K219" s="16" t="str">
        <f>IF(ISNA(VLOOKUP(MID($A219,9,1),Kanji_2_HanViet!$A:$C,2,FALSE)),"",VLOOKUP(MID($A219,9,1),Kanji_2_HanViet!$A:$C,2,FALSE))</f>
        <v/>
      </c>
    </row>
    <row r="220" spans="1:11">
      <c r="A220" s="14">
        <f>Master!B227</f>
        <v>0</v>
      </c>
      <c r="B220" s="17" t="str">
        <f t="shared" si="3"/>
        <v/>
      </c>
      <c r="C220" s="16" t="str">
        <f>IF(ISNA(VLOOKUP(MID($A220,1,1),Kanji_2_HanViet!$A:$C,2,FALSE)),"",VLOOKUP(MID($A220,1,1),Kanji_2_HanViet!$A:$C,2,FALSE))</f>
        <v/>
      </c>
      <c r="D220" s="16" t="str">
        <f>IF(ISNA(VLOOKUP(MID($A220,2,1),Kanji_2_HanViet!$A:$C,2,FALSE)),"",VLOOKUP(MID($A220,2,1),Kanji_2_HanViet!$A:$C,2,FALSE))</f>
        <v/>
      </c>
      <c r="E220" s="16" t="str">
        <f>IF(ISNA(VLOOKUP(MID($A220,3,1),Kanji_2_HanViet!$A:$C,2,FALSE)),"",VLOOKUP(MID($A220,3,1),Kanji_2_HanViet!$A:$C,2,FALSE))</f>
        <v/>
      </c>
      <c r="F220" s="16" t="str">
        <f>IF(ISNA(VLOOKUP(MID($A220,4,1),Kanji_2_HanViet!$A:$C,2,FALSE)),"",VLOOKUP(MID($A220,4,1),Kanji_2_HanViet!$A:$C,2,FALSE))</f>
        <v/>
      </c>
      <c r="G220" s="16" t="str">
        <f>IF(ISNA(VLOOKUP(MID($A220,5,1),Kanji_2_HanViet!$A:$C,2,FALSE)),"",VLOOKUP(MID($A220,5,1),Kanji_2_HanViet!$A:$C,2,FALSE))</f>
        <v/>
      </c>
      <c r="H220" s="16" t="str">
        <f>IF(ISNA(VLOOKUP(MID($A220,6,1),Kanji_2_HanViet!$A:$C,2,FALSE)),"",VLOOKUP(MID($A220,6,1),Kanji_2_HanViet!$A:$C,2,FALSE))</f>
        <v/>
      </c>
      <c r="I220" s="16" t="str">
        <f>IF(ISNA(VLOOKUP(MID($A220,7,1),Kanji_2_HanViet!$A:$C,2,FALSE)),"",VLOOKUP(MID($A220,7,1),Kanji_2_HanViet!$A:$C,2,FALSE))</f>
        <v/>
      </c>
      <c r="J220" s="16" t="str">
        <f>IF(ISNA(VLOOKUP(MID($A220,8,1),Kanji_2_HanViet!$A:$C,2,FALSE)),"",VLOOKUP(MID($A220,8,1),Kanji_2_HanViet!$A:$C,2,FALSE))</f>
        <v/>
      </c>
      <c r="K220" s="16" t="str">
        <f>IF(ISNA(VLOOKUP(MID($A220,9,1),Kanji_2_HanViet!$A:$C,2,FALSE)),"",VLOOKUP(MID($A220,9,1),Kanji_2_HanViet!$A:$C,2,FALSE))</f>
        <v/>
      </c>
    </row>
    <row r="221" spans="1:11">
      <c r="A221" s="14">
        <f>Master!B228</f>
        <v>0</v>
      </c>
      <c r="B221" s="17" t="str">
        <f t="shared" si="3"/>
        <v/>
      </c>
      <c r="C221" s="16" t="str">
        <f>IF(ISNA(VLOOKUP(MID($A221,1,1),Kanji_2_HanViet!$A:$C,2,FALSE)),"",VLOOKUP(MID($A221,1,1),Kanji_2_HanViet!$A:$C,2,FALSE))</f>
        <v/>
      </c>
      <c r="D221" s="16" t="str">
        <f>IF(ISNA(VLOOKUP(MID($A221,2,1),Kanji_2_HanViet!$A:$C,2,FALSE)),"",VLOOKUP(MID($A221,2,1),Kanji_2_HanViet!$A:$C,2,FALSE))</f>
        <v/>
      </c>
      <c r="E221" s="16" t="str">
        <f>IF(ISNA(VLOOKUP(MID($A221,3,1),Kanji_2_HanViet!$A:$C,2,FALSE)),"",VLOOKUP(MID($A221,3,1),Kanji_2_HanViet!$A:$C,2,FALSE))</f>
        <v/>
      </c>
      <c r="F221" s="16" t="str">
        <f>IF(ISNA(VLOOKUP(MID($A221,4,1),Kanji_2_HanViet!$A:$C,2,FALSE)),"",VLOOKUP(MID($A221,4,1),Kanji_2_HanViet!$A:$C,2,FALSE))</f>
        <v/>
      </c>
      <c r="G221" s="16" t="str">
        <f>IF(ISNA(VLOOKUP(MID($A221,5,1),Kanji_2_HanViet!$A:$C,2,FALSE)),"",VLOOKUP(MID($A221,5,1),Kanji_2_HanViet!$A:$C,2,FALSE))</f>
        <v/>
      </c>
      <c r="H221" s="16" t="str">
        <f>IF(ISNA(VLOOKUP(MID($A221,6,1),Kanji_2_HanViet!$A:$C,2,FALSE)),"",VLOOKUP(MID($A221,6,1),Kanji_2_HanViet!$A:$C,2,FALSE))</f>
        <v/>
      </c>
      <c r="I221" s="16" t="str">
        <f>IF(ISNA(VLOOKUP(MID($A221,7,1),Kanji_2_HanViet!$A:$C,2,FALSE)),"",VLOOKUP(MID($A221,7,1),Kanji_2_HanViet!$A:$C,2,FALSE))</f>
        <v/>
      </c>
      <c r="J221" s="16" t="str">
        <f>IF(ISNA(VLOOKUP(MID($A221,8,1),Kanji_2_HanViet!$A:$C,2,FALSE)),"",VLOOKUP(MID($A221,8,1),Kanji_2_HanViet!$A:$C,2,FALSE))</f>
        <v/>
      </c>
      <c r="K221" s="16" t="str">
        <f>IF(ISNA(VLOOKUP(MID($A221,9,1),Kanji_2_HanViet!$A:$C,2,FALSE)),"",VLOOKUP(MID($A221,9,1),Kanji_2_HanViet!$A:$C,2,FALSE))</f>
        <v/>
      </c>
    </row>
    <row r="222" spans="1:11">
      <c r="A222" s="14">
        <f>Master!B229</f>
        <v>0</v>
      </c>
      <c r="B222" s="17" t="str">
        <f t="shared" si="3"/>
        <v/>
      </c>
      <c r="C222" s="16" t="str">
        <f>IF(ISNA(VLOOKUP(MID($A222,1,1),Kanji_2_HanViet!$A:$C,2,FALSE)),"",VLOOKUP(MID($A222,1,1),Kanji_2_HanViet!$A:$C,2,FALSE))</f>
        <v/>
      </c>
      <c r="D222" s="16" t="str">
        <f>IF(ISNA(VLOOKUP(MID($A222,2,1),Kanji_2_HanViet!$A:$C,2,FALSE)),"",VLOOKUP(MID($A222,2,1),Kanji_2_HanViet!$A:$C,2,FALSE))</f>
        <v/>
      </c>
      <c r="E222" s="16" t="str">
        <f>IF(ISNA(VLOOKUP(MID($A222,3,1),Kanji_2_HanViet!$A:$C,2,FALSE)),"",VLOOKUP(MID($A222,3,1),Kanji_2_HanViet!$A:$C,2,FALSE))</f>
        <v/>
      </c>
      <c r="F222" s="16" t="str">
        <f>IF(ISNA(VLOOKUP(MID($A222,4,1),Kanji_2_HanViet!$A:$C,2,FALSE)),"",VLOOKUP(MID($A222,4,1),Kanji_2_HanViet!$A:$C,2,FALSE))</f>
        <v/>
      </c>
      <c r="G222" s="16" t="str">
        <f>IF(ISNA(VLOOKUP(MID($A222,5,1),Kanji_2_HanViet!$A:$C,2,FALSE)),"",VLOOKUP(MID($A222,5,1),Kanji_2_HanViet!$A:$C,2,FALSE))</f>
        <v/>
      </c>
      <c r="H222" s="16" t="str">
        <f>IF(ISNA(VLOOKUP(MID($A222,6,1),Kanji_2_HanViet!$A:$C,2,FALSE)),"",VLOOKUP(MID($A222,6,1),Kanji_2_HanViet!$A:$C,2,FALSE))</f>
        <v/>
      </c>
      <c r="I222" s="16" t="str">
        <f>IF(ISNA(VLOOKUP(MID($A222,7,1),Kanji_2_HanViet!$A:$C,2,FALSE)),"",VLOOKUP(MID($A222,7,1),Kanji_2_HanViet!$A:$C,2,FALSE))</f>
        <v/>
      </c>
      <c r="J222" s="16" t="str">
        <f>IF(ISNA(VLOOKUP(MID($A222,8,1),Kanji_2_HanViet!$A:$C,2,FALSE)),"",VLOOKUP(MID($A222,8,1),Kanji_2_HanViet!$A:$C,2,FALSE))</f>
        <v/>
      </c>
      <c r="K222" s="16" t="str">
        <f>IF(ISNA(VLOOKUP(MID($A222,9,1),Kanji_2_HanViet!$A:$C,2,FALSE)),"",VLOOKUP(MID($A222,9,1),Kanji_2_HanViet!$A:$C,2,FALSE))</f>
        <v/>
      </c>
    </row>
    <row r="223" spans="1:11">
      <c r="A223" s="14">
        <f>Master!B230</f>
        <v>0</v>
      </c>
      <c r="B223" s="17" t="str">
        <f t="shared" si="3"/>
        <v/>
      </c>
      <c r="C223" s="16" t="str">
        <f>IF(ISNA(VLOOKUP(MID($A223,1,1),Kanji_2_HanViet!$A:$C,2,FALSE)),"",VLOOKUP(MID($A223,1,1),Kanji_2_HanViet!$A:$C,2,FALSE))</f>
        <v/>
      </c>
      <c r="D223" s="16" t="str">
        <f>IF(ISNA(VLOOKUP(MID($A223,2,1),Kanji_2_HanViet!$A:$C,2,FALSE)),"",VLOOKUP(MID($A223,2,1),Kanji_2_HanViet!$A:$C,2,FALSE))</f>
        <v/>
      </c>
      <c r="E223" s="16" t="str">
        <f>IF(ISNA(VLOOKUP(MID($A223,3,1),Kanji_2_HanViet!$A:$C,2,FALSE)),"",VLOOKUP(MID($A223,3,1),Kanji_2_HanViet!$A:$C,2,FALSE))</f>
        <v/>
      </c>
      <c r="F223" s="16" t="str">
        <f>IF(ISNA(VLOOKUP(MID($A223,4,1),Kanji_2_HanViet!$A:$C,2,FALSE)),"",VLOOKUP(MID($A223,4,1),Kanji_2_HanViet!$A:$C,2,FALSE))</f>
        <v/>
      </c>
      <c r="G223" s="16" t="str">
        <f>IF(ISNA(VLOOKUP(MID($A223,5,1),Kanji_2_HanViet!$A:$C,2,FALSE)),"",VLOOKUP(MID($A223,5,1),Kanji_2_HanViet!$A:$C,2,FALSE))</f>
        <v/>
      </c>
      <c r="H223" s="16" t="str">
        <f>IF(ISNA(VLOOKUP(MID($A223,6,1),Kanji_2_HanViet!$A:$C,2,FALSE)),"",VLOOKUP(MID($A223,6,1),Kanji_2_HanViet!$A:$C,2,FALSE))</f>
        <v/>
      </c>
      <c r="I223" s="16" t="str">
        <f>IF(ISNA(VLOOKUP(MID($A223,7,1),Kanji_2_HanViet!$A:$C,2,FALSE)),"",VLOOKUP(MID($A223,7,1),Kanji_2_HanViet!$A:$C,2,FALSE))</f>
        <v/>
      </c>
      <c r="J223" s="16" t="str">
        <f>IF(ISNA(VLOOKUP(MID($A223,8,1),Kanji_2_HanViet!$A:$C,2,FALSE)),"",VLOOKUP(MID($A223,8,1),Kanji_2_HanViet!$A:$C,2,FALSE))</f>
        <v/>
      </c>
      <c r="K223" s="16" t="str">
        <f>IF(ISNA(VLOOKUP(MID($A223,9,1),Kanji_2_HanViet!$A:$C,2,FALSE)),"",VLOOKUP(MID($A223,9,1),Kanji_2_HanViet!$A:$C,2,FALSE))</f>
        <v/>
      </c>
    </row>
    <row r="224" spans="1:11">
      <c r="A224" s="14">
        <f>Master!B231</f>
        <v>0</v>
      </c>
      <c r="B224" s="17" t="str">
        <f t="shared" si="3"/>
        <v/>
      </c>
      <c r="C224" s="16" t="str">
        <f>IF(ISNA(VLOOKUP(MID($A224,1,1),Kanji_2_HanViet!$A:$C,2,FALSE)),"",VLOOKUP(MID($A224,1,1),Kanji_2_HanViet!$A:$C,2,FALSE))</f>
        <v/>
      </c>
      <c r="D224" s="16" t="str">
        <f>IF(ISNA(VLOOKUP(MID($A224,2,1),Kanji_2_HanViet!$A:$C,2,FALSE)),"",VLOOKUP(MID($A224,2,1),Kanji_2_HanViet!$A:$C,2,FALSE))</f>
        <v/>
      </c>
      <c r="E224" s="16" t="str">
        <f>IF(ISNA(VLOOKUP(MID($A224,3,1),Kanji_2_HanViet!$A:$C,2,FALSE)),"",VLOOKUP(MID($A224,3,1),Kanji_2_HanViet!$A:$C,2,FALSE))</f>
        <v/>
      </c>
      <c r="F224" s="16" t="str">
        <f>IF(ISNA(VLOOKUP(MID($A224,4,1),Kanji_2_HanViet!$A:$C,2,FALSE)),"",VLOOKUP(MID($A224,4,1),Kanji_2_HanViet!$A:$C,2,FALSE))</f>
        <v/>
      </c>
      <c r="G224" s="16" t="str">
        <f>IF(ISNA(VLOOKUP(MID($A224,5,1),Kanji_2_HanViet!$A:$C,2,FALSE)),"",VLOOKUP(MID($A224,5,1),Kanji_2_HanViet!$A:$C,2,FALSE))</f>
        <v/>
      </c>
      <c r="H224" s="16" t="str">
        <f>IF(ISNA(VLOOKUP(MID($A224,6,1),Kanji_2_HanViet!$A:$C,2,FALSE)),"",VLOOKUP(MID($A224,6,1),Kanji_2_HanViet!$A:$C,2,FALSE))</f>
        <v/>
      </c>
      <c r="I224" s="16" t="str">
        <f>IF(ISNA(VLOOKUP(MID($A224,7,1),Kanji_2_HanViet!$A:$C,2,FALSE)),"",VLOOKUP(MID($A224,7,1),Kanji_2_HanViet!$A:$C,2,FALSE))</f>
        <v/>
      </c>
      <c r="J224" s="16" t="str">
        <f>IF(ISNA(VLOOKUP(MID($A224,8,1),Kanji_2_HanViet!$A:$C,2,FALSE)),"",VLOOKUP(MID($A224,8,1),Kanji_2_HanViet!$A:$C,2,FALSE))</f>
        <v/>
      </c>
      <c r="K224" s="16" t="str">
        <f>IF(ISNA(VLOOKUP(MID($A224,9,1),Kanji_2_HanViet!$A:$C,2,FALSE)),"",VLOOKUP(MID($A224,9,1),Kanji_2_HanViet!$A:$C,2,FALSE))</f>
        <v/>
      </c>
    </row>
    <row r="225" spans="1:11">
      <c r="A225" s="14">
        <f>Master!B232</f>
        <v>0</v>
      </c>
      <c r="B225" s="17" t="str">
        <f t="shared" si="3"/>
        <v/>
      </c>
      <c r="C225" s="16" t="str">
        <f>IF(ISNA(VLOOKUP(MID($A225,1,1),Kanji_2_HanViet!$A:$C,2,FALSE)),"",VLOOKUP(MID($A225,1,1),Kanji_2_HanViet!$A:$C,2,FALSE))</f>
        <v/>
      </c>
      <c r="D225" s="16" t="str">
        <f>IF(ISNA(VLOOKUP(MID($A225,2,1),Kanji_2_HanViet!$A:$C,2,FALSE)),"",VLOOKUP(MID($A225,2,1),Kanji_2_HanViet!$A:$C,2,FALSE))</f>
        <v/>
      </c>
      <c r="E225" s="16" t="str">
        <f>IF(ISNA(VLOOKUP(MID($A225,3,1),Kanji_2_HanViet!$A:$C,2,FALSE)),"",VLOOKUP(MID($A225,3,1),Kanji_2_HanViet!$A:$C,2,FALSE))</f>
        <v/>
      </c>
      <c r="F225" s="16" t="str">
        <f>IF(ISNA(VLOOKUP(MID($A225,4,1),Kanji_2_HanViet!$A:$C,2,FALSE)),"",VLOOKUP(MID($A225,4,1),Kanji_2_HanViet!$A:$C,2,FALSE))</f>
        <v/>
      </c>
      <c r="G225" s="16" t="str">
        <f>IF(ISNA(VLOOKUP(MID($A225,5,1),Kanji_2_HanViet!$A:$C,2,FALSE)),"",VLOOKUP(MID($A225,5,1),Kanji_2_HanViet!$A:$C,2,FALSE))</f>
        <v/>
      </c>
      <c r="H225" s="16" t="str">
        <f>IF(ISNA(VLOOKUP(MID($A225,6,1),Kanji_2_HanViet!$A:$C,2,FALSE)),"",VLOOKUP(MID($A225,6,1),Kanji_2_HanViet!$A:$C,2,FALSE))</f>
        <v/>
      </c>
      <c r="I225" s="16" t="str">
        <f>IF(ISNA(VLOOKUP(MID($A225,7,1),Kanji_2_HanViet!$A:$C,2,FALSE)),"",VLOOKUP(MID($A225,7,1),Kanji_2_HanViet!$A:$C,2,FALSE))</f>
        <v/>
      </c>
      <c r="J225" s="16" t="str">
        <f>IF(ISNA(VLOOKUP(MID($A225,8,1),Kanji_2_HanViet!$A:$C,2,FALSE)),"",VLOOKUP(MID($A225,8,1),Kanji_2_HanViet!$A:$C,2,FALSE))</f>
        <v/>
      </c>
      <c r="K225" s="16" t="str">
        <f>IF(ISNA(VLOOKUP(MID($A225,9,1),Kanji_2_HanViet!$A:$C,2,FALSE)),"",VLOOKUP(MID($A225,9,1),Kanji_2_HanViet!$A:$C,2,FALSE))</f>
        <v/>
      </c>
    </row>
    <row r="226" spans="1:11">
      <c r="A226" s="14">
        <f>Master!B233</f>
        <v>0</v>
      </c>
      <c r="B226" s="17" t="str">
        <f t="shared" si="3"/>
        <v/>
      </c>
      <c r="C226" s="16" t="str">
        <f>IF(ISNA(VLOOKUP(MID($A226,1,1),Kanji_2_HanViet!$A:$C,2,FALSE)),"",VLOOKUP(MID($A226,1,1),Kanji_2_HanViet!$A:$C,2,FALSE))</f>
        <v/>
      </c>
      <c r="D226" s="16" t="str">
        <f>IF(ISNA(VLOOKUP(MID($A226,2,1),Kanji_2_HanViet!$A:$C,2,FALSE)),"",VLOOKUP(MID($A226,2,1),Kanji_2_HanViet!$A:$C,2,FALSE))</f>
        <v/>
      </c>
      <c r="E226" s="16" t="str">
        <f>IF(ISNA(VLOOKUP(MID($A226,3,1),Kanji_2_HanViet!$A:$C,2,FALSE)),"",VLOOKUP(MID($A226,3,1),Kanji_2_HanViet!$A:$C,2,FALSE))</f>
        <v/>
      </c>
      <c r="F226" s="16" t="str">
        <f>IF(ISNA(VLOOKUP(MID($A226,4,1),Kanji_2_HanViet!$A:$C,2,FALSE)),"",VLOOKUP(MID($A226,4,1),Kanji_2_HanViet!$A:$C,2,FALSE))</f>
        <v/>
      </c>
      <c r="G226" s="16" t="str">
        <f>IF(ISNA(VLOOKUP(MID($A226,5,1),Kanji_2_HanViet!$A:$C,2,FALSE)),"",VLOOKUP(MID($A226,5,1),Kanji_2_HanViet!$A:$C,2,FALSE))</f>
        <v/>
      </c>
      <c r="H226" s="16" t="str">
        <f>IF(ISNA(VLOOKUP(MID($A226,6,1),Kanji_2_HanViet!$A:$C,2,FALSE)),"",VLOOKUP(MID($A226,6,1),Kanji_2_HanViet!$A:$C,2,FALSE))</f>
        <v/>
      </c>
      <c r="I226" s="16" t="str">
        <f>IF(ISNA(VLOOKUP(MID($A226,7,1),Kanji_2_HanViet!$A:$C,2,FALSE)),"",VLOOKUP(MID($A226,7,1),Kanji_2_HanViet!$A:$C,2,FALSE))</f>
        <v/>
      </c>
      <c r="J226" s="16" t="str">
        <f>IF(ISNA(VLOOKUP(MID($A226,8,1),Kanji_2_HanViet!$A:$C,2,FALSE)),"",VLOOKUP(MID($A226,8,1),Kanji_2_HanViet!$A:$C,2,FALSE))</f>
        <v/>
      </c>
      <c r="K226" s="16" t="str">
        <f>IF(ISNA(VLOOKUP(MID($A226,9,1),Kanji_2_HanViet!$A:$C,2,FALSE)),"",VLOOKUP(MID($A226,9,1),Kanji_2_HanViet!$A:$C,2,FALSE))</f>
        <v/>
      </c>
    </row>
    <row r="227" spans="1:11">
      <c r="A227" s="14">
        <f>Master!B234</f>
        <v>0</v>
      </c>
      <c r="B227" s="17" t="str">
        <f t="shared" si="3"/>
        <v/>
      </c>
      <c r="C227" s="16" t="str">
        <f>IF(ISNA(VLOOKUP(MID($A227,1,1),Kanji_2_HanViet!$A:$C,2,FALSE)),"",VLOOKUP(MID($A227,1,1),Kanji_2_HanViet!$A:$C,2,FALSE))</f>
        <v/>
      </c>
      <c r="D227" s="16" t="str">
        <f>IF(ISNA(VLOOKUP(MID($A227,2,1),Kanji_2_HanViet!$A:$C,2,FALSE)),"",VLOOKUP(MID($A227,2,1),Kanji_2_HanViet!$A:$C,2,FALSE))</f>
        <v/>
      </c>
      <c r="E227" s="16" t="str">
        <f>IF(ISNA(VLOOKUP(MID($A227,3,1),Kanji_2_HanViet!$A:$C,2,FALSE)),"",VLOOKUP(MID($A227,3,1),Kanji_2_HanViet!$A:$C,2,FALSE))</f>
        <v/>
      </c>
      <c r="F227" s="16" t="str">
        <f>IF(ISNA(VLOOKUP(MID($A227,4,1),Kanji_2_HanViet!$A:$C,2,FALSE)),"",VLOOKUP(MID($A227,4,1),Kanji_2_HanViet!$A:$C,2,FALSE))</f>
        <v/>
      </c>
      <c r="G227" s="16" t="str">
        <f>IF(ISNA(VLOOKUP(MID($A227,5,1),Kanji_2_HanViet!$A:$C,2,FALSE)),"",VLOOKUP(MID($A227,5,1),Kanji_2_HanViet!$A:$C,2,FALSE))</f>
        <v/>
      </c>
      <c r="H227" s="16" t="str">
        <f>IF(ISNA(VLOOKUP(MID($A227,6,1),Kanji_2_HanViet!$A:$C,2,FALSE)),"",VLOOKUP(MID($A227,6,1),Kanji_2_HanViet!$A:$C,2,FALSE))</f>
        <v/>
      </c>
      <c r="I227" s="16" t="str">
        <f>IF(ISNA(VLOOKUP(MID($A227,7,1),Kanji_2_HanViet!$A:$C,2,FALSE)),"",VLOOKUP(MID($A227,7,1),Kanji_2_HanViet!$A:$C,2,FALSE))</f>
        <v/>
      </c>
      <c r="J227" s="16" t="str">
        <f>IF(ISNA(VLOOKUP(MID($A227,8,1),Kanji_2_HanViet!$A:$C,2,FALSE)),"",VLOOKUP(MID($A227,8,1),Kanji_2_HanViet!$A:$C,2,FALSE))</f>
        <v/>
      </c>
      <c r="K227" s="16" t="str">
        <f>IF(ISNA(VLOOKUP(MID($A227,9,1),Kanji_2_HanViet!$A:$C,2,FALSE)),"",VLOOKUP(MID($A227,9,1),Kanji_2_HanViet!$A:$C,2,FALSE))</f>
        <v/>
      </c>
    </row>
    <row r="228" spans="1:11">
      <c r="A228" s="14">
        <f>Master!B235</f>
        <v>0</v>
      </c>
      <c r="B228" s="17" t="str">
        <f t="shared" si="3"/>
        <v/>
      </c>
      <c r="C228" s="16" t="str">
        <f>IF(ISNA(VLOOKUP(MID($A228,1,1),Kanji_2_HanViet!$A:$C,2,FALSE)),"",VLOOKUP(MID($A228,1,1),Kanji_2_HanViet!$A:$C,2,FALSE))</f>
        <v/>
      </c>
      <c r="D228" s="16" t="str">
        <f>IF(ISNA(VLOOKUP(MID($A228,2,1),Kanji_2_HanViet!$A:$C,2,FALSE)),"",VLOOKUP(MID($A228,2,1),Kanji_2_HanViet!$A:$C,2,FALSE))</f>
        <v/>
      </c>
      <c r="E228" s="16" t="str">
        <f>IF(ISNA(VLOOKUP(MID($A228,3,1),Kanji_2_HanViet!$A:$C,2,FALSE)),"",VLOOKUP(MID($A228,3,1),Kanji_2_HanViet!$A:$C,2,FALSE))</f>
        <v/>
      </c>
      <c r="F228" s="16" t="str">
        <f>IF(ISNA(VLOOKUP(MID($A228,4,1),Kanji_2_HanViet!$A:$C,2,FALSE)),"",VLOOKUP(MID($A228,4,1),Kanji_2_HanViet!$A:$C,2,FALSE))</f>
        <v/>
      </c>
      <c r="G228" s="16" t="str">
        <f>IF(ISNA(VLOOKUP(MID($A228,5,1),Kanji_2_HanViet!$A:$C,2,FALSE)),"",VLOOKUP(MID($A228,5,1),Kanji_2_HanViet!$A:$C,2,FALSE))</f>
        <v/>
      </c>
      <c r="H228" s="16" t="str">
        <f>IF(ISNA(VLOOKUP(MID($A228,6,1),Kanji_2_HanViet!$A:$C,2,FALSE)),"",VLOOKUP(MID($A228,6,1),Kanji_2_HanViet!$A:$C,2,FALSE))</f>
        <v/>
      </c>
      <c r="I228" s="16" t="str">
        <f>IF(ISNA(VLOOKUP(MID($A228,7,1),Kanji_2_HanViet!$A:$C,2,FALSE)),"",VLOOKUP(MID($A228,7,1),Kanji_2_HanViet!$A:$C,2,FALSE))</f>
        <v/>
      </c>
      <c r="J228" s="16" t="str">
        <f>IF(ISNA(VLOOKUP(MID($A228,8,1),Kanji_2_HanViet!$A:$C,2,FALSE)),"",VLOOKUP(MID($A228,8,1),Kanji_2_HanViet!$A:$C,2,FALSE))</f>
        <v/>
      </c>
      <c r="K228" s="16" t="str">
        <f>IF(ISNA(VLOOKUP(MID($A228,9,1),Kanji_2_HanViet!$A:$C,2,FALSE)),"",VLOOKUP(MID($A228,9,1),Kanji_2_HanViet!$A:$C,2,FALSE))</f>
        <v/>
      </c>
    </row>
    <row r="229" spans="1:11">
      <c r="A229" s="14">
        <f>Master!B236</f>
        <v>0</v>
      </c>
      <c r="B229" s="17" t="str">
        <f t="shared" si="3"/>
        <v/>
      </c>
      <c r="C229" s="16" t="str">
        <f>IF(ISNA(VLOOKUP(MID($A229,1,1),Kanji_2_HanViet!$A:$C,2,FALSE)),"",VLOOKUP(MID($A229,1,1),Kanji_2_HanViet!$A:$C,2,FALSE))</f>
        <v/>
      </c>
      <c r="D229" s="16" t="str">
        <f>IF(ISNA(VLOOKUP(MID($A229,2,1),Kanji_2_HanViet!$A:$C,2,FALSE)),"",VLOOKUP(MID($A229,2,1),Kanji_2_HanViet!$A:$C,2,FALSE))</f>
        <v/>
      </c>
      <c r="E229" s="16" t="str">
        <f>IF(ISNA(VLOOKUP(MID($A229,3,1),Kanji_2_HanViet!$A:$C,2,FALSE)),"",VLOOKUP(MID($A229,3,1),Kanji_2_HanViet!$A:$C,2,FALSE))</f>
        <v/>
      </c>
      <c r="F229" s="16" t="str">
        <f>IF(ISNA(VLOOKUP(MID($A229,4,1),Kanji_2_HanViet!$A:$C,2,FALSE)),"",VLOOKUP(MID($A229,4,1),Kanji_2_HanViet!$A:$C,2,FALSE))</f>
        <v/>
      </c>
      <c r="G229" s="16" t="str">
        <f>IF(ISNA(VLOOKUP(MID($A229,5,1),Kanji_2_HanViet!$A:$C,2,FALSE)),"",VLOOKUP(MID($A229,5,1),Kanji_2_HanViet!$A:$C,2,FALSE))</f>
        <v/>
      </c>
      <c r="H229" s="16" t="str">
        <f>IF(ISNA(VLOOKUP(MID($A229,6,1),Kanji_2_HanViet!$A:$C,2,FALSE)),"",VLOOKUP(MID($A229,6,1),Kanji_2_HanViet!$A:$C,2,FALSE))</f>
        <v/>
      </c>
      <c r="I229" s="16" t="str">
        <f>IF(ISNA(VLOOKUP(MID($A229,7,1),Kanji_2_HanViet!$A:$C,2,FALSE)),"",VLOOKUP(MID($A229,7,1),Kanji_2_HanViet!$A:$C,2,FALSE))</f>
        <v/>
      </c>
      <c r="J229" s="16" t="str">
        <f>IF(ISNA(VLOOKUP(MID($A229,8,1),Kanji_2_HanViet!$A:$C,2,FALSE)),"",VLOOKUP(MID($A229,8,1),Kanji_2_HanViet!$A:$C,2,FALSE))</f>
        <v/>
      </c>
      <c r="K229" s="16" t="str">
        <f>IF(ISNA(VLOOKUP(MID($A229,9,1),Kanji_2_HanViet!$A:$C,2,FALSE)),"",VLOOKUP(MID($A229,9,1),Kanji_2_HanViet!$A:$C,2,FALSE))</f>
        <v/>
      </c>
    </row>
    <row r="230" spans="1:11">
      <c r="A230" s="14">
        <f>Master!B237</f>
        <v>0</v>
      </c>
      <c r="B230" s="17" t="str">
        <f t="shared" si="3"/>
        <v/>
      </c>
      <c r="C230" s="16" t="str">
        <f>IF(ISNA(VLOOKUP(MID($A230,1,1),Kanji_2_HanViet!$A:$C,2,FALSE)),"",VLOOKUP(MID($A230,1,1),Kanji_2_HanViet!$A:$C,2,FALSE))</f>
        <v/>
      </c>
      <c r="D230" s="16" t="str">
        <f>IF(ISNA(VLOOKUP(MID($A230,2,1),Kanji_2_HanViet!$A:$C,2,FALSE)),"",VLOOKUP(MID($A230,2,1),Kanji_2_HanViet!$A:$C,2,FALSE))</f>
        <v/>
      </c>
      <c r="E230" s="16" t="str">
        <f>IF(ISNA(VLOOKUP(MID($A230,3,1),Kanji_2_HanViet!$A:$C,2,FALSE)),"",VLOOKUP(MID($A230,3,1),Kanji_2_HanViet!$A:$C,2,FALSE))</f>
        <v/>
      </c>
      <c r="F230" s="16" t="str">
        <f>IF(ISNA(VLOOKUP(MID($A230,4,1),Kanji_2_HanViet!$A:$C,2,FALSE)),"",VLOOKUP(MID($A230,4,1),Kanji_2_HanViet!$A:$C,2,FALSE))</f>
        <v/>
      </c>
      <c r="G230" s="16" t="str">
        <f>IF(ISNA(VLOOKUP(MID($A230,5,1),Kanji_2_HanViet!$A:$C,2,FALSE)),"",VLOOKUP(MID($A230,5,1),Kanji_2_HanViet!$A:$C,2,FALSE))</f>
        <v/>
      </c>
      <c r="H230" s="16" t="str">
        <f>IF(ISNA(VLOOKUP(MID($A230,6,1),Kanji_2_HanViet!$A:$C,2,FALSE)),"",VLOOKUP(MID($A230,6,1),Kanji_2_HanViet!$A:$C,2,FALSE))</f>
        <v/>
      </c>
      <c r="I230" s="16" t="str">
        <f>IF(ISNA(VLOOKUP(MID($A230,7,1),Kanji_2_HanViet!$A:$C,2,FALSE)),"",VLOOKUP(MID($A230,7,1),Kanji_2_HanViet!$A:$C,2,FALSE))</f>
        <v/>
      </c>
      <c r="J230" s="16" t="str">
        <f>IF(ISNA(VLOOKUP(MID($A230,8,1),Kanji_2_HanViet!$A:$C,2,FALSE)),"",VLOOKUP(MID($A230,8,1),Kanji_2_HanViet!$A:$C,2,FALSE))</f>
        <v/>
      </c>
      <c r="K230" s="16" t="str">
        <f>IF(ISNA(VLOOKUP(MID($A230,9,1),Kanji_2_HanViet!$A:$C,2,FALSE)),"",VLOOKUP(MID($A230,9,1),Kanji_2_HanViet!$A:$C,2,FALSE))</f>
        <v/>
      </c>
    </row>
    <row r="231" spans="1:11">
      <c r="A231" s="14">
        <f>Master!B238</f>
        <v>0</v>
      </c>
      <c r="B231" s="17" t="str">
        <f t="shared" si="3"/>
        <v/>
      </c>
      <c r="C231" s="16" t="str">
        <f>IF(ISNA(VLOOKUP(MID($A231,1,1),Kanji_2_HanViet!$A:$C,2,FALSE)),"",VLOOKUP(MID($A231,1,1),Kanji_2_HanViet!$A:$C,2,FALSE))</f>
        <v/>
      </c>
      <c r="D231" s="16" t="str">
        <f>IF(ISNA(VLOOKUP(MID($A231,2,1),Kanji_2_HanViet!$A:$C,2,FALSE)),"",VLOOKUP(MID($A231,2,1),Kanji_2_HanViet!$A:$C,2,FALSE))</f>
        <v/>
      </c>
      <c r="E231" s="16" t="str">
        <f>IF(ISNA(VLOOKUP(MID($A231,3,1),Kanji_2_HanViet!$A:$C,2,FALSE)),"",VLOOKUP(MID($A231,3,1),Kanji_2_HanViet!$A:$C,2,FALSE))</f>
        <v/>
      </c>
      <c r="F231" s="16" t="str">
        <f>IF(ISNA(VLOOKUP(MID($A231,4,1),Kanji_2_HanViet!$A:$C,2,FALSE)),"",VLOOKUP(MID($A231,4,1),Kanji_2_HanViet!$A:$C,2,FALSE))</f>
        <v/>
      </c>
      <c r="G231" s="16" t="str">
        <f>IF(ISNA(VLOOKUP(MID($A231,5,1),Kanji_2_HanViet!$A:$C,2,FALSE)),"",VLOOKUP(MID($A231,5,1),Kanji_2_HanViet!$A:$C,2,FALSE))</f>
        <v/>
      </c>
      <c r="H231" s="16" t="str">
        <f>IF(ISNA(VLOOKUP(MID($A231,6,1),Kanji_2_HanViet!$A:$C,2,FALSE)),"",VLOOKUP(MID($A231,6,1),Kanji_2_HanViet!$A:$C,2,FALSE))</f>
        <v/>
      </c>
      <c r="I231" s="16" t="str">
        <f>IF(ISNA(VLOOKUP(MID($A231,7,1),Kanji_2_HanViet!$A:$C,2,FALSE)),"",VLOOKUP(MID($A231,7,1),Kanji_2_HanViet!$A:$C,2,FALSE))</f>
        <v/>
      </c>
      <c r="J231" s="16" t="str">
        <f>IF(ISNA(VLOOKUP(MID($A231,8,1),Kanji_2_HanViet!$A:$C,2,FALSE)),"",VLOOKUP(MID($A231,8,1),Kanji_2_HanViet!$A:$C,2,FALSE))</f>
        <v/>
      </c>
      <c r="K231" s="16" t="str">
        <f>IF(ISNA(VLOOKUP(MID($A231,9,1),Kanji_2_HanViet!$A:$C,2,FALSE)),"",VLOOKUP(MID($A231,9,1),Kanji_2_HanViet!$A:$C,2,FALSE))</f>
        <v/>
      </c>
    </row>
    <row r="232" spans="1:11">
      <c r="A232" s="14">
        <f>Master!B239</f>
        <v>0</v>
      </c>
      <c r="B232" s="17" t="str">
        <f t="shared" si="3"/>
        <v/>
      </c>
      <c r="C232" s="16" t="str">
        <f>IF(ISNA(VLOOKUP(MID($A232,1,1),Kanji_2_HanViet!$A:$C,2,FALSE)),"",VLOOKUP(MID($A232,1,1),Kanji_2_HanViet!$A:$C,2,FALSE))</f>
        <v/>
      </c>
      <c r="D232" s="16" t="str">
        <f>IF(ISNA(VLOOKUP(MID($A232,2,1),Kanji_2_HanViet!$A:$C,2,FALSE)),"",VLOOKUP(MID($A232,2,1),Kanji_2_HanViet!$A:$C,2,FALSE))</f>
        <v/>
      </c>
      <c r="E232" s="16" t="str">
        <f>IF(ISNA(VLOOKUP(MID($A232,3,1),Kanji_2_HanViet!$A:$C,2,FALSE)),"",VLOOKUP(MID($A232,3,1),Kanji_2_HanViet!$A:$C,2,FALSE))</f>
        <v/>
      </c>
      <c r="F232" s="16" t="str">
        <f>IF(ISNA(VLOOKUP(MID($A232,4,1),Kanji_2_HanViet!$A:$C,2,FALSE)),"",VLOOKUP(MID($A232,4,1),Kanji_2_HanViet!$A:$C,2,FALSE))</f>
        <v/>
      </c>
      <c r="G232" s="16" t="str">
        <f>IF(ISNA(VLOOKUP(MID($A232,5,1),Kanji_2_HanViet!$A:$C,2,FALSE)),"",VLOOKUP(MID($A232,5,1),Kanji_2_HanViet!$A:$C,2,FALSE))</f>
        <v/>
      </c>
      <c r="H232" s="16" t="str">
        <f>IF(ISNA(VLOOKUP(MID($A232,6,1),Kanji_2_HanViet!$A:$C,2,FALSE)),"",VLOOKUP(MID($A232,6,1),Kanji_2_HanViet!$A:$C,2,FALSE))</f>
        <v/>
      </c>
      <c r="I232" s="16" t="str">
        <f>IF(ISNA(VLOOKUP(MID($A232,7,1),Kanji_2_HanViet!$A:$C,2,FALSE)),"",VLOOKUP(MID($A232,7,1),Kanji_2_HanViet!$A:$C,2,FALSE))</f>
        <v/>
      </c>
      <c r="J232" s="16" t="str">
        <f>IF(ISNA(VLOOKUP(MID($A232,8,1),Kanji_2_HanViet!$A:$C,2,FALSE)),"",VLOOKUP(MID($A232,8,1),Kanji_2_HanViet!$A:$C,2,FALSE))</f>
        <v/>
      </c>
      <c r="K232" s="16" t="str">
        <f>IF(ISNA(VLOOKUP(MID($A232,9,1),Kanji_2_HanViet!$A:$C,2,FALSE)),"",VLOOKUP(MID($A232,9,1),Kanji_2_HanViet!$A:$C,2,FALSE))</f>
        <v/>
      </c>
    </row>
    <row r="233" spans="1:11">
      <c r="A233" s="14">
        <f>Master!B240</f>
        <v>0</v>
      </c>
      <c r="B233" s="17" t="str">
        <f t="shared" si="3"/>
        <v/>
      </c>
      <c r="C233" s="16" t="str">
        <f>IF(ISNA(VLOOKUP(MID($A233,1,1),Kanji_2_HanViet!$A:$C,2,FALSE)),"",VLOOKUP(MID($A233,1,1),Kanji_2_HanViet!$A:$C,2,FALSE))</f>
        <v/>
      </c>
      <c r="D233" s="16" t="str">
        <f>IF(ISNA(VLOOKUP(MID($A233,2,1),Kanji_2_HanViet!$A:$C,2,FALSE)),"",VLOOKUP(MID($A233,2,1),Kanji_2_HanViet!$A:$C,2,FALSE))</f>
        <v/>
      </c>
      <c r="E233" s="16" t="str">
        <f>IF(ISNA(VLOOKUP(MID($A233,3,1),Kanji_2_HanViet!$A:$C,2,FALSE)),"",VLOOKUP(MID($A233,3,1),Kanji_2_HanViet!$A:$C,2,FALSE))</f>
        <v/>
      </c>
      <c r="F233" s="16" t="str">
        <f>IF(ISNA(VLOOKUP(MID($A233,4,1),Kanji_2_HanViet!$A:$C,2,FALSE)),"",VLOOKUP(MID($A233,4,1),Kanji_2_HanViet!$A:$C,2,FALSE))</f>
        <v/>
      </c>
      <c r="G233" s="16" t="str">
        <f>IF(ISNA(VLOOKUP(MID($A233,5,1),Kanji_2_HanViet!$A:$C,2,FALSE)),"",VLOOKUP(MID($A233,5,1),Kanji_2_HanViet!$A:$C,2,FALSE))</f>
        <v/>
      </c>
      <c r="H233" s="16" t="str">
        <f>IF(ISNA(VLOOKUP(MID($A233,6,1),Kanji_2_HanViet!$A:$C,2,FALSE)),"",VLOOKUP(MID($A233,6,1),Kanji_2_HanViet!$A:$C,2,FALSE))</f>
        <v/>
      </c>
      <c r="I233" s="16" t="str">
        <f>IF(ISNA(VLOOKUP(MID($A233,7,1),Kanji_2_HanViet!$A:$C,2,FALSE)),"",VLOOKUP(MID($A233,7,1),Kanji_2_HanViet!$A:$C,2,FALSE))</f>
        <v/>
      </c>
      <c r="J233" s="16" t="str">
        <f>IF(ISNA(VLOOKUP(MID($A233,8,1),Kanji_2_HanViet!$A:$C,2,FALSE)),"",VLOOKUP(MID($A233,8,1),Kanji_2_HanViet!$A:$C,2,FALSE))</f>
        <v/>
      </c>
      <c r="K233" s="16" t="str">
        <f>IF(ISNA(VLOOKUP(MID($A233,9,1),Kanji_2_HanViet!$A:$C,2,FALSE)),"",VLOOKUP(MID($A233,9,1),Kanji_2_HanViet!$A:$C,2,FALSE))</f>
        <v/>
      </c>
    </row>
    <row r="234" spans="1:11">
      <c r="A234" s="14">
        <f>Master!B241</f>
        <v>0</v>
      </c>
      <c r="B234" s="17" t="str">
        <f t="shared" si="3"/>
        <v/>
      </c>
      <c r="C234" s="16" t="str">
        <f>IF(ISNA(VLOOKUP(MID($A234,1,1),Kanji_2_HanViet!$A:$C,2,FALSE)),"",VLOOKUP(MID($A234,1,1),Kanji_2_HanViet!$A:$C,2,FALSE))</f>
        <v/>
      </c>
      <c r="D234" s="16" t="str">
        <f>IF(ISNA(VLOOKUP(MID($A234,2,1),Kanji_2_HanViet!$A:$C,2,FALSE)),"",VLOOKUP(MID($A234,2,1),Kanji_2_HanViet!$A:$C,2,FALSE))</f>
        <v/>
      </c>
      <c r="E234" s="16" t="str">
        <f>IF(ISNA(VLOOKUP(MID($A234,3,1),Kanji_2_HanViet!$A:$C,2,FALSE)),"",VLOOKUP(MID($A234,3,1),Kanji_2_HanViet!$A:$C,2,FALSE))</f>
        <v/>
      </c>
      <c r="F234" s="16" t="str">
        <f>IF(ISNA(VLOOKUP(MID($A234,4,1),Kanji_2_HanViet!$A:$C,2,FALSE)),"",VLOOKUP(MID($A234,4,1),Kanji_2_HanViet!$A:$C,2,FALSE))</f>
        <v/>
      </c>
      <c r="G234" s="16" t="str">
        <f>IF(ISNA(VLOOKUP(MID($A234,5,1),Kanji_2_HanViet!$A:$C,2,FALSE)),"",VLOOKUP(MID($A234,5,1),Kanji_2_HanViet!$A:$C,2,FALSE))</f>
        <v/>
      </c>
      <c r="H234" s="16" t="str">
        <f>IF(ISNA(VLOOKUP(MID($A234,6,1),Kanji_2_HanViet!$A:$C,2,FALSE)),"",VLOOKUP(MID($A234,6,1),Kanji_2_HanViet!$A:$C,2,FALSE))</f>
        <v/>
      </c>
      <c r="I234" s="16" t="str">
        <f>IF(ISNA(VLOOKUP(MID($A234,7,1),Kanji_2_HanViet!$A:$C,2,FALSE)),"",VLOOKUP(MID($A234,7,1),Kanji_2_HanViet!$A:$C,2,FALSE))</f>
        <v/>
      </c>
      <c r="J234" s="16" t="str">
        <f>IF(ISNA(VLOOKUP(MID($A234,8,1),Kanji_2_HanViet!$A:$C,2,FALSE)),"",VLOOKUP(MID($A234,8,1),Kanji_2_HanViet!$A:$C,2,FALSE))</f>
        <v/>
      </c>
      <c r="K234" s="16" t="str">
        <f>IF(ISNA(VLOOKUP(MID($A234,9,1),Kanji_2_HanViet!$A:$C,2,FALSE)),"",VLOOKUP(MID($A234,9,1),Kanji_2_HanViet!$A:$C,2,FALSE))</f>
        <v/>
      </c>
    </row>
    <row r="235" spans="1:11">
      <c r="A235" s="14">
        <f>Master!B242</f>
        <v>0</v>
      </c>
      <c r="B235" s="17" t="str">
        <f t="shared" si="3"/>
        <v/>
      </c>
      <c r="C235" s="16" t="str">
        <f>IF(ISNA(VLOOKUP(MID($A235,1,1),Kanji_2_HanViet!$A:$C,2,FALSE)),"",VLOOKUP(MID($A235,1,1),Kanji_2_HanViet!$A:$C,2,FALSE))</f>
        <v/>
      </c>
      <c r="D235" s="16" t="str">
        <f>IF(ISNA(VLOOKUP(MID($A235,2,1),Kanji_2_HanViet!$A:$C,2,FALSE)),"",VLOOKUP(MID($A235,2,1),Kanji_2_HanViet!$A:$C,2,FALSE))</f>
        <v/>
      </c>
      <c r="E235" s="16" t="str">
        <f>IF(ISNA(VLOOKUP(MID($A235,3,1),Kanji_2_HanViet!$A:$C,2,FALSE)),"",VLOOKUP(MID($A235,3,1),Kanji_2_HanViet!$A:$C,2,FALSE))</f>
        <v/>
      </c>
      <c r="F235" s="16" t="str">
        <f>IF(ISNA(VLOOKUP(MID($A235,4,1),Kanji_2_HanViet!$A:$C,2,FALSE)),"",VLOOKUP(MID($A235,4,1),Kanji_2_HanViet!$A:$C,2,FALSE))</f>
        <v/>
      </c>
      <c r="G235" s="16" t="str">
        <f>IF(ISNA(VLOOKUP(MID($A235,5,1),Kanji_2_HanViet!$A:$C,2,FALSE)),"",VLOOKUP(MID($A235,5,1),Kanji_2_HanViet!$A:$C,2,FALSE))</f>
        <v/>
      </c>
      <c r="H235" s="16" t="str">
        <f>IF(ISNA(VLOOKUP(MID($A235,6,1),Kanji_2_HanViet!$A:$C,2,FALSE)),"",VLOOKUP(MID($A235,6,1),Kanji_2_HanViet!$A:$C,2,FALSE))</f>
        <v/>
      </c>
      <c r="I235" s="16" t="str">
        <f>IF(ISNA(VLOOKUP(MID($A235,7,1),Kanji_2_HanViet!$A:$C,2,FALSE)),"",VLOOKUP(MID($A235,7,1),Kanji_2_HanViet!$A:$C,2,FALSE))</f>
        <v/>
      </c>
      <c r="J235" s="16" t="str">
        <f>IF(ISNA(VLOOKUP(MID($A235,8,1),Kanji_2_HanViet!$A:$C,2,FALSE)),"",VLOOKUP(MID($A235,8,1),Kanji_2_HanViet!$A:$C,2,FALSE))</f>
        <v/>
      </c>
      <c r="K235" s="16" t="str">
        <f>IF(ISNA(VLOOKUP(MID($A235,9,1),Kanji_2_HanViet!$A:$C,2,FALSE)),"",VLOOKUP(MID($A235,9,1),Kanji_2_HanViet!$A:$C,2,FALSE))</f>
        <v/>
      </c>
    </row>
    <row r="236" spans="1:11">
      <c r="A236" s="14">
        <f>Master!B243</f>
        <v>0</v>
      </c>
      <c r="B236" s="17" t="str">
        <f t="shared" si="3"/>
        <v/>
      </c>
      <c r="C236" s="16" t="str">
        <f>IF(ISNA(VLOOKUP(MID($A236,1,1),Kanji_2_HanViet!$A:$C,2,FALSE)),"",VLOOKUP(MID($A236,1,1),Kanji_2_HanViet!$A:$C,2,FALSE))</f>
        <v/>
      </c>
      <c r="D236" s="16" t="str">
        <f>IF(ISNA(VLOOKUP(MID($A236,2,1),Kanji_2_HanViet!$A:$C,2,FALSE)),"",VLOOKUP(MID($A236,2,1),Kanji_2_HanViet!$A:$C,2,FALSE))</f>
        <v/>
      </c>
      <c r="E236" s="16" t="str">
        <f>IF(ISNA(VLOOKUP(MID($A236,3,1),Kanji_2_HanViet!$A:$C,2,FALSE)),"",VLOOKUP(MID($A236,3,1),Kanji_2_HanViet!$A:$C,2,FALSE))</f>
        <v/>
      </c>
      <c r="F236" s="16" t="str">
        <f>IF(ISNA(VLOOKUP(MID($A236,4,1),Kanji_2_HanViet!$A:$C,2,FALSE)),"",VLOOKUP(MID($A236,4,1),Kanji_2_HanViet!$A:$C,2,FALSE))</f>
        <v/>
      </c>
      <c r="G236" s="16" t="str">
        <f>IF(ISNA(VLOOKUP(MID($A236,5,1),Kanji_2_HanViet!$A:$C,2,FALSE)),"",VLOOKUP(MID($A236,5,1),Kanji_2_HanViet!$A:$C,2,FALSE))</f>
        <v/>
      </c>
      <c r="H236" s="16" t="str">
        <f>IF(ISNA(VLOOKUP(MID($A236,6,1),Kanji_2_HanViet!$A:$C,2,FALSE)),"",VLOOKUP(MID($A236,6,1),Kanji_2_HanViet!$A:$C,2,FALSE))</f>
        <v/>
      </c>
      <c r="I236" s="16" t="str">
        <f>IF(ISNA(VLOOKUP(MID($A236,7,1),Kanji_2_HanViet!$A:$C,2,FALSE)),"",VLOOKUP(MID($A236,7,1),Kanji_2_HanViet!$A:$C,2,FALSE))</f>
        <v/>
      </c>
      <c r="J236" s="16" t="str">
        <f>IF(ISNA(VLOOKUP(MID($A236,8,1),Kanji_2_HanViet!$A:$C,2,FALSE)),"",VLOOKUP(MID($A236,8,1),Kanji_2_HanViet!$A:$C,2,FALSE))</f>
        <v/>
      </c>
      <c r="K236" s="16" t="str">
        <f>IF(ISNA(VLOOKUP(MID($A236,9,1),Kanji_2_HanViet!$A:$C,2,FALSE)),"",VLOOKUP(MID($A236,9,1),Kanji_2_HanViet!$A:$C,2,FALSE))</f>
        <v/>
      </c>
    </row>
    <row r="237" spans="1:11">
      <c r="A237" s="14">
        <f>Master!B244</f>
        <v>0</v>
      </c>
      <c r="B237" s="17" t="str">
        <f t="shared" si="3"/>
        <v/>
      </c>
      <c r="C237" s="16" t="str">
        <f>IF(ISNA(VLOOKUP(MID($A237,1,1),Kanji_2_HanViet!$A:$C,2,FALSE)),"",VLOOKUP(MID($A237,1,1),Kanji_2_HanViet!$A:$C,2,FALSE))</f>
        <v/>
      </c>
      <c r="D237" s="16" t="str">
        <f>IF(ISNA(VLOOKUP(MID($A237,2,1),Kanji_2_HanViet!$A:$C,2,FALSE)),"",VLOOKUP(MID($A237,2,1),Kanji_2_HanViet!$A:$C,2,FALSE))</f>
        <v/>
      </c>
      <c r="E237" s="16" t="str">
        <f>IF(ISNA(VLOOKUP(MID($A237,3,1),Kanji_2_HanViet!$A:$C,2,FALSE)),"",VLOOKUP(MID($A237,3,1),Kanji_2_HanViet!$A:$C,2,FALSE))</f>
        <v/>
      </c>
      <c r="F237" s="16" t="str">
        <f>IF(ISNA(VLOOKUP(MID($A237,4,1),Kanji_2_HanViet!$A:$C,2,FALSE)),"",VLOOKUP(MID($A237,4,1),Kanji_2_HanViet!$A:$C,2,FALSE))</f>
        <v/>
      </c>
      <c r="G237" s="16" t="str">
        <f>IF(ISNA(VLOOKUP(MID($A237,5,1),Kanji_2_HanViet!$A:$C,2,FALSE)),"",VLOOKUP(MID($A237,5,1),Kanji_2_HanViet!$A:$C,2,FALSE))</f>
        <v/>
      </c>
      <c r="H237" s="16" t="str">
        <f>IF(ISNA(VLOOKUP(MID($A237,6,1),Kanji_2_HanViet!$A:$C,2,FALSE)),"",VLOOKUP(MID($A237,6,1),Kanji_2_HanViet!$A:$C,2,FALSE))</f>
        <v/>
      </c>
      <c r="I237" s="16" t="str">
        <f>IF(ISNA(VLOOKUP(MID($A237,7,1),Kanji_2_HanViet!$A:$C,2,FALSE)),"",VLOOKUP(MID($A237,7,1),Kanji_2_HanViet!$A:$C,2,FALSE))</f>
        <v/>
      </c>
      <c r="J237" s="16" t="str">
        <f>IF(ISNA(VLOOKUP(MID($A237,8,1),Kanji_2_HanViet!$A:$C,2,FALSE)),"",VLOOKUP(MID($A237,8,1),Kanji_2_HanViet!$A:$C,2,FALSE))</f>
        <v/>
      </c>
      <c r="K237" s="16" t="str">
        <f>IF(ISNA(VLOOKUP(MID($A237,9,1),Kanji_2_HanViet!$A:$C,2,FALSE)),"",VLOOKUP(MID($A237,9,1),Kanji_2_HanViet!$A:$C,2,FALSE))</f>
        <v/>
      </c>
    </row>
    <row r="238" spans="1:11">
      <c r="A238" s="14">
        <f>Master!B245</f>
        <v>0</v>
      </c>
      <c r="B238" s="17" t="str">
        <f t="shared" si="3"/>
        <v/>
      </c>
      <c r="C238" s="16" t="str">
        <f>IF(ISNA(VLOOKUP(MID($A238,1,1),Kanji_2_HanViet!$A:$C,2,FALSE)),"",VLOOKUP(MID($A238,1,1),Kanji_2_HanViet!$A:$C,2,FALSE))</f>
        <v/>
      </c>
      <c r="D238" s="16" t="str">
        <f>IF(ISNA(VLOOKUP(MID($A238,2,1),Kanji_2_HanViet!$A:$C,2,FALSE)),"",VLOOKUP(MID($A238,2,1),Kanji_2_HanViet!$A:$C,2,FALSE))</f>
        <v/>
      </c>
      <c r="E238" s="16" t="str">
        <f>IF(ISNA(VLOOKUP(MID($A238,3,1),Kanji_2_HanViet!$A:$C,2,FALSE)),"",VLOOKUP(MID($A238,3,1),Kanji_2_HanViet!$A:$C,2,FALSE))</f>
        <v/>
      </c>
      <c r="F238" s="16" t="str">
        <f>IF(ISNA(VLOOKUP(MID($A238,4,1),Kanji_2_HanViet!$A:$C,2,FALSE)),"",VLOOKUP(MID($A238,4,1),Kanji_2_HanViet!$A:$C,2,FALSE))</f>
        <v/>
      </c>
      <c r="G238" s="16" t="str">
        <f>IF(ISNA(VLOOKUP(MID($A238,5,1),Kanji_2_HanViet!$A:$C,2,FALSE)),"",VLOOKUP(MID($A238,5,1),Kanji_2_HanViet!$A:$C,2,FALSE))</f>
        <v/>
      </c>
      <c r="H238" s="16" t="str">
        <f>IF(ISNA(VLOOKUP(MID($A238,6,1),Kanji_2_HanViet!$A:$C,2,FALSE)),"",VLOOKUP(MID($A238,6,1),Kanji_2_HanViet!$A:$C,2,FALSE))</f>
        <v/>
      </c>
      <c r="I238" s="16" t="str">
        <f>IF(ISNA(VLOOKUP(MID($A238,7,1),Kanji_2_HanViet!$A:$C,2,FALSE)),"",VLOOKUP(MID($A238,7,1),Kanji_2_HanViet!$A:$C,2,FALSE))</f>
        <v/>
      </c>
      <c r="J238" s="16" t="str">
        <f>IF(ISNA(VLOOKUP(MID($A238,8,1),Kanji_2_HanViet!$A:$C,2,FALSE)),"",VLOOKUP(MID($A238,8,1),Kanji_2_HanViet!$A:$C,2,FALSE))</f>
        <v/>
      </c>
      <c r="K238" s="16" t="str">
        <f>IF(ISNA(VLOOKUP(MID($A238,9,1),Kanji_2_HanViet!$A:$C,2,FALSE)),"",VLOOKUP(MID($A238,9,1),Kanji_2_HanViet!$A:$C,2,FALSE))</f>
        <v/>
      </c>
    </row>
    <row r="239" spans="1:11">
      <c r="A239" s="14">
        <f>Master!B246</f>
        <v>0</v>
      </c>
      <c r="B239" s="17" t="str">
        <f t="shared" si="3"/>
        <v/>
      </c>
      <c r="C239" s="16" t="str">
        <f>IF(ISNA(VLOOKUP(MID($A239,1,1),Kanji_2_HanViet!$A:$C,2,FALSE)),"",VLOOKUP(MID($A239,1,1),Kanji_2_HanViet!$A:$C,2,FALSE))</f>
        <v/>
      </c>
      <c r="D239" s="16" t="str">
        <f>IF(ISNA(VLOOKUP(MID($A239,2,1),Kanji_2_HanViet!$A:$C,2,FALSE)),"",VLOOKUP(MID($A239,2,1),Kanji_2_HanViet!$A:$C,2,FALSE))</f>
        <v/>
      </c>
      <c r="E239" s="16" t="str">
        <f>IF(ISNA(VLOOKUP(MID($A239,3,1),Kanji_2_HanViet!$A:$C,2,FALSE)),"",VLOOKUP(MID($A239,3,1),Kanji_2_HanViet!$A:$C,2,FALSE))</f>
        <v/>
      </c>
      <c r="F239" s="16" t="str">
        <f>IF(ISNA(VLOOKUP(MID($A239,4,1),Kanji_2_HanViet!$A:$C,2,FALSE)),"",VLOOKUP(MID($A239,4,1),Kanji_2_HanViet!$A:$C,2,FALSE))</f>
        <v/>
      </c>
      <c r="G239" s="16" t="str">
        <f>IF(ISNA(VLOOKUP(MID($A239,5,1),Kanji_2_HanViet!$A:$C,2,FALSE)),"",VLOOKUP(MID($A239,5,1),Kanji_2_HanViet!$A:$C,2,FALSE))</f>
        <v/>
      </c>
      <c r="H239" s="16" t="str">
        <f>IF(ISNA(VLOOKUP(MID($A239,6,1),Kanji_2_HanViet!$A:$C,2,FALSE)),"",VLOOKUP(MID($A239,6,1),Kanji_2_HanViet!$A:$C,2,FALSE))</f>
        <v/>
      </c>
      <c r="I239" s="16" t="str">
        <f>IF(ISNA(VLOOKUP(MID($A239,7,1),Kanji_2_HanViet!$A:$C,2,FALSE)),"",VLOOKUP(MID($A239,7,1),Kanji_2_HanViet!$A:$C,2,FALSE))</f>
        <v/>
      </c>
      <c r="J239" s="16" t="str">
        <f>IF(ISNA(VLOOKUP(MID($A239,8,1),Kanji_2_HanViet!$A:$C,2,FALSE)),"",VLOOKUP(MID($A239,8,1),Kanji_2_HanViet!$A:$C,2,FALSE))</f>
        <v/>
      </c>
      <c r="K239" s="16" t="str">
        <f>IF(ISNA(VLOOKUP(MID($A239,9,1),Kanji_2_HanViet!$A:$C,2,FALSE)),"",VLOOKUP(MID($A239,9,1),Kanji_2_HanViet!$A:$C,2,FALSE))</f>
        <v/>
      </c>
    </row>
    <row r="240" spans="1:11">
      <c r="A240" s="14">
        <f>Master!B247</f>
        <v>0</v>
      </c>
      <c r="B240" s="17" t="str">
        <f t="shared" si="3"/>
        <v/>
      </c>
      <c r="C240" s="16" t="str">
        <f>IF(ISNA(VLOOKUP(MID($A240,1,1),Kanji_2_HanViet!$A:$C,2,FALSE)),"",VLOOKUP(MID($A240,1,1),Kanji_2_HanViet!$A:$C,2,FALSE))</f>
        <v/>
      </c>
      <c r="D240" s="16" t="str">
        <f>IF(ISNA(VLOOKUP(MID($A240,2,1),Kanji_2_HanViet!$A:$C,2,FALSE)),"",VLOOKUP(MID($A240,2,1),Kanji_2_HanViet!$A:$C,2,FALSE))</f>
        <v/>
      </c>
      <c r="E240" s="16" t="str">
        <f>IF(ISNA(VLOOKUP(MID($A240,3,1),Kanji_2_HanViet!$A:$C,2,FALSE)),"",VLOOKUP(MID($A240,3,1),Kanji_2_HanViet!$A:$C,2,FALSE))</f>
        <v/>
      </c>
      <c r="F240" s="16" t="str">
        <f>IF(ISNA(VLOOKUP(MID($A240,4,1),Kanji_2_HanViet!$A:$C,2,FALSE)),"",VLOOKUP(MID($A240,4,1),Kanji_2_HanViet!$A:$C,2,FALSE))</f>
        <v/>
      </c>
      <c r="G240" s="16" t="str">
        <f>IF(ISNA(VLOOKUP(MID($A240,5,1),Kanji_2_HanViet!$A:$C,2,FALSE)),"",VLOOKUP(MID($A240,5,1),Kanji_2_HanViet!$A:$C,2,FALSE))</f>
        <v/>
      </c>
      <c r="H240" s="16" t="str">
        <f>IF(ISNA(VLOOKUP(MID($A240,6,1),Kanji_2_HanViet!$A:$C,2,FALSE)),"",VLOOKUP(MID($A240,6,1),Kanji_2_HanViet!$A:$C,2,FALSE))</f>
        <v/>
      </c>
      <c r="I240" s="16" t="str">
        <f>IF(ISNA(VLOOKUP(MID($A240,7,1),Kanji_2_HanViet!$A:$C,2,FALSE)),"",VLOOKUP(MID($A240,7,1),Kanji_2_HanViet!$A:$C,2,FALSE))</f>
        <v/>
      </c>
      <c r="J240" s="16" t="str">
        <f>IF(ISNA(VLOOKUP(MID($A240,8,1),Kanji_2_HanViet!$A:$C,2,FALSE)),"",VLOOKUP(MID($A240,8,1),Kanji_2_HanViet!$A:$C,2,FALSE))</f>
        <v/>
      </c>
      <c r="K240" s="16" t="str">
        <f>IF(ISNA(VLOOKUP(MID($A240,9,1),Kanji_2_HanViet!$A:$C,2,FALSE)),"",VLOOKUP(MID($A240,9,1),Kanji_2_HanViet!$A:$C,2,FALSE))</f>
        <v/>
      </c>
    </row>
    <row r="241" spans="1:11">
      <c r="A241" s="14">
        <f>Master!B248</f>
        <v>0</v>
      </c>
      <c r="B241" s="17" t="str">
        <f t="shared" si="3"/>
        <v/>
      </c>
      <c r="C241" s="16" t="str">
        <f>IF(ISNA(VLOOKUP(MID($A241,1,1),Kanji_2_HanViet!$A:$C,2,FALSE)),"",VLOOKUP(MID($A241,1,1),Kanji_2_HanViet!$A:$C,2,FALSE))</f>
        <v/>
      </c>
      <c r="D241" s="16" t="str">
        <f>IF(ISNA(VLOOKUP(MID($A241,2,1),Kanji_2_HanViet!$A:$C,2,FALSE)),"",VLOOKUP(MID($A241,2,1),Kanji_2_HanViet!$A:$C,2,FALSE))</f>
        <v/>
      </c>
      <c r="E241" s="16" t="str">
        <f>IF(ISNA(VLOOKUP(MID($A241,3,1),Kanji_2_HanViet!$A:$C,2,FALSE)),"",VLOOKUP(MID($A241,3,1),Kanji_2_HanViet!$A:$C,2,FALSE))</f>
        <v/>
      </c>
      <c r="F241" s="16" t="str">
        <f>IF(ISNA(VLOOKUP(MID($A241,4,1),Kanji_2_HanViet!$A:$C,2,FALSE)),"",VLOOKUP(MID($A241,4,1),Kanji_2_HanViet!$A:$C,2,FALSE))</f>
        <v/>
      </c>
      <c r="G241" s="16" t="str">
        <f>IF(ISNA(VLOOKUP(MID($A241,5,1),Kanji_2_HanViet!$A:$C,2,FALSE)),"",VLOOKUP(MID($A241,5,1),Kanji_2_HanViet!$A:$C,2,FALSE))</f>
        <v/>
      </c>
      <c r="H241" s="16" t="str">
        <f>IF(ISNA(VLOOKUP(MID($A241,6,1),Kanji_2_HanViet!$A:$C,2,FALSE)),"",VLOOKUP(MID($A241,6,1),Kanji_2_HanViet!$A:$C,2,FALSE))</f>
        <v/>
      </c>
      <c r="I241" s="16" t="str">
        <f>IF(ISNA(VLOOKUP(MID($A241,7,1),Kanji_2_HanViet!$A:$C,2,FALSE)),"",VLOOKUP(MID($A241,7,1),Kanji_2_HanViet!$A:$C,2,FALSE))</f>
        <v/>
      </c>
      <c r="J241" s="16" t="str">
        <f>IF(ISNA(VLOOKUP(MID($A241,8,1),Kanji_2_HanViet!$A:$C,2,FALSE)),"",VLOOKUP(MID($A241,8,1),Kanji_2_HanViet!$A:$C,2,FALSE))</f>
        <v/>
      </c>
      <c r="K241" s="16" t="str">
        <f>IF(ISNA(VLOOKUP(MID($A241,9,1),Kanji_2_HanViet!$A:$C,2,FALSE)),"",VLOOKUP(MID($A241,9,1),Kanji_2_HanViet!$A:$C,2,FALSE))</f>
        <v/>
      </c>
    </row>
    <row r="242" spans="1:11">
      <c r="A242" s="14">
        <f>Master!B249</f>
        <v>0</v>
      </c>
      <c r="B242" s="17" t="str">
        <f t="shared" si="3"/>
        <v/>
      </c>
      <c r="C242" s="16" t="str">
        <f>IF(ISNA(VLOOKUP(MID($A242,1,1),Kanji_2_HanViet!$A:$C,2,FALSE)),"",VLOOKUP(MID($A242,1,1),Kanji_2_HanViet!$A:$C,2,FALSE))</f>
        <v/>
      </c>
      <c r="D242" s="16" t="str">
        <f>IF(ISNA(VLOOKUP(MID($A242,2,1),Kanji_2_HanViet!$A:$C,2,FALSE)),"",VLOOKUP(MID($A242,2,1),Kanji_2_HanViet!$A:$C,2,FALSE))</f>
        <v/>
      </c>
      <c r="E242" s="16" t="str">
        <f>IF(ISNA(VLOOKUP(MID($A242,3,1),Kanji_2_HanViet!$A:$C,2,FALSE)),"",VLOOKUP(MID($A242,3,1),Kanji_2_HanViet!$A:$C,2,FALSE))</f>
        <v/>
      </c>
      <c r="F242" s="16" t="str">
        <f>IF(ISNA(VLOOKUP(MID($A242,4,1),Kanji_2_HanViet!$A:$C,2,FALSE)),"",VLOOKUP(MID($A242,4,1),Kanji_2_HanViet!$A:$C,2,FALSE))</f>
        <v/>
      </c>
      <c r="G242" s="16" t="str">
        <f>IF(ISNA(VLOOKUP(MID($A242,5,1),Kanji_2_HanViet!$A:$C,2,FALSE)),"",VLOOKUP(MID($A242,5,1),Kanji_2_HanViet!$A:$C,2,FALSE))</f>
        <v/>
      </c>
      <c r="H242" s="16" t="str">
        <f>IF(ISNA(VLOOKUP(MID($A242,6,1),Kanji_2_HanViet!$A:$C,2,FALSE)),"",VLOOKUP(MID($A242,6,1),Kanji_2_HanViet!$A:$C,2,FALSE))</f>
        <v/>
      </c>
      <c r="I242" s="16" t="str">
        <f>IF(ISNA(VLOOKUP(MID($A242,7,1),Kanji_2_HanViet!$A:$C,2,FALSE)),"",VLOOKUP(MID($A242,7,1),Kanji_2_HanViet!$A:$C,2,FALSE))</f>
        <v/>
      </c>
      <c r="J242" s="16" t="str">
        <f>IF(ISNA(VLOOKUP(MID($A242,8,1),Kanji_2_HanViet!$A:$C,2,FALSE)),"",VLOOKUP(MID($A242,8,1),Kanji_2_HanViet!$A:$C,2,FALSE))</f>
        <v/>
      </c>
      <c r="K242" s="16" t="str">
        <f>IF(ISNA(VLOOKUP(MID($A242,9,1),Kanji_2_HanViet!$A:$C,2,FALSE)),"",VLOOKUP(MID($A242,9,1),Kanji_2_HanViet!$A:$C,2,FALSE))</f>
        <v/>
      </c>
    </row>
    <row r="243" spans="1:11">
      <c r="A243" s="14">
        <f>Master!B250</f>
        <v>0</v>
      </c>
      <c r="B243" s="17" t="str">
        <f t="shared" si="3"/>
        <v/>
      </c>
      <c r="C243" s="16" t="str">
        <f>IF(ISNA(VLOOKUP(MID($A243,1,1),Kanji_2_HanViet!$A:$C,2,FALSE)),"",VLOOKUP(MID($A243,1,1),Kanji_2_HanViet!$A:$C,2,FALSE))</f>
        <v/>
      </c>
      <c r="D243" s="16" t="str">
        <f>IF(ISNA(VLOOKUP(MID($A243,2,1),Kanji_2_HanViet!$A:$C,2,FALSE)),"",VLOOKUP(MID($A243,2,1),Kanji_2_HanViet!$A:$C,2,FALSE))</f>
        <v/>
      </c>
      <c r="E243" s="16" t="str">
        <f>IF(ISNA(VLOOKUP(MID($A243,3,1),Kanji_2_HanViet!$A:$C,2,FALSE)),"",VLOOKUP(MID($A243,3,1),Kanji_2_HanViet!$A:$C,2,FALSE))</f>
        <v/>
      </c>
      <c r="F243" s="16" t="str">
        <f>IF(ISNA(VLOOKUP(MID($A243,4,1),Kanji_2_HanViet!$A:$C,2,FALSE)),"",VLOOKUP(MID($A243,4,1),Kanji_2_HanViet!$A:$C,2,FALSE))</f>
        <v/>
      </c>
      <c r="G243" s="16" t="str">
        <f>IF(ISNA(VLOOKUP(MID($A243,5,1),Kanji_2_HanViet!$A:$C,2,FALSE)),"",VLOOKUP(MID($A243,5,1),Kanji_2_HanViet!$A:$C,2,FALSE))</f>
        <v/>
      </c>
      <c r="H243" s="16" t="str">
        <f>IF(ISNA(VLOOKUP(MID($A243,6,1),Kanji_2_HanViet!$A:$C,2,FALSE)),"",VLOOKUP(MID($A243,6,1),Kanji_2_HanViet!$A:$C,2,FALSE))</f>
        <v/>
      </c>
      <c r="I243" s="16" t="str">
        <f>IF(ISNA(VLOOKUP(MID($A243,7,1),Kanji_2_HanViet!$A:$C,2,FALSE)),"",VLOOKUP(MID($A243,7,1),Kanji_2_HanViet!$A:$C,2,FALSE))</f>
        <v/>
      </c>
      <c r="J243" s="16" t="str">
        <f>IF(ISNA(VLOOKUP(MID($A243,8,1),Kanji_2_HanViet!$A:$C,2,FALSE)),"",VLOOKUP(MID($A243,8,1),Kanji_2_HanViet!$A:$C,2,FALSE))</f>
        <v/>
      </c>
      <c r="K243" s="16" t="str">
        <f>IF(ISNA(VLOOKUP(MID($A243,9,1),Kanji_2_HanViet!$A:$C,2,FALSE)),"",VLOOKUP(MID($A243,9,1),Kanji_2_HanViet!$A:$C,2,FALSE))</f>
        <v/>
      </c>
    </row>
    <row r="244" spans="1:11">
      <c r="A244" s="14">
        <f>Master!B251</f>
        <v>0</v>
      </c>
      <c r="B244" s="17" t="str">
        <f t="shared" si="3"/>
        <v/>
      </c>
      <c r="C244" s="16" t="str">
        <f>IF(ISNA(VLOOKUP(MID($A244,1,1),Kanji_2_HanViet!$A:$C,2,FALSE)),"",VLOOKUP(MID($A244,1,1),Kanji_2_HanViet!$A:$C,2,FALSE))</f>
        <v/>
      </c>
      <c r="D244" s="16" t="str">
        <f>IF(ISNA(VLOOKUP(MID($A244,2,1),Kanji_2_HanViet!$A:$C,2,FALSE)),"",VLOOKUP(MID($A244,2,1),Kanji_2_HanViet!$A:$C,2,FALSE))</f>
        <v/>
      </c>
      <c r="E244" s="16" t="str">
        <f>IF(ISNA(VLOOKUP(MID($A244,3,1),Kanji_2_HanViet!$A:$C,2,FALSE)),"",VLOOKUP(MID($A244,3,1),Kanji_2_HanViet!$A:$C,2,FALSE))</f>
        <v/>
      </c>
      <c r="F244" s="16" t="str">
        <f>IF(ISNA(VLOOKUP(MID($A244,4,1),Kanji_2_HanViet!$A:$C,2,FALSE)),"",VLOOKUP(MID($A244,4,1),Kanji_2_HanViet!$A:$C,2,FALSE))</f>
        <v/>
      </c>
      <c r="G244" s="16" t="str">
        <f>IF(ISNA(VLOOKUP(MID($A244,5,1),Kanji_2_HanViet!$A:$C,2,FALSE)),"",VLOOKUP(MID($A244,5,1),Kanji_2_HanViet!$A:$C,2,FALSE))</f>
        <v/>
      </c>
      <c r="H244" s="16" t="str">
        <f>IF(ISNA(VLOOKUP(MID($A244,6,1),Kanji_2_HanViet!$A:$C,2,FALSE)),"",VLOOKUP(MID($A244,6,1),Kanji_2_HanViet!$A:$C,2,FALSE))</f>
        <v/>
      </c>
      <c r="I244" s="16" t="str">
        <f>IF(ISNA(VLOOKUP(MID($A244,7,1),Kanji_2_HanViet!$A:$C,2,FALSE)),"",VLOOKUP(MID($A244,7,1),Kanji_2_HanViet!$A:$C,2,FALSE))</f>
        <v/>
      </c>
      <c r="J244" s="16" t="str">
        <f>IF(ISNA(VLOOKUP(MID($A244,8,1),Kanji_2_HanViet!$A:$C,2,FALSE)),"",VLOOKUP(MID($A244,8,1),Kanji_2_HanViet!$A:$C,2,FALSE))</f>
        <v/>
      </c>
      <c r="K244" s="16" t="str">
        <f>IF(ISNA(VLOOKUP(MID($A244,9,1),Kanji_2_HanViet!$A:$C,2,FALSE)),"",VLOOKUP(MID($A244,9,1),Kanji_2_HanViet!$A:$C,2,FALSE))</f>
        <v/>
      </c>
    </row>
    <row r="245" spans="1:11">
      <c r="A245" s="14">
        <f>Master!B252</f>
        <v>0</v>
      </c>
      <c r="B245" s="17" t="str">
        <f t="shared" si="3"/>
        <v/>
      </c>
      <c r="C245" s="16" t="str">
        <f>IF(ISNA(VLOOKUP(MID($A245,1,1),Kanji_2_HanViet!$A:$C,2,FALSE)),"",VLOOKUP(MID($A245,1,1),Kanji_2_HanViet!$A:$C,2,FALSE))</f>
        <v/>
      </c>
      <c r="D245" s="16" t="str">
        <f>IF(ISNA(VLOOKUP(MID($A245,2,1),Kanji_2_HanViet!$A:$C,2,FALSE)),"",VLOOKUP(MID($A245,2,1),Kanji_2_HanViet!$A:$C,2,FALSE))</f>
        <v/>
      </c>
      <c r="E245" s="16" t="str">
        <f>IF(ISNA(VLOOKUP(MID($A245,3,1),Kanji_2_HanViet!$A:$C,2,FALSE)),"",VLOOKUP(MID($A245,3,1),Kanji_2_HanViet!$A:$C,2,FALSE))</f>
        <v/>
      </c>
      <c r="F245" s="16" t="str">
        <f>IF(ISNA(VLOOKUP(MID($A245,4,1),Kanji_2_HanViet!$A:$C,2,FALSE)),"",VLOOKUP(MID($A245,4,1),Kanji_2_HanViet!$A:$C,2,FALSE))</f>
        <v/>
      </c>
      <c r="G245" s="16" t="str">
        <f>IF(ISNA(VLOOKUP(MID($A245,5,1),Kanji_2_HanViet!$A:$C,2,FALSE)),"",VLOOKUP(MID($A245,5,1),Kanji_2_HanViet!$A:$C,2,FALSE))</f>
        <v/>
      </c>
      <c r="H245" s="16" t="str">
        <f>IF(ISNA(VLOOKUP(MID($A245,6,1),Kanji_2_HanViet!$A:$C,2,FALSE)),"",VLOOKUP(MID($A245,6,1),Kanji_2_HanViet!$A:$C,2,FALSE))</f>
        <v/>
      </c>
      <c r="I245" s="16" t="str">
        <f>IF(ISNA(VLOOKUP(MID($A245,7,1),Kanji_2_HanViet!$A:$C,2,FALSE)),"",VLOOKUP(MID($A245,7,1),Kanji_2_HanViet!$A:$C,2,FALSE))</f>
        <v/>
      </c>
      <c r="J245" s="16" t="str">
        <f>IF(ISNA(VLOOKUP(MID($A245,8,1),Kanji_2_HanViet!$A:$C,2,FALSE)),"",VLOOKUP(MID($A245,8,1),Kanji_2_HanViet!$A:$C,2,FALSE))</f>
        <v/>
      </c>
      <c r="K245" s="16" t="str">
        <f>IF(ISNA(VLOOKUP(MID($A245,9,1),Kanji_2_HanViet!$A:$C,2,FALSE)),"",VLOOKUP(MID($A245,9,1),Kanji_2_HanViet!$A:$C,2,FALSE))</f>
        <v/>
      </c>
    </row>
    <row r="246" spans="1:11">
      <c r="A246" s="14">
        <f>Master!B253</f>
        <v>0</v>
      </c>
      <c r="B246" s="17" t="str">
        <f t="shared" si="3"/>
        <v/>
      </c>
      <c r="C246" s="16" t="str">
        <f>IF(ISNA(VLOOKUP(MID($A246,1,1),Kanji_2_HanViet!$A:$C,2,FALSE)),"",VLOOKUP(MID($A246,1,1),Kanji_2_HanViet!$A:$C,2,FALSE))</f>
        <v/>
      </c>
      <c r="D246" s="16" t="str">
        <f>IF(ISNA(VLOOKUP(MID($A246,2,1),Kanji_2_HanViet!$A:$C,2,FALSE)),"",VLOOKUP(MID($A246,2,1),Kanji_2_HanViet!$A:$C,2,FALSE))</f>
        <v/>
      </c>
      <c r="E246" s="16" t="str">
        <f>IF(ISNA(VLOOKUP(MID($A246,3,1),Kanji_2_HanViet!$A:$C,2,FALSE)),"",VLOOKUP(MID($A246,3,1),Kanji_2_HanViet!$A:$C,2,FALSE))</f>
        <v/>
      </c>
      <c r="F246" s="16" t="str">
        <f>IF(ISNA(VLOOKUP(MID($A246,4,1),Kanji_2_HanViet!$A:$C,2,FALSE)),"",VLOOKUP(MID($A246,4,1),Kanji_2_HanViet!$A:$C,2,FALSE))</f>
        <v/>
      </c>
      <c r="G246" s="16" t="str">
        <f>IF(ISNA(VLOOKUP(MID($A246,5,1),Kanji_2_HanViet!$A:$C,2,FALSE)),"",VLOOKUP(MID($A246,5,1),Kanji_2_HanViet!$A:$C,2,FALSE))</f>
        <v/>
      </c>
      <c r="H246" s="16" t="str">
        <f>IF(ISNA(VLOOKUP(MID($A246,6,1),Kanji_2_HanViet!$A:$C,2,FALSE)),"",VLOOKUP(MID($A246,6,1),Kanji_2_HanViet!$A:$C,2,FALSE))</f>
        <v/>
      </c>
      <c r="I246" s="16" t="str">
        <f>IF(ISNA(VLOOKUP(MID($A246,7,1),Kanji_2_HanViet!$A:$C,2,FALSE)),"",VLOOKUP(MID($A246,7,1),Kanji_2_HanViet!$A:$C,2,FALSE))</f>
        <v/>
      </c>
      <c r="J246" s="16" t="str">
        <f>IF(ISNA(VLOOKUP(MID($A246,8,1),Kanji_2_HanViet!$A:$C,2,FALSE)),"",VLOOKUP(MID($A246,8,1),Kanji_2_HanViet!$A:$C,2,FALSE))</f>
        <v/>
      </c>
      <c r="K246" s="16" t="str">
        <f>IF(ISNA(VLOOKUP(MID($A246,9,1),Kanji_2_HanViet!$A:$C,2,FALSE)),"",VLOOKUP(MID($A246,9,1),Kanji_2_HanViet!$A:$C,2,FALSE))</f>
        <v/>
      </c>
    </row>
    <row r="247" spans="1:11">
      <c r="A247" s="14">
        <f>Master!B254</f>
        <v>0</v>
      </c>
      <c r="B247" s="17" t="str">
        <f t="shared" si="3"/>
        <v/>
      </c>
      <c r="C247" s="16" t="str">
        <f>IF(ISNA(VLOOKUP(MID($A247,1,1),Kanji_2_HanViet!$A:$C,2,FALSE)),"",VLOOKUP(MID($A247,1,1),Kanji_2_HanViet!$A:$C,2,FALSE))</f>
        <v/>
      </c>
      <c r="D247" s="16" t="str">
        <f>IF(ISNA(VLOOKUP(MID($A247,2,1),Kanji_2_HanViet!$A:$C,2,FALSE)),"",VLOOKUP(MID($A247,2,1),Kanji_2_HanViet!$A:$C,2,FALSE))</f>
        <v/>
      </c>
      <c r="E247" s="16" t="str">
        <f>IF(ISNA(VLOOKUP(MID($A247,3,1),Kanji_2_HanViet!$A:$C,2,FALSE)),"",VLOOKUP(MID($A247,3,1),Kanji_2_HanViet!$A:$C,2,FALSE))</f>
        <v/>
      </c>
      <c r="F247" s="16" t="str">
        <f>IF(ISNA(VLOOKUP(MID($A247,4,1),Kanji_2_HanViet!$A:$C,2,FALSE)),"",VLOOKUP(MID($A247,4,1),Kanji_2_HanViet!$A:$C,2,FALSE))</f>
        <v/>
      </c>
      <c r="G247" s="16" t="str">
        <f>IF(ISNA(VLOOKUP(MID($A247,5,1),Kanji_2_HanViet!$A:$C,2,FALSE)),"",VLOOKUP(MID($A247,5,1),Kanji_2_HanViet!$A:$C,2,FALSE))</f>
        <v/>
      </c>
      <c r="H247" s="16" t="str">
        <f>IF(ISNA(VLOOKUP(MID($A247,6,1),Kanji_2_HanViet!$A:$C,2,FALSE)),"",VLOOKUP(MID($A247,6,1),Kanji_2_HanViet!$A:$C,2,FALSE))</f>
        <v/>
      </c>
      <c r="I247" s="16" t="str">
        <f>IF(ISNA(VLOOKUP(MID($A247,7,1),Kanji_2_HanViet!$A:$C,2,FALSE)),"",VLOOKUP(MID($A247,7,1),Kanji_2_HanViet!$A:$C,2,FALSE))</f>
        <v/>
      </c>
      <c r="J247" s="16" t="str">
        <f>IF(ISNA(VLOOKUP(MID($A247,8,1),Kanji_2_HanViet!$A:$C,2,FALSE)),"",VLOOKUP(MID($A247,8,1),Kanji_2_HanViet!$A:$C,2,FALSE))</f>
        <v/>
      </c>
      <c r="K247" s="16" t="str">
        <f>IF(ISNA(VLOOKUP(MID($A247,9,1),Kanji_2_HanViet!$A:$C,2,FALSE)),"",VLOOKUP(MID($A247,9,1),Kanji_2_HanViet!$A:$C,2,FALSE))</f>
        <v/>
      </c>
    </row>
    <row r="248" spans="1:11">
      <c r="A248" s="14">
        <f>Master!B255</f>
        <v>0</v>
      </c>
      <c r="B248" s="17" t="str">
        <f t="shared" si="3"/>
        <v/>
      </c>
      <c r="C248" s="16" t="str">
        <f>IF(ISNA(VLOOKUP(MID($A248,1,1),Kanji_2_HanViet!$A:$C,2,FALSE)),"",VLOOKUP(MID($A248,1,1),Kanji_2_HanViet!$A:$C,2,FALSE))</f>
        <v/>
      </c>
      <c r="D248" s="16" t="str">
        <f>IF(ISNA(VLOOKUP(MID($A248,2,1),Kanji_2_HanViet!$A:$C,2,FALSE)),"",VLOOKUP(MID($A248,2,1),Kanji_2_HanViet!$A:$C,2,FALSE))</f>
        <v/>
      </c>
      <c r="E248" s="16" t="str">
        <f>IF(ISNA(VLOOKUP(MID($A248,3,1),Kanji_2_HanViet!$A:$C,2,FALSE)),"",VLOOKUP(MID($A248,3,1),Kanji_2_HanViet!$A:$C,2,FALSE))</f>
        <v/>
      </c>
      <c r="F248" s="16" t="str">
        <f>IF(ISNA(VLOOKUP(MID($A248,4,1),Kanji_2_HanViet!$A:$C,2,FALSE)),"",VLOOKUP(MID($A248,4,1),Kanji_2_HanViet!$A:$C,2,FALSE))</f>
        <v/>
      </c>
      <c r="G248" s="16" t="str">
        <f>IF(ISNA(VLOOKUP(MID($A248,5,1),Kanji_2_HanViet!$A:$C,2,FALSE)),"",VLOOKUP(MID($A248,5,1),Kanji_2_HanViet!$A:$C,2,FALSE))</f>
        <v/>
      </c>
      <c r="H248" s="16" t="str">
        <f>IF(ISNA(VLOOKUP(MID($A248,6,1),Kanji_2_HanViet!$A:$C,2,FALSE)),"",VLOOKUP(MID($A248,6,1),Kanji_2_HanViet!$A:$C,2,FALSE))</f>
        <v/>
      </c>
      <c r="I248" s="16" t="str">
        <f>IF(ISNA(VLOOKUP(MID($A248,7,1),Kanji_2_HanViet!$A:$C,2,FALSE)),"",VLOOKUP(MID($A248,7,1),Kanji_2_HanViet!$A:$C,2,FALSE))</f>
        <v/>
      </c>
      <c r="J248" s="16" t="str">
        <f>IF(ISNA(VLOOKUP(MID($A248,8,1),Kanji_2_HanViet!$A:$C,2,FALSE)),"",VLOOKUP(MID($A248,8,1),Kanji_2_HanViet!$A:$C,2,FALSE))</f>
        <v/>
      </c>
      <c r="K248" s="16" t="str">
        <f>IF(ISNA(VLOOKUP(MID($A248,9,1),Kanji_2_HanViet!$A:$C,2,FALSE)),"",VLOOKUP(MID($A248,9,1),Kanji_2_HanViet!$A:$C,2,FALSE))</f>
        <v/>
      </c>
    </row>
    <row r="249" spans="1:11">
      <c r="A249" s="14">
        <f>Master!B256</f>
        <v>0</v>
      </c>
      <c r="B249" s="17" t="str">
        <f t="shared" si="3"/>
        <v/>
      </c>
      <c r="C249" s="16" t="str">
        <f>IF(ISNA(VLOOKUP(MID($A249,1,1),Kanji_2_HanViet!$A:$C,2,FALSE)),"",VLOOKUP(MID($A249,1,1),Kanji_2_HanViet!$A:$C,2,FALSE))</f>
        <v/>
      </c>
      <c r="D249" s="16" t="str">
        <f>IF(ISNA(VLOOKUP(MID($A249,2,1),Kanji_2_HanViet!$A:$C,2,FALSE)),"",VLOOKUP(MID($A249,2,1),Kanji_2_HanViet!$A:$C,2,FALSE))</f>
        <v/>
      </c>
      <c r="E249" s="16" t="str">
        <f>IF(ISNA(VLOOKUP(MID($A249,3,1),Kanji_2_HanViet!$A:$C,2,FALSE)),"",VLOOKUP(MID($A249,3,1),Kanji_2_HanViet!$A:$C,2,FALSE))</f>
        <v/>
      </c>
      <c r="F249" s="16" t="str">
        <f>IF(ISNA(VLOOKUP(MID($A249,4,1),Kanji_2_HanViet!$A:$C,2,FALSE)),"",VLOOKUP(MID($A249,4,1),Kanji_2_HanViet!$A:$C,2,FALSE))</f>
        <v/>
      </c>
      <c r="G249" s="16" t="str">
        <f>IF(ISNA(VLOOKUP(MID($A249,5,1),Kanji_2_HanViet!$A:$C,2,FALSE)),"",VLOOKUP(MID($A249,5,1),Kanji_2_HanViet!$A:$C,2,FALSE))</f>
        <v/>
      </c>
      <c r="H249" s="16" t="str">
        <f>IF(ISNA(VLOOKUP(MID($A249,6,1),Kanji_2_HanViet!$A:$C,2,FALSE)),"",VLOOKUP(MID($A249,6,1),Kanji_2_HanViet!$A:$C,2,FALSE))</f>
        <v/>
      </c>
      <c r="I249" s="16" t="str">
        <f>IF(ISNA(VLOOKUP(MID($A249,7,1),Kanji_2_HanViet!$A:$C,2,FALSE)),"",VLOOKUP(MID($A249,7,1),Kanji_2_HanViet!$A:$C,2,FALSE))</f>
        <v/>
      </c>
      <c r="J249" s="16" t="str">
        <f>IF(ISNA(VLOOKUP(MID($A249,8,1),Kanji_2_HanViet!$A:$C,2,FALSE)),"",VLOOKUP(MID($A249,8,1),Kanji_2_HanViet!$A:$C,2,FALSE))</f>
        <v/>
      </c>
      <c r="K249" s="16" t="str">
        <f>IF(ISNA(VLOOKUP(MID($A249,9,1),Kanji_2_HanViet!$A:$C,2,FALSE)),"",VLOOKUP(MID($A249,9,1),Kanji_2_HanViet!$A:$C,2,FALSE))</f>
        <v/>
      </c>
    </row>
    <row r="250" spans="1:11">
      <c r="A250" s="14">
        <f>Master!B257</f>
        <v>0</v>
      </c>
      <c r="B250" s="17" t="str">
        <f t="shared" si="3"/>
        <v/>
      </c>
      <c r="C250" s="16" t="str">
        <f>IF(ISNA(VLOOKUP(MID($A250,1,1),Kanji_2_HanViet!$A:$C,2,FALSE)),"",VLOOKUP(MID($A250,1,1),Kanji_2_HanViet!$A:$C,2,FALSE))</f>
        <v/>
      </c>
      <c r="D250" s="16" t="str">
        <f>IF(ISNA(VLOOKUP(MID($A250,2,1),Kanji_2_HanViet!$A:$C,2,FALSE)),"",VLOOKUP(MID($A250,2,1),Kanji_2_HanViet!$A:$C,2,FALSE))</f>
        <v/>
      </c>
      <c r="E250" s="16" t="str">
        <f>IF(ISNA(VLOOKUP(MID($A250,3,1),Kanji_2_HanViet!$A:$C,2,FALSE)),"",VLOOKUP(MID($A250,3,1),Kanji_2_HanViet!$A:$C,2,FALSE))</f>
        <v/>
      </c>
      <c r="F250" s="16" t="str">
        <f>IF(ISNA(VLOOKUP(MID($A250,4,1),Kanji_2_HanViet!$A:$C,2,FALSE)),"",VLOOKUP(MID($A250,4,1),Kanji_2_HanViet!$A:$C,2,FALSE))</f>
        <v/>
      </c>
      <c r="G250" s="16" t="str">
        <f>IF(ISNA(VLOOKUP(MID($A250,5,1),Kanji_2_HanViet!$A:$C,2,FALSE)),"",VLOOKUP(MID($A250,5,1),Kanji_2_HanViet!$A:$C,2,FALSE))</f>
        <v/>
      </c>
      <c r="H250" s="16" t="str">
        <f>IF(ISNA(VLOOKUP(MID($A250,6,1),Kanji_2_HanViet!$A:$C,2,FALSE)),"",VLOOKUP(MID($A250,6,1),Kanji_2_HanViet!$A:$C,2,FALSE))</f>
        <v/>
      </c>
      <c r="I250" s="16" t="str">
        <f>IF(ISNA(VLOOKUP(MID($A250,7,1),Kanji_2_HanViet!$A:$C,2,FALSE)),"",VLOOKUP(MID($A250,7,1),Kanji_2_HanViet!$A:$C,2,FALSE))</f>
        <v/>
      </c>
      <c r="J250" s="16" t="str">
        <f>IF(ISNA(VLOOKUP(MID($A250,8,1),Kanji_2_HanViet!$A:$C,2,FALSE)),"",VLOOKUP(MID($A250,8,1),Kanji_2_HanViet!$A:$C,2,FALSE))</f>
        <v/>
      </c>
      <c r="K250" s="16" t="str">
        <f>IF(ISNA(VLOOKUP(MID($A250,9,1),Kanji_2_HanViet!$A:$C,2,FALSE)),"",VLOOKUP(MID($A250,9,1),Kanji_2_HanViet!$A:$C,2,FALSE))</f>
        <v/>
      </c>
    </row>
    <row r="251" spans="1:11">
      <c r="A251" s="14">
        <f>Master!B258</f>
        <v>0</v>
      </c>
      <c r="B251" s="17" t="str">
        <f t="shared" si="3"/>
        <v/>
      </c>
      <c r="C251" s="16" t="str">
        <f>IF(ISNA(VLOOKUP(MID($A251,1,1),Kanji_2_HanViet!$A:$C,2,FALSE)),"",VLOOKUP(MID($A251,1,1),Kanji_2_HanViet!$A:$C,2,FALSE))</f>
        <v/>
      </c>
      <c r="D251" s="16" t="str">
        <f>IF(ISNA(VLOOKUP(MID($A251,2,1),Kanji_2_HanViet!$A:$C,2,FALSE)),"",VLOOKUP(MID($A251,2,1),Kanji_2_HanViet!$A:$C,2,FALSE))</f>
        <v/>
      </c>
      <c r="E251" s="16" t="str">
        <f>IF(ISNA(VLOOKUP(MID($A251,3,1),Kanji_2_HanViet!$A:$C,2,FALSE)),"",VLOOKUP(MID($A251,3,1),Kanji_2_HanViet!$A:$C,2,FALSE))</f>
        <v/>
      </c>
      <c r="F251" s="16" t="str">
        <f>IF(ISNA(VLOOKUP(MID($A251,4,1),Kanji_2_HanViet!$A:$C,2,FALSE)),"",VLOOKUP(MID($A251,4,1),Kanji_2_HanViet!$A:$C,2,FALSE))</f>
        <v/>
      </c>
      <c r="G251" s="16" t="str">
        <f>IF(ISNA(VLOOKUP(MID($A251,5,1),Kanji_2_HanViet!$A:$C,2,FALSE)),"",VLOOKUP(MID($A251,5,1),Kanji_2_HanViet!$A:$C,2,FALSE))</f>
        <v/>
      </c>
      <c r="H251" s="16" t="str">
        <f>IF(ISNA(VLOOKUP(MID($A251,6,1),Kanji_2_HanViet!$A:$C,2,FALSE)),"",VLOOKUP(MID($A251,6,1),Kanji_2_HanViet!$A:$C,2,FALSE))</f>
        <v/>
      </c>
      <c r="I251" s="16" t="str">
        <f>IF(ISNA(VLOOKUP(MID($A251,7,1),Kanji_2_HanViet!$A:$C,2,FALSE)),"",VLOOKUP(MID($A251,7,1),Kanji_2_HanViet!$A:$C,2,FALSE))</f>
        <v/>
      </c>
      <c r="J251" s="16" t="str">
        <f>IF(ISNA(VLOOKUP(MID($A251,8,1),Kanji_2_HanViet!$A:$C,2,FALSE)),"",VLOOKUP(MID($A251,8,1),Kanji_2_HanViet!$A:$C,2,FALSE))</f>
        <v/>
      </c>
      <c r="K251" s="16" t="str">
        <f>IF(ISNA(VLOOKUP(MID($A251,9,1),Kanji_2_HanViet!$A:$C,2,FALSE)),"",VLOOKUP(MID($A251,9,1),Kanji_2_HanViet!$A:$C,2,FALSE))</f>
        <v/>
      </c>
    </row>
  </sheetData>
  <phoneticPr fontId="5"/>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661E17-0E90-4807-BCC4-6706FD355F5A}">
  <sheetPr codeName="Sheet13"/>
  <dimension ref="A1:K4279"/>
  <sheetViews>
    <sheetView workbookViewId="0">
      <selection activeCell="G4163" sqref="G4163"/>
    </sheetView>
  </sheetViews>
  <sheetFormatPr defaultColWidth="8" defaultRowHeight="18.75"/>
  <cols>
    <col min="1" max="1" width="5" style="4" customWidth="1"/>
    <col min="2" max="2" width="8.875" style="6" customWidth="1"/>
    <col min="3" max="3" width="6.25" style="4" bestFit="1" customWidth="1"/>
    <col min="4" max="4" width="5.25" style="4" bestFit="1" customWidth="1"/>
    <col min="5" max="5" width="9.75" style="4" customWidth="1"/>
    <col min="6" max="7" width="12.25" style="4" customWidth="1"/>
    <col min="8" max="8" width="8" style="4" customWidth="1"/>
    <col min="9" max="9" width="8.875" style="4" customWidth="1"/>
    <col min="10" max="256" width="8" style="4"/>
    <col min="257" max="257" width="5" style="4" customWidth="1"/>
    <col min="258" max="258" width="8.875" style="4" customWidth="1"/>
    <col min="259" max="259" width="6.25" style="4" bestFit="1" customWidth="1"/>
    <col min="260" max="260" width="5.25" style="4" bestFit="1" customWidth="1"/>
    <col min="261" max="261" width="9.75" style="4" customWidth="1"/>
    <col min="262" max="263" width="12.25" style="4" customWidth="1"/>
    <col min="264" max="264" width="8" style="4" customWidth="1"/>
    <col min="265" max="265" width="8.875" style="4" customWidth="1"/>
    <col min="266" max="512" width="8" style="4"/>
    <col min="513" max="513" width="5" style="4" customWidth="1"/>
    <col min="514" max="514" width="8.875" style="4" customWidth="1"/>
    <col min="515" max="515" width="6.25" style="4" bestFit="1" customWidth="1"/>
    <col min="516" max="516" width="5.25" style="4" bestFit="1" customWidth="1"/>
    <col min="517" max="517" width="9.75" style="4" customWidth="1"/>
    <col min="518" max="519" width="12.25" style="4" customWidth="1"/>
    <col min="520" max="520" width="8" style="4" customWidth="1"/>
    <col min="521" max="521" width="8.875" style="4" customWidth="1"/>
    <col min="522" max="768" width="8" style="4"/>
    <col min="769" max="769" width="5" style="4" customWidth="1"/>
    <col min="770" max="770" width="8.875" style="4" customWidth="1"/>
    <col min="771" max="771" width="6.25" style="4" bestFit="1" customWidth="1"/>
    <col min="772" max="772" width="5.25" style="4" bestFit="1" customWidth="1"/>
    <col min="773" max="773" width="9.75" style="4" customWidth="1"/>
    <col min="774" max="775" width="12.25" style="4" customWidth="1"/>
    <col min="776" max="776" width="8" style="4" customWidth="1"/>
    <col min="777" max="777" width="8.875" style="4" customWidth="1"/>
    <col min="778" max="1024" width="8" style="4"/>
    <col min="1025" max="1025" width="5" style="4" customWidth="1"/>
    <col min="1026" max="1026" width="8.875" style="4" customWidth="1"/>
    <col min="1027" max="1027" width="6.25" style="4" bestFit="1" customWidth="1"/>
    <col min="1028" max="1028" width="5.25" style="4" bestFit="1" customWidth="1"/>
    <col min="1029" max="1029" width="9.75" style="4" customWidth="1"/>
    <col min="1030" max="1031" width="12.25" style="4" customWidth="1"/>
    <col min="1032" max="1032" width="8" style="4" customWidth="1"/>
    <col min="1033" max="1033" width="8.875" style="4" customWidth="1"/>
    <col min="1034" max="1280" width="8" style="4"/>
    <col min="1281" max="1281" width="5" style="4" customWidth="1"/>
    <col min="1282" max="1282" width="8.875" style="4" customWidth="1"/>
    <col min="1283" max="1283" width="6.25" style="4" bestFit="1" customWidth="1"/>
    <col min="1284" max="1284" width="5.25" style="4" bestFit="1" customWidth="1"/>
    <col min="1285" max="1285" width="9.75" style="4" customWidth="1"/>
    <col min="1286" max="1287" width="12.25" style="4" customWidth="1"/>
    <col min="1288" max="1288" width="8" style="4" customWidth="1"/>
    <col min="1289" max="1289" width="8.875" style="4" customWidth="1"/>
    <col min="1290" max="1536" width="8" style="4"/>
    <col min="1537" max="1537" width="5" style="4" customWidth="1"/>
    <col min="1538" max="1538" width="8.875" style="4" customWidth="1"/>
    <col min="1539" max="1539" width="6.25" style="4" bestFit="1" customWidth="1"/>
    <col min="1540" max="1540" width="5.25" style="4" bestFit="1" customWidth="1"/>
    <col min="1541" max="1541" width="9.75" style="4" customWidth="1"/>
    <col min="1542" max="1543" width="12.25" style="4" customWidth="1"/>
    <col min="1544" max="1544" width="8" style="4" customWidth="1"/>
    <col min="1545" max="1545" width="8.875" style="4" customWidth="1"/>
    <col min="1546" max="1792" width="8" style="4"/>
    <col min="1793" max="1793" width="5" style="4" customWidth="1"/>
    <col min="1794" max="1794" width="8.875" style="4" customWidth="1"/>
    <col min="1795" max="1795" width="6.25" style="4" bestFit="1" customWidth="1"/>
    <col min="1796" max="1796" width="5.25" style="4" bestFit="1" customWidth="1"/>
    <col min="1797" max="1797" width="9.75" style="4" customWidth="1"/>
    <col min="1798" max="1799" width="12.25" style="4" customWidth="1"/>
    <col min="1800" max="1800" width="8" style="4" customWidth="1"/>
    <col min="1801" max="1801" width="8.875" style="4" customWidth="1"/>
    <col min="1802" max="2048" width="8" style="4"/>
    <col min="2049" max="2049" width="5" style="4" customWidth="1"/>
    <col min="2050" max="2050" width="8.875" style="4" customWidth="1"/>
    <col min="2051" max="2051" width="6.25" style="4" bestFit="1" customWidth="1"/>
    <col min="2052" max="2052" width="5.25" style="4" bestFit="1" customWidth="1"/>
    <col min="2053" max="2053" width="9.75" style="4" customWidth="1"/>
    <col min="2054" max="2055" width="12.25" style="4" customWidth="1"/>
    <col min="2056" max="2056" width="8" style="4" customWidth="1"/>
    <col min="2057" max="2057" width="8.875" style="4" customWidth="1"/>
    <col min="2058" max="2304" width="8" style="4"/>
    <col min="2305" max="2305" width="5" style="4" customWidth="1"/>
    <col min="2306" max="2306" width="8.875" style="4" customWidth="1"/>
    <col min="2307" max="2307" width="6.25" style="4" bestFit="1" customWidth="1"/>
    <col min="2308" max="2308" width="5.25" style="4" bestFit="1" customWidth="1"/>
    <col min="2309" max="2309" width="9.75" style="4" customWidth="1"/>
    <col min="2310" max="2311" width="12.25" style="4" customWidth="1"/>
    <col min="2312" max="2312" width="8" style="4" customWidth="1"/>
    <col min="2313" max="2313" width="8.875" style="4" customWidth="1"/>
    <col min="2314" max="2560" width="8" style="4"/>
    <col min="2561" max="2561" width="5" style="4" customWidth="1"/>
    <col min="2562" max="2562" width="8.875" style="4" customWidth="1"/>
    <col min="2563" max="2563" width="6.25" style="4" bestFit="1" customWidth="1"/>
    <col min="2564" max="2564" width="5.25" style="4" bestFit="1" customWidth="1"/>
    <col min="2565" max="2565" width="9.75" style="4" customWidth="1"/>
    <col min="2566" max="2567" width="12.25" style="4" customWidth="1"/>
    <col min="2568" max="2568" width="8" style="4" customWidth="1"/>
    <col min="2569" max="2569" width="8.875" style="4" customWidth="1"/>
    <col min="2570" max="2816" width="8" style="4"/>
    <col min="2817" max="2817" width="5" style="4" customWidth="1"/>
    <col min="2818" max="2818" width="8.875" style="4" customWidth="1"/>
    <col min="2819" max="2819" width="6.25" style="4" bestFit="1" customWidth="1"/>
    <col min="2820" max="2820" width="5.25" style="4" bestFit="1" customWidth="1"/>
    <col min="2821" max="2821" width="9.75" style="4" customWidth="1"/>
    <col min="2822" max="2823" width="12.25" style="4" customWidth="1"/>
    <col min="2824" max="2824" width="8" style="4" customWidth="1"/>
    <col min="2825" max="2825" width="8.875" style="4" customWidth="1"/>
    <col min="2826" max="3072" width="8" style="4"/>
    <col min="3073" max="3073" width="5" style="4" customWidth="1"/>
    <col min="3074" max="3074" width="8.875" style="4" customWidth="1"/>
    <col min="3075" max="3075" width="6.25" style="4" bestFit="1" customWidth="1"/>
    <col min="3076" max="3076" width="5.25" style="4" bestFit="1" customWidth="1"/>
    <col min="3077" max="3077" width="9.75" style="4" customWidth="1"/>
    <col min="3078" max="3079" width="12.25" style="4" customWidth="1"/>
    <col min="3080" max="3080" width="8" style="4" customWidth="1"/>
    <col min="3081" max="3081" width="8.875" style="4" customWidth="1"/>
    <col min="3082" max="3328" width="8" style="4"/>
    <col min="3329" max="3329" width="5" style="4" customWidth="1"/>
    <col min="3330" max="3330" width="8.875" style="4" customWidth="1"/>
    <col min="3331" max="3331" width="6.25" style="4" bestFit="1" customWidth="1"/>
    <col min="3332" max="3332" width="5.25" style="4" bestFit="1" customWidth="1"/>
    <col min="3333" max="3333" width="9.75" style="4" customWidth="1"/>
    <col min="3334" max="3335" width="12.25" style="4" customWidth="1"/>
    <col min="3336" max="3336" width="8" style="4" customWidth="1"/>
    <col min="3337" max="3337" width="8.875" style="4" customWidth="1"/>
    <col min="3338" max="3584" width="8" style="4"/>
    <col min="3585" max="3585" width="5" style="4" customWidth="1"/>
    <col min="3586" max="3586" width="8.875" style="4" customWidth="1"/>
    <col min="3587" max="3587" width="6.25" style="4" bestFit="1" customWidth="1"/>
    <col min="3588" max="3588" width="5.25" style="4" bestFit="1" customWidth="1"/>
    <col min="3589" max="3589" width="9.75" style="4" customWidth="1"/>
    <col min="3590" max="3591" width="12.25" style="4" customWidth="1"/>
    <col min="3592" max="3592" width="8" style="4" customWidth="1"/>
    <col min="3593" max="3593" width="8.875" style="4" customWidth="1"/>
    <col min="3594" max="3840" width="8" style="4"/>
    <col min="3841" max="3841" width="5" style="4" customWidth="1"/>
    <col min="3842" max="3842" width="8.875" style="4" customWidth="1"/>
    <col min="3843" max="3843" width="6.25" style="4" bestFit="1" customWidth="1"/>
    <col min="3844" max="3844" width="5.25" style="4" bestFit="1" customWidth="1"/>
    <col min="3845" max="3845" width="9.75" style="4" customWidth="1"/>
    <col min="3846" max="3847" width="12.25" style="4" customWidth="1"/>
    <col min="3848" max="3848" width="8" style="4" customWidth="1"/>
    <col min="3849" max="3849" width="8.875" style="4" customWidth="1"/>
    <col min="3850" max="4096" width="8" style="4"/>
    <col min="4097" max="4097" width="5" style="4" customWidth="1"/>
    <col min="4098" max="4098" width="8.875" style="4" customWidth="1"/>
    <col min="4099" max="4099" width="6.25" style="4" bestFit="1" customWidth="1"/>
    <col min="4100" max="4100" width="5.25" style="4" bestFit="1" customWidth="1"/>
    <col min="4101" max="4101" width="9.75" style="4" customWidth="1"/>
    <col min="4102" max="4103" width="12.25" style="4" customWidth="1"/>
    <col min="4104" max="4104" width="8" style="4" customWidth="1"/>
    <col min="4105" max="4105" width="8.875" style="4" customWidth="1"/>
    <col min="4106" max="4352" width="8" style="4"/>
    <col min="4353" max="4353" width="5" style="4" customWidth="1"/>
    <col min="4354" max="4354" width="8.875" style="4" customWidth="1"/>
    <col min="4355" max="4355" width="6.25" style="4" bestFit="1" customWidth="1"/>
    <col min="4356" max="4356" width="5.25" style="4" bestFit="1" customWidth="1"/>
    <col min="4357" max="4357" width="9.75" style="4" customWidth="1"/>
    <col min="4358" max="4359" width="12.25" style="4" customWidth="1"/>
    <col min="4360" max="4360" width="8" style="4" customWidth="1"/>
    <col min="4361" max="4361" width="8.875" style="4" customWidth="1"/>
    <col min="4362" max="4608" width="8" style="4"/>
    <col min="4609" max="4609" width="5" style="4" customWidth="1"/>
    <col min="4610" max="4610" width="8.875" style="4" customWidth="1"/>
    <col min="4611" max="4611" width="6.25" style="4" bestFit="1" customWidth="1"/>
    <col min="4612" max="4612" width="5.25" style="4" bestFit="1" customWidth="1"/>
    <col min="4613" max="4613" width="9.75" style="4" customWidth="1"/>
    <col min="4614" max="4615" width="12.25" style="4" customWidth="1"/>
    <col min="4616" max="4616" width="8" style="4" customWidth="1"/>
    <col min="4617" max="4617" width="8.875" style="4" customWidth="1"/>
    <col min="4618" max="4864" width="8" style="4"/>
    <col min="4865" max="4865" width="5" style="4" customWidth="1"/>
    <col min="4866" max="4866" width="8.875" style="4" customWidth="1"/>
    <col min="4867" max="4867" width="6.25" style="4" bestFit="1" customWidth="1"/>
    <col min="4868" max="4868" width="5.25" style="4" bestFit="1" customWidth="1"/>
    <col min="4869" max="4869" width="9.75" style="4" customWidth="1"/>
    <col min="4870" max="4871" width="12.25" style="4" customWidth="1"/>
    <col min="4872" max="4872" width="8" style="4" customWidth="1"/>
    <col min="4873" max="4873" width="8.875" style="4" customWidth="1"/>
    <col min="4874" max="5120" width="8" style="4"/>
    <col min="5121" max="5121" width="5" style="4" customWidth="1"/>
    <col min="5122" max="5122" width="8.875" style="4" customWidth="1"/>
    <col min="5123" max="5123" width="6.25" style="4" bestFit="1" customWidth="1"/>
    <col min="5124" max="5124" width="5.25" style="4" bestFit="1" customWidth="1"/>
    <col min="5125" max="5125" width="9.75" style="4" customWidth="1"/>
    <col min="5126" max="5127" width="12.25" style="4" customWidth="1"/>
    <col min="5128" max="5128" width="8" style="4" customWidth="1"/>
    <col min="5129" max="5129" width="8.875" style="4" customWidth="1"/>
    <col min="5130" max="5376" width="8" style="4"/>
    <col min="5377" max="5377" width="5" style="4" customWidth="1"/>
    <col min="5378" max="5378" width="8.875" style="4" customWidth="1"/>
    <col min="5379" max="5379" width="6.25" style="4" bestFit="1" customWidth="1"/>
    <col min="5380" max="5380" width="5.25" style="4" bestFit="1" customWidth="1"/>
    <col min="5381" max="5381" width="9.75" style="4" customWidth="1"/>
    <col min="5382" max="5383" width="12.25" style="4" customWidth="1"/>
    <col min="5384" max="5384" width="8" style="4" customWidth="1"/>
    <col min="5385" max="5385" width="8.875" style="4" customWidth="1"/>
    <col min="5386" max="5632" width="8" style="4"/>
    <col min="5633" max="5633" width="5" style="4" customWidth="1"/>
    <col min="5634" max="5634" width="8.875" style="4" customWidth="1"/>
    <col min="5635" max="5635" width="6.25" style="4" bestFit="1" customWidth="1"/>
    <col min="5636" max="5636" width="5.25" style="4" bestFit="1" customWidth="1"/>
    <col min="5637" max="5637" width="9.75" style="4" customWidth="1"/>
    <col min="5638" max="5639" width="12.25" style="4" customWidth="1"/>
    <col min="5640" max="5640" width="8" style="4" customWidth="1"/>
    <col min="5641" max="5641" width="8.875" style="4" customWidth="1"/>
    <col min="5642" max="5888" width="8" style="4"/>
    <col min="5889" max="5889" width="5" style="4" customWidth="1"/>
    <col min="5890" max="5890" width="8.875" style="4" customWidth="1"/>
    <col min="5891" max="5891" width="6.25" style="4" bestFit="1" customWidth="1"/>
    <col min="5892" max="5892" width="5.25" style="4" bestFit="1" customWidth="1"/>
    <col min="5893" max="5893" width="9.75" style="4" customWidth="1"/>
    <col min="5894" max="5895" width="12.25" style="4" customWidth="1"/>
    <col min="5896" max="5896" width="8" style="4" customWidth="1"/>
    <col min="5897" max="5897" width="8.875" style="4" customWidth="1"/>
    <col min="5898" max="6144" width="8" style="4"/>
    <col min="6145" max="6145" width="5" style="4" customWidth="1"/>
    <col min="6146" max="6146" width="8.875" style="4" customWidth="1"/>
    <col min="6147" max="6147" width="6.25" style="4" bestFit="1" customWidth="1"/>
    <col min="6148" max="6148" width="5.25" style="4" bestFit="1" customWidth="1"/>
    <col min="6149" max="6149" width="9.75" style="4" customWidth="1"/>
    <col min="6150" max="6151" width="12.25" style="4" customWidth="1"/>
    <col min="6152" max="6152" width="8" style="4" customWidth="1"/>
    <col min="6153" max="6153" width="8.875" style="4" customWidth="1"/>
    <col min="6154" max="6400" width="8" style="4"/>
    <col min="6401" max="6401" width="5" style="4" customWidth="1"/>
    <col min="6402" max="6402" width="8.875" style="4" customWidth="1"/>
    <col min="6403" max="6403" width="6.25" style="4" bestFit="1" customWidth="1"/>
    <col min="6404" max="6404" width="5.25" style="4" bestFit="1" customWidth="1"/>
    <col min="6405" max="6405" width="9.75" style="4" customWidth="1"/>
    <col min="6406" max="6407" width="12.25" style="4" customWidth="1"/>
    <col min="6408" max="6408" width="8" style="4" customWidth="1"/>
    <col min="6409" max="6409" width="8.875" style="4" customWidth="1"/>
    <col min="6410" max="6656" width="8" style="4"/>
    <col min="6657" max="6657" width="5" style="4" customWidth="1"/>
    <col min="6658" max="6658" width="8.875" style="4" customWidth="1"/>
    <col min="6659" max="6659" width="6.25" style="4" bestFit="1" customWidth="1"/>
    <col min="6660" max="6660" width="5.25" style="4" bestFit="1" customWidth="1"/>
    <col min="6661" max="6661" width="9.75" style="4" customWidth="1"/>
    <col min="6662" max="6663" width="12.25" style="4" customWidth="1"/>
    <col min="6664" max="6664" width="8" style="4" customWidth="1"/>
    <col min="6665" max="6665" width="8.875" style="4" customWidth="1"/>
    <col min="6666" max="6912" width="8" style="4"/>
    <col min="6913" max="6913" width="5" style="4" customWidth="1"/>
    <col min="6914" max="6914" width="8.875" style="4" customWidth="1"/>
    <col min="6915" max="6915" width="6.25" style="4" bestFit="1" customWidth="1"/>
    <col min="6916" max="6916" width="5.25" style="4" bestFit="1" customWidth="1"/>
    <col min="6917" max="6917" width="9.75" style="4" customWidth="1"/>
    <col min="6918" max="6919" width="12.25" style="4" customWidth="1"/>
    <col min="6920" max="6920" width="8" style="4" customWidth="1"/>
    <col min="6921" max="6921" width="8.875" style="4" customWidth="1"/>
    <col min="6922" max="7168" width="8" style="4"/>
    <col min="7169" max="7169" width="5" style="4" customWidth="1"/>
    <col min="7170" max="7170" width="8.875" style="4" customWidth="1"/>
    <col min="7171" max="7171" width="6.25" style="4" bestFit="1" customWidth="1"/>
    <col min="7172" max="7172" width="5.25" style="4" bestFit="1" customWidth="1"/>
    <col min="7173" max="7173" width="9.75" style="4" customWidth="1"/>
    <col min="7174" max="7175" width="12.25" style="4" customWidth="1"/>
    <col min="7176" max="7176" width="8" style="4" customWidth="1"/>
    <col min="7177" max="7177" width="8.875" style="4" customWidth="1"/>
    <col min="7178" max="7424" width="8" style="4"/>
    <col min="7425" max="7425" width="5" style="4" customWidth="1"/>
    <col min="7426" max="7426" width="8.875" style="4" customWidth="1"/>
    <col min="7427" max="7427" width="6.25" style="4" bestFit="1" customWidth="1"/>
    <col min="7428" max="7428" width="5.25" style="4" bestFit="1" customWidth="1"/>
    <col min="7429" max="7429" width="9.75" style="4" customWidth="1"/>
    <col min="7430" max="7431" width="12.25" style="4" customWidth="1"/>
    <col min="7432" max="7432" width="8" style="4" customWidth="1"/>
    <col min="7433" max="7433" width="8.875" style="4" customWidth="1"/>
    <col min="7434" max="7680" width="8" style="4"/>
    <col min="7681" max="7681" width="5" style="4" customWidth="1"/>
    <col min="7682" max="7682" width="8.875" style="4" customWidth="1"/>
    <col min="7683" max="7683" width="6.25" style="4" bestFit="1" customWidth="1"/>
    <col min="7684" max="7684" width="5.25" style="4" bestFit="1" customWidth="1"/>
    <col min="7685" max="7685" width="9.75" style="4" customWidth="1"/>
    <col min="7686" max="7687" width="12.25" style="4" customWidth="1"/>
    <col min="7688" max="7688" width="8" style="4" customWidth="1"/>
    <col min="7689" max="7689" width="8.875" style="4" customWidth="1"/>
    <col min="7690" max="7936" width="8" style="4"/>
    <col min="7937" max="7937" width="5" style="4" customWidth="1"/>
    <col min="7938" max="7938" width="8.875" style="4" customWidth="1"/>
    <col min="7939" max="7939" width="6.25" style="4" bestFit="1" customWidth="1"/>
    <col min="7940" max="7940" width="5.25" style="4" bestFit="1" customWidth="1"/>
    <col min="7941" max="7941" width="9.75" style="4" customWidth="1"/>
    <col min="7942" max="7943" width="12.25" style="4" customWidth="1"/>
    <col min="7944" max="7944" width="8" style="4" customWidth="1"/>
    <col min="7945" max="7945" width="8.875" style="4" customWidth="1"/>
    <col min="7946" max="8192" width="8" style="4"/>
    <col min="8193" max="8193" width="5" style="4" customWidth="1"/>
    <col min="8194" max="8194" width="8.875" style="4" customWidth="1"/>
    <col min="8195" max="8195" width="6.25" style="4" bestFit="1" customWidth="1"/>
    <col min="8196" max="8196" width="5.25" style="4" bestFit="1" customWidth="1"/>
    <col min="8197" max="8197" width="9.75" style="4" customWidth="1"/>
    <col min="8198" max="8199" width="12.25" style="4" customWidth="1"/>
    <col min="8200" max="8200" width="8" style="4" customWidth="1"/>
    <col min="8201" max="8201" width="8.875" style="4" customWidth="1"/>
    <col min="8202" max="8448" width="8" style="4"/>
    <col min="8449" max="8449" width="5" style="4" customWidth="1"/>
    <col min="8450" max="8450" width="8.875" style="4" customWidth="1"/>
    <col min="8451" max="8451" width="6.25" style="4" bestFit="1" customWidth="1"/>
    <col min="8452" max="8452" width="5.25" style="4" bestFit="1" customWidth="1"/>
    <col min="8453" max="8453" width="9.75" style="4" customWidth="1"/>
    <col min="8454" max="8455" width="12.25" style="4" customWidth="1"/>
    <col min="8456" max="8456" width="8" style="4" customWidth="1"/>
    <col min="8457" max="8457" width="8.875" style="4" customWidth="1"/>
    <col min="8458" max="8704" width="8" style="4"/>
    <col min="8705" max="8705" width="5" style="4" customWidth="1"/>
    <col min="8706" max="8706" width="8.875" style="4" customWidth="1"/>
    <col min="8707" max="8707" width="6.25" style="4" bestFit="1" customWidth="1"/>
    <col min="8708" max="8708" width="5.25" style="4" bestFit="1" customWidth="1"/>
    <col min="8709" max="8709" width="9.75" style="4" customWidth="1"/>
    <col min="8710" max="8711" width="12.25" style="4" customWidth="1"/>
    <col min="8712" max="8712" width="8" style="4" customWidth="1"/>
    <col min="8713" max="8713" width="8.875" style="4" customWidth="1"/>
    <col min="8714" max="8960" width="8" style="4"/>
    <col min="8961" max="8961" width="5" style="4" customWidth="1"/>
    <col min="8962" max="8962" width="8.875" style="4" customWidth="1"/>
    <col min="8963" max="8963" width="6.25" style="4" bestFit="1" customWidth="1"/>
    <col min="8964" max="8964" width="5.25" style="4" bestFit="1" customWidth="1"/>
    <col min="8965" max="8965" width="9.75" style="4" customWidth="1"/>
    <col min="8966" max="8967" width="12.25" style="4" customWidth="1"/>
    <col min="8968" max="8968" width="8" style="4" customWidth="1"/>
    <col min="8969" max="8969" width="8.875" style="4" customWidth="1"/>
    <col min="8970" max="9216" width="8" style="4"/>
    <col min="9217" max="9217" width="5" style="4" customWidth="1"/>
    <col min="9218" max="9218" width="8.875" style="4" customWidth="1"/>
    <col min="9219" max="9219" width="6.25" style="4" bestFit="1" customWidth="1"/>
    <col min="9220" max="9220" width="5.25" style="4" bestFit="1" customWidth="1"/>
    <col min="9221" max="9221" width="9.75" style="4" customWidth="1"/>
    <col min="9222" max="9223" width="12.25" style="4" customWidth="1"/>
    <col min="9224" max="9224" width="8" style="4" customWidth="1"/>
    <col min="9225" max="9225" width="8.875" style="4" customWidth="1"/>
    <col min="9226" max="9472" width="8" style="4"/>
    <col min="9473" max="9473" width="5" style="4" customWidth="1"/>
    <col min="9474" max="9474" width="8.875" style="4" customWidth="1"/>
    <col min="9475" max="9475" width="6.25" style="4" bestFit="1" customWidth="1"/>
    <col min="9476" max="9476" width="5.25" style="4" bestFit="1" customWidth="1"/>
    <col min="9477" max="9477" width="9.75" style="4" customWidth="1"/>
    <col min="9478" max="9479" width="12.25" style="4" customWidth="1"/>
    <col min="9480" max="9480" width="8" style="4" customWidth="1"/>
    <col min="9481" max="9481" width="8.875" style="4" customWidth="1"/>
    <col min="9482" max="9728" width="8" style="4"/>
    <col min="9729" max="9729" width="5" style="4" customWidth="1"/>
    <col min="9730" max="9730" width="8.875" style="4" customWidth="1"/>
    <col min="9731" max="9731" width="6.25" style="4" bestFit="1" customWidth="1"/>
    <col min="9732" max="9732" width="5.25" style="4" bestFit="1" customWidth="1"/>
    <col min="9733" max="9733" width="9.75" style="4" customWidth="1"/>
    <col min="9734" max="9735" width="12.25" style="4" customWidth="1"/>
    <col min="9736" max="9736" width="8" style="4" customWidth="1"/>
    <col min="9737" max="9737" width="8.875" style="4" customWidth="1"/>
    <col min="9738" max="9984" width="8" style="4"/>
    <col min="9985" max="9985" width="5" style="4" customWidth="1"/>
    <col min="9986" max="9986" width="8.875" style="4" customWidth="1"/>
    <col min="9987" max="9987" width="6.25" style="4" bestFit="1" customWidth="1"/>
    <col min="9988" max="9988" width="5.25" style="4" bestFit="1" customWidth="1"/>
    <col min="9989" max="9989" width="9.75" style="4" customWidth="1"/>
    <col min="9990" max="9991" width="12.25" style="4" customWidth="1"/>
    <col min="9992" max="9992" width="8" style="4" customWidth="1"/>
    <col min="9993" max="9993" width="8.875" style="4" customWidth="1"/>
    <col min="9994" max="10240" width="8" style="4"/>
    <col min="10241" max="10241" width="5" style="4" customWidth="1"/>
    <col min="10242" max="10242" width="8.875" style="4" customWidth="1"/>
    <col min="10243" max="10243" width="6.25" style="4" bestFit="1" customWidth="1"/>
    <col min="10244" max="10244" width="5.25" style="4" bestFit="1" customWidth="1"/>
    <col min="10245" max="10245" width="9.75" style="4" customWidth="1"/>
    <col min="10246" max="10247" width="12.25" style="4" customWidth="1"/>
    <col min="10248" max="10248" width="8" style="4" customWidth="1"/>
    <col min="10249" max="10249" width="8.875" style="4" customWidth="1"/>
    <col min="10250" max="10496" width="8" style="4"/>
    <col min="10497" max="10497" width="5" style="4" customWidth="1"/>
    <col min="10498" max="10498" width="8.875" style="4" customWidth="1"/>
    <col min="10499" max="10499" width="6.25" style="4" bestFit="1" customWidth="1"/>
    <col min="10500" max="10500" width="5.25" style="4" bestFit="1" customWidth="1"/>
    <col min="10501" max="10501" width="9.75" style="4" customWidth="1"/>
    <col min="10502" max="10503" width="12.25" style="4" customWidth="1"/>
    <col min="10504" max="10504" width="8" style="4" customWidth="1"/>
    <col min="10505" max="10505" width="8.875" style="4" customWidth="1"/>
    <col min="10506" max="10752" width="8" style="4"/>
    <col min="10753" max="10753" width="5" style="4" customWidth="1"/>
    <col min="10754" max="10754" width="8.875" style="4" customWidth="1"/>
    <col min="10755" max="10755" width="6.25" style="4" bestFit="1" customWidth="1"/>
    <col min="10756" max="10756" width="5.25" style="4" bestFit="1" customWidth="1"/>
    <col min="10757" max="10757" width="9.75" style="4" customWidth="1"/>
    <col min="10758" max="10759" width="12.25" style="4" customWidth="1"/>
    <col min="10760" max="10760" width="8" style="4" customWidth="1"/>
    <col min="10761" max="10761" width="8.875" style="4" customWidth="1"/>
    <col min="10762" max="11008" width="8" style="4"/>
    <col min="11009" max="11009" width="5" style="4" customWidth="1"/>
    <col min="11010" max="11010" width="8.875" style="4" customWidth="1"/>
    <col min="11011" max="11011" width="6.25" style="4" bestFit="1" customWidth="1"/>
    <col min="11012" max="11012" width="5.25" style="4" bestFit="1" customWidth="1"/>
    <col min="11013" max="11013" width="9.75" style="4" customWidth="1"/>
    <col min="11014" max="11015" width="12.25" style="4" customWidth="1"/>
    <col min="11016" max="11016" width="8" style="4" customWidth="1"/>
    <col min="11017" max="11017" width="8.875" style="4" customWidth="1"/>
    <col min="11018" max="11264" width="8" style="4"/>
    <col min="11265" max="11265" width="5" style="4" customWidth="1"/>
    <col min="11266" max="11266" width="8.875" style="4" customWidth="1"/>
    <col min="11267" max="11267" width="6.25" style="4" bestFit="1" customWidth="1"/>
    <col min="11268" max="11268" width="5.25" style="4" bestFit="1" customWidth="1"/>
    <col min="11269" max="11269" width="9.75" style="4" customWidth="1"/>
    <col min="11270" max="11271" width="12.25" style="4" customWidth="1"/>
    <col min="11272" max="11272" width="8" style="4" customWidth="1"/>
    <col min="11273" max="11273" width="8.875" style="4" customWidth="1"/>
    <col min="11274" max="11520" width="8" style="4"/>
    <col min="11521" max="11521" width="5" style="4" customWidth="1"/>
    <col min="11522" max="11522" width="8.875" style="4" customWidth="1"/>
    <col min="11523" max="11523" width="6.25" style="4" bestFit="1" customWidth="1"/>
    <col min="11524" max="11524" width="5.25" style="4" bestFit="1" customWidth="1"/>
    <col min="11525" max="11525" width="9.75" style="4" customWidth="1"/>
    <col min="11526" max="11527" width="12.25" style="4" customWidth="1"/>
    <col min="11528" max="11528" width="8" style="4" customWidth="1"/>
    <col min="11529" max="11529" width="8.875" style="4" customWidth="1"/>
    <col min="11530" max="11776" width="8" style="4"/>
    <col min="11777" max="11777" width="5" style="4" customWidth="1"/>
    <col min="11778" max="11778" width="8.875" style="4" customWidth="1"/>
    <col min="11779" max="11779" width="6.25" style="4" bestFit="1" customWidth="1"/>
    <col min="11780" max="11780" width="5.25" style="4" bestFit="1" customWidth="1"/>
    <col min="11781" max="11781" width="9.75" style="4" customWidth="1"/>
    <col min="11782" max="11783" width="12.25" style="4" customWidth="1"/>
    <col min="11784" max="11784" width="8" style="4" customWidth="1"/>
    <col min="11785" max="11785" width="8.875" style="4" customWidth="1"/>
    <col min="11786" max="12032" width="8" style="4"/>
    <col min="12033" max="12033" width="5" style="4" customWidth="1"/>
    <col min="12034" max="12034" width="8.875" style="4" customWidth="1"/>
    <col min="12035" max="12035" width="6.25" style="4" bestFit="1" customWidth="1"/>
    <col min="12036" max="12036" width="5.25" style="4" bestFit="1" customWidth="1"/>
    <col min="12037" max="12037" width="9.75" style="4" customWidth="1"/>
    <col min="12038" max="12039" width="12.25" style="4" customWidth="1"/>
    <col min="12040" max="12040" width="8" style="4" customWidth="1"/>
    <col min="12041" max="12041" width="8.875" style="4" customWidth="1"/>
    <col min="12042" max="12288" width="8" style="4"/>
    <col min="12289" max="12289" width="5" style="4" customWidth="1"/>
    <col min="12290" max="12290" width="8.875" style="4" customWidth="1"/>
    <col min="12291" max="12291" width="6.25" style="4" bestFit="1" customWidth="1"/>
    <col min="12292" max="12292" width="5.25" style="4" bestFit="1" customWidth="1"/>
    <col min="12293" max="12293" width="9.75" style="4" customWidth="1"/>
    <col min="12294" max="12295" width="12.25" style="4" customWidth="1"/>
    <col min="12296" max="12296" width="8" style="4" customWidth="1"/>
    <col min="12297" max="12297" width="8.875" style="4" customWidth="1"/>
    <col min="12298" max="12544" width="8" style="4"/>
    <col min="12545" max="12545" width="5" style="4" customWidth="1"/>
    <col min="12546" max="12546" width="8.875" style="4" customWidth="1"/>
    <col min="12547" max="12547" width="6.25" style="4" bestFit="1" customWidth="1"/>
    <col min="12548" max="12548" width="5.25" style="4" bestFit="1" customWidth="1"/>
    <col min="12549" max="12549" width="9.75" style="4" customWidth="1"/>
    <col min="12550" max="12551" width="12.25" style="4" customWidth="1"/>
    <col min="12552" max="12552" width="8" style="4" customWidth="1"/>
    <col min="12553" max="12553" width="8.875" style="4" customWidth="1"/>
    <col min="12554" max="12800" width="8" style="4"/>
    <col min="12801" max="12801" width="5" style="4" customWidth="1"/>
    <col min="12802" max="12802" width="8.875" style="4" customWidth="1"/>
    <col min="12803" max="12803" width="6.25" style="4" bestFit="1" customWidth="1"/>
    <col min="12804" max="12804" width="5.25" style="4" bestFit="1" customWidth="1"/>
    <col min="12805" max="12805" width="9.75" style="4" customWidth="1"/>
    <col min="12806" max="12807" width="12.25" style="4" customWidth="1"/>
    <col min="12808" max="12808" width="8" style="4" customWidth="1"/>
    <col min="12809" max="12809" width="8.875" style="4" customWidth="1"/>
    <col min="12810" max="13056" width="8" style="4"/>
    <col min="13057" max="13057" width="5" style="4" customWidth="1"/>
    <col min="13058" max="13058" width="8.875" style="4" customWidth="1"/>
    <col min="13059" max="13059" width="6.25" style="4" bestFit="1" customWidth="1"/>
    <col min="13060" max="13060" width="5.25" style="4" bestFit="1" customWidth="1"/>
    <col min="13061" max="13061" width="9.75" style="4" customWidth="1"/>
    <col min="13062" max="13063" width="12.25" style="4" customWidth="1"/>
    <col min="13064" max="13064" width="8" style="4" customWidth="1"/>
    <col min="13065" max="13065" width="8.875" style="4" customWidth="1"/>
    <col min="13066" max="13312" width="8" style="4"/>
    <col min="13313" max="13313" width="5" style="4" customWidth="1"/>
    <col min="13314" max="13314" width="8.875" style="4" customWidth="1"/>
    <col min="13315" max="13315" width="6.25" style="4" bestFit="1" customWidth="1"/>
    <col min="13316" max="13316" width="5.25" style="4" bestFit="1" customWidth="1"/>
    <col min="13317" max="13317" width="9.75" style="4" customWidth="1"/>
    <col min="13318" max="13319" width="12.25" style="4" customWidth="1"/>
    <col min="13320" max="13320" width="8" style="4" customWidth="1"/>
    <col min="13321" max="13321" width="8.875" style="4" customWidth="1"/>
    <col min="13322" max="13568" width="8" style="4"/>
    <col min="13569" max="13569" width="5" style="4" customWidth="1"/>
    <col min="13570" max="13570" width="8.875" style="4" customWidth="1"/>
    <col min="13571" max="13571" width="6.25" style="4" bestFit="1" customWidth="1"/>
    <col min="13572" max="13572" width="5.25" style="4" bestFit="1" customWidth="1"/>
    <col min="13573" max="13573" width="9.75" style="4" customWidth="1"/>
    <col min="13574" max="13575" width="12.25" style="4" customWidth="1"/>
    <col min="13576" max="13576" width="8" style="4" customWidth="1"/>
    <col min="13577" max="13577" width="8.875" style="4" customWidth="1"/>
    <col min="13578" max="13824" width="8" style="4"/>
    <col min="13825" max="13825" width="5" style="4" customWidth="1"/>
    <col min="13826" max="13826" width="8.875" style="4" customWidth="1"/>
    <col min="13827" max="13827" width="6.25" style="4" bestFit="1" customWidth="1"/>
    <col min="13828" max="13828" width="5.25" style="4" bestFit="1" customWidth="1"/>
    <col min="13829" max="13829" width="9.75" style="4" customWidth="1"/>
    <col min="13830" max="13831" width="12.25" style="4" customWidth="1"/>
    <col min="13832" max="13832" width="8" style="4" customWidth="1"/>
    <col min="13833" max="13833" width="8.875" style="4" customWidth="1"/>
    <col min="13834" max="14080" width="8" style="4"/>
    <col min="14081" max="14081" width="5" style="4" customWidth="1"/>
    <col min="14082" max="14082" width="8.875" style="4" customWidth="1"/>
    <col min="14083" max="14083" width="6.25" style="4" bestFit="1" customWidth="1"/>
    <col min="14084" max="14084" width="5.25" style="4" bestFit="1" customWidth="1"/>
    <col min="14085" max="14085" width="9.75" style="4" customWidth="1"/>
    <col min="14086" max="14087" width="12.25" style="4" customWidth="1"/>
    <col min="14088" max="14088" width="8" style="4" customWidth="1"/>
    <col min="14089" max="14089" width="8.875" style="4" customWidth="1"/>
    <col min="14090" max="14336" width="8" style="4"/>
    <col min="14337" max="14337" width="5" style="4" customWidth="1"/>
    <col min="14338" max="14338" width="8.875" style="4" customWidth="1"/>
    <col min="14339" max="14339" width="6.25" style="4" bestFit="1" customWidth="1"/>
    <col min="14340" max="14340" width="5.25" style="4" bestFit="1" customWidth="1"/>
    <col min="14341" max="14341" width="9.75" style="4" customWidth="1"/>
    <col min="14342" max="14343" width="12.25" style="4" customWidth="1"/>
    <col min="14344" max="14344" width="8" style="4" customWidth="1"/>
    <col min="14345" max="14345" width="8.875" style="4" customWidth="1"/>
    <col min="14346" max="14592" width="8" style="4"/>
    <col min="14593" max="14593" width="5" style="4" customWidth="1"/>
    <col min="14594" max="14594" width="8.875" style="4" customWidth="1"/>
    <col min="14595" max="14595" width="6.25" style="4" bestFit="1" customWidth="1"/>
    <col min="14596" max="14596" width="5.25" style="4" bestFit="1" customWidth="1"/>
    <col min="14597" max="14597" width="9.75" style="4" customWidth="1"/>
    <col min="14598" max="14599" width="12.25" style="4" customWidth="1"/>
    <col min="14600" max="14600" width="8" style="4" customWidth="1"/>
    <col min="14601" max="14601" width="8.875" style="4" customWidth="1"/>
    <col min="14602" max="14848" width="8" style="4"/>
    <col min="14849" max="14849" width="5" style="4" customWidth="1"/>
    <col min="14850" max="14850" width="8.875" style="4" customWidth="1"/>
    <col min="14851" max="14851" width="6.25" style="4" bestFit="1" customWidth="1"/>
    <col min="14852" max="14852" width="5.25" style="4" bestFit="1" customWidth="1"/>
    <col min="14853" max="14853" width="9.75" style="4" customWidth="1"/>
    <col min="14854" max="14855" width="12.25" style="4" customWidth="1"/>
    <col min="14856" max="14856" width="8" style="4" customWidth="1"/>
    <col min="14857" max="14857" width="8.875" style="4" customWidth="1"/>
    <col min="14858" max="15104" width="8" style="4"/>
    <col min="15105" max="15105" width="5" style="4" customWidth="1"/>
    <col min="15106" max="15106" width="8.875" style="4" customWidth="1"/>
    <col min="15107" max="15107" width="6.25" style="4" bestFit="1" customWidth="1"/>
    <col min="15108" max="15108" width="5.25" style="4" bestFit="1" customWidth="1"/>
    <col min="15109" max="15109" width="9.75" style="4" customWidth="1"/>
    <col min="15110" max="15111" width="12.25" style="4" customWidth="1"/>
    <col min="15112" max="15112" width="8" style="4" customWidth="1"/>
    <col min="15113" max="15113" width="8.875" style="4" customWidth="1"/>
    <col min="15114" max="15360" width="8" style="4"/>
    <col min="15361" max="15361" width="5" style="4" customWidth="1"/>
    <col min="15362" max="15362" width="8.875" style="4" customWidth="1"/>
    <col min="15363" max="15363" width="6.25" style="4" bestFit="1" customWidth="1"/>
    <col min="15364" max="15364" width="5.25" style="4" bestFit="1" customWidth="1"/>
    <col min="15365" max="15365" width="9.75" style="4" customWidth="1"/>
    <col min="15366" max="15367" width="12.25" style="4" customWidth="1"/>
    <col min="15368" max="15368" width="8" style="4" customWidth="1"/>
    <col min="15369" max="15369" width="8.875" style="4" customWidth="1"/>
    <col min="15370" max="15616" width="8" style="4"/>
    <col min="15617" max="15617" width="5" style="4" customWidth="1"/>
    <col min="15618" max="15618" width="8.875" style="4" customWidth="1"/>
    <col min="15619" max="15619" width="6.25" style="4" bestFit="1" customWidth="1"/>
    <col min="15620" max="15620" width="5.25" style="4" bestFit="1" customWidth="1"/>
    <col min="15621" max="15621" width="9.75" style="4" customWidth="1"/>
    <col min="15622" max="15623" width="12.25" style="4" customWidth="1"/>
    <col min="15624" max="15624" width="8" style="4" customWidth="1"/>
    <col min="15625" max="15625" width="8.875" style="4" customWidth="1"/>
    <col min="15626" max="15872" width="8" style="4"/>
    <col min="15873" max="15873" width="5" style="4" customWidth="1"/>
    <col min="15874" max="15874" width="8.875" style="4" customWidth="1"/>
    <col min="15875" max="15875" width="6.25" style="4" bestFit="1" customWidth="1"/>
    <col min="15876" max="15876" width="5.25" style="4" bestFit="1" customWidth="1"/>
    <col min="15877" max="15877" width="9.75" style="4" customWidth="1"/>
    <col min="15878" max="15879" width="12.25" style="4" customWidth="1"/>
    <col min="15880" max="15880" width="8" style="4" customWidth="1"/>
    <col min="15881" max="15881" width="8.875" style="4" customWidth="1"/>
    <col min="15882" max="16128" width="8" style="4"/>
    <col min="16129" max="16129" width="5" style="4" customWidth="1"/>
    <col min="16130" max="16130" width="8.875" style="4" customWidth="1"/>
    <col min="16131" max="16131" width="6.25" style="4" bestFit="1" customWidth="1"/>
    <col min="16132" max="16132" width="5.25" style="4" bestFit="1" customWidth="1"/>
    <col min="16133" max="16133" width="9.75" style="4" customWidth="1"/>
    <col min="16134" max="16135" width="12.25" style="4" customWidth="1"/>
    <col min="16136" max="16136" width="8" style="4" customWidth="1"/>
    <col min="16137" max="16137" width="8.875" style="4" customWidth="1"/>
    <col min="16138" max="16384" width="8" style="4"/>
  </cols>
  <sheetData>
    <row r="1" spans="1:8" ht="15" customHeight="1">
      <c r="A1" s="2" t="s">
        <v>5</v>
      </c>
      <c r="B1" s="3" t="s">
        <v>6</v>
      </c>
      <c r="C1" s="2" t="s">
        <v>7</v>
      </c>
      <c r="D1" s="2" t="s">
        <v>8</v>
      </c>
      <c r="E1" s="2" t="s">
        <v>9</v>
      </c>
      <c r="F1" s="2" t="s">
        <v>10</v>
      </c>
      <c r="H1" s="5" t="s">
        <v>11</v>
      </c>
    </row>
    <row r="2" spans="1:8">
      <c r="A2" s="4" t="s">
        <v>12</v>
      </c>
      <c r="B2" s="6" t="s">
        <v>13</v>
      </c>
      <c r="C2" s="4" t="s">
        <v>14</v>
      </c>
      <c r="D2" s="4">
        <v>11</v>
      </c>
      <c r="E2" s="4" t="s">
        <v>15</v>
      </c>
      <c r="H2" s="4" t="s">
        <v>16</v>
      </c>
    </row>
    <row r="3" spans="1:8">
      <c r="A3" s="4" t="s">
        <v>17</v>
      </c>
      <c r="B3" s="6" t="s">
        <v>18</v>
      </c>
      <c r="C3" s="4" t="s">
        <v>19</v>
      </c>
      <c r="D3" s="4">
        <v>8</v>
      </c>
      <c r="E3" s="4" t="s">
        <v>15</v>
      </c>
      <c r="F3" s="4" t="s">
        <v>20</v>
      </c>
    </row>
    <row r="4" spans="1:8">
      <c r="A4" s="4" t="s">
        <v>21</v>
      </c>
      <c r="B4" s="6" t="s">
        <v>22</v>
      </c>
      <c r="C4" s="4" t="s">
        <v>23</v>
      </c>
      <c r="D4" s="4">
        <v>9</v>
      </c>
      <c r="E4" s="4" t="s">
        <v>24</v>
      </c>
      <c r="F4" s="4" t="s">
        <v>25</v>
      </c>
    </row>
    <row r="5" spans="1:8">
      <c r="A5" s="4" t="s">
        <v>26</v>
      </c>
      <c r="B5" s="6" t="s">
        <v>22</v>
      </c>
      <c r="C5" s="4" t="s">
        <v>27</v>
      </c>
      <c r="D5" s="4">
        <v>10</v>
      </c>
      <c r="E5" s="4" t="s">
        <v>24</v>
      </c>
      <c r="F5" s="4" t="s">
        <v>28</v>
      </c>
    </row>
    <row r="6" spans="1:8">
      <c r="A6" s="4" t="s">
        <v>29</v>
      </c>
      <c r="B6" s="6" t="s">
        <v>30</v>
      </c>
      <c r="C6" s="4" t="s">
        <v>31</v>
      </c>
      <c r="D6" s="4">
        <v>11</v>
      </c>
      <c r="E6" s="4" t="s">
        <v>24</v>
      </c>
    </row>
    <row r="7" spans="1:8">
      <c r="A7" s="4" t="s">
        <v>32</v>
      </c>
      <c r="B7" s="6" t="s">
        <v>33</v>
      </c>
      <c r="C7" s="4" t="s">
        <v>34</v>
      </c>
      <c r="D7" s="4">
        <v>10</v>
      </c>
      <c r="E7" s="4" t="s">
        <v>24</v>
      </c>
    </row>
    <row r="8" spans="1:8">
      <c r="A8" s="4" t="s">
        <v>35</v>
      </c>
      <c r="B8" s="6" t="s">
        <v>36</v>
      </c>
      <c r="C8" s="4" t="s">
        <v>37</v>
      </c>
      <c r="D8" s="4">
        <v>16</v>
      </c>
      <c r="E8" s="4" t="s">
        <v>38</v>
      </c>
      <c r="F8" s="4" t="s">
        <v>39</v>
      </c>
    </row>
    <row r="9" spans="1:8">
      <c r="A9" s="4" t="s">
        <v>40</v>
      </c>
      <c r="B9" s="6" t="s">
        <v>36</v>
      </c>
      <c r="C9" s="4" t="s">
        <v>41</v>
      </c>
      <c r="D9" s="4">
        <v>11</v>
      </c>
      <c r="E9" s="4" t="s">
        <v>38</v>
      </c>
      <c r="F9" s="4" t="s">
        <v>42</v>
      </c>
    </row>
    <row r="10" spans="1:8">
      <c r="A10" s="4" t="s">
        <v>43</v>
      </c>
      <c r="B10" s="6" t="s">
        <v>44</v>
      </c>
      <c r="C10" s="4" t="s">
        <v>45</v>
      </c>
      <c r="D10" s="4">
        <v>6</v>
      </c>
      <c r="E10" s="4" t="s">
        <v>38</v>
      </c>
      <c r="F10" s="4" t="s">
        <v>46</v>
      </c>
    </row>
    <row r="11" spans="1:8">
      <c r="A11" s="4" t="s">
        <v>47</v>
      </c>
      <c r="B11" s="6" t="s">
        <v>48</v>
      </c>
      <c r="C11" s="4" t="s">
        <v>49</v>
      </c>
      <c r="D11" s="4">
        <v>8</v>
      </c>
      <c r="E11" s="4" t="s">
        <v>50</v>
      </c>
      <c r="F11" s="4" t="s">
        <v>51</v>
      </c>
    </row>
    <row r="12" spans="1:8">
      <c r="A12" s="4" t="s">
        <v>52</v>
      </c>
      <c r="B12" s="6" t="s">
        <v>48</v>
      </c>
      <c r="C12" s="4" t="s">
        <v>53</v>
      </c>
      <c r="D12" s="4">
        <v>10</v>
      </c>
      <c r="E12" s="4" t="s">
        <v>54</v>
      </c>
      <c r="F12" s="4" t="s">
        <v>55</v>
      </c>
    </row>
    <row r="13" spans="1:8">
      <c r="A13" s="4" t="s">
        <v>56</v>
      </c>
      <c r="B13" s="6" t="s">
        <v>48</v>
      </c>
      <c r="C13" s="4" t="s">
        <v>57</v>
      </c>
      <c r="D13" s="4">
        <v>12</v>
      </c>
      <c r="E13" s="4" t="s">
        <v>50</v>
      </c>
    </row>
    <row r="14" spans="1:8">
      <c r="A14" s="4" t="s">
        <v>58</v>
      </c>
      <c r="B14" s="6" t="s">
        <v>48</v>
      </c>
      <c r="C14" s="4" t="s">
        <v>53</v>
      </c>
      <c r="D14" s="4">
        <v>21</v>
      </c>
      <c r="E14" s="4" t="s">
        <v>54</v>
      </c>
      <c r="F14" s="4" t="s">
        <v>55</v>
      </c>
    </row>
    <row r="15" spans="1:8">
      <c r="A15" s="4" t="s">
        <v>59</v>
      </c>
      <c r="B15" s="6" t="s">
        <v>48</v>
      </c>
      <c r="C15" s="4" t="s">
        <v>60</v>
      </c>
      <c r="D15" s="4">
        <v>20</v>
      </c>
      <c r="E15" s="4" t="s">
        <v>54</v>
      </c>
    </row>
    <row r="16" spans="1:8">
      <c r="A16" s="4" t="s">
        <v>61</v>
      </c>
      <c r="B16" s="6" t="s">
        <v>48</v>
      </c>
      <c r="C16" s="4" t="s">
        <v>57</v>
      </c>
      <c r="D16" s="4">
        <v>21</v>
      </c>
      <c r="E16" s="4" t="s">
        <v>50</v>
      </c>
    </row>
    <row r="17" spans="1:11">
      <c r="A17" s="4" t="s">
        <v>62</v>
      </c>
      <c r="B17" s="6" t="s">
        <v>48</v>
      </c>
      <c r="C17" s="4" t="s">
        <v>63</v>
      </c>
      <c r="D17" s="4">
        <v>17</v>
      </c>
      <c r="E17" s="4" t="s">
        <v>50</v>
      </c>
      <c r="F17" s="4" t="s">
        <v>64</v>
      </c>
    </row>
    <row r="18" spans="1:11">
      <c r="A18" s="4" t="s">
        <v>65</v>
      </c>
      <c r="B18" s="6" t="s">
        <v>48</v>
      </c>
      <c r="C18" s="4" t="s">
        <v>23</v>
      </c>
      <c r="D18" s="4">
        <v>20</v>
      </c>
      <c r="E18" s="4" t="s">
        <v>54</v>
      </c>
    </row>
    <row r="19" spans="1:11">
      <c r="A19" s="4" t="s">
        <v>66</v>
      </c>
      <c r="B19" s="6" t="s">
        <v>48</v>
      </c>
      <c r="C19" s="4" t="s">
        <v>14</v>
      </c>
      <c r="D19" s="4">
        <v>17</v>
      </c>
      <c r="E19" s="4" t="s">
        <v>50</v>
      </c>
    </row>
    <row r="20" spans="1:11">
      <c r="A20" s="4" t="s">
        <v>67</v>
      </c>
      <c r="B20" s="6" t="s">
        <v>68</v>
      </c>
      <c r="C20" s="4" t="s">
        <v>69</v>
      </c>
      <c r="D20" s="4">
        <v>5</v>
      </c>
      <c r="E20" s="4" t="s">
        <v>54</v>
      </c>
      <c r="F20" s="4" t="s">
        <v>70</v>
      </c>
      <c r="K20" s="4" t="s">
        <v>71</v>
      </c>
    </row>
    <row r="21" spans="1:11">
      <c r="A21" s="4" t="s">
        <v>72</v>
      </c>
      <c r="B21" s="6" t="s">
        <v>73</v>
      </c>
      <c r="C21" s="4" t="s">
        <v>74</v>
      </c>
      <c r="D21" s="4">
        <v>7</v>
      </c>
      <c r="E21" s="4" t="s">
        <v>15</v>
      </c>
    </row>
    <row r="22" spans="1:11">
      <c r="A22" s="4" t="s">
        <v>75</v>
      </c>
      <c r="B22" s="6" t="s">
        <v>73</v>
      </c>
      <c r="C22" s="4" t="s">
        <v>76</v>
      </c>
      <c r="D22" s="4">
        <v>13</v>
      </c>
      <c r="E22" s="4" t="s">
        <v>15</v>
      </c>
    </row>
    <row r="23" spans="1:11">
      <c r="A23" s="4" t="s">
        <v>77</v>
      </c>
      <c r="B23" s="6" t="s">
        <v>73</v>
      </c>
      <c r="C23" s="4" t="s">
        <v>74</v>
      </c>
      <c r="D23" s="4">
        <v>8</v>
      </c>
      <c r="E23" s="4" t="s">
        <v>15</v>
      </c>
    </row>
    <row r="24" spans="1:11">
      <c r="A24" s="4" t="s">
        <v>78</v>
      </c>
      <c r="B24" s="6" t="s">
        <v>73</v>
      </c>
      <c r="C24" s="4" t="s">
        <v>23</v>
      </c>
      <c r="D24" s="4">
        <v>10</v>
      </c>
      <c r="E24" s="4" t="s">
        <v>15</v>
      </c>
    </row>
    <row r="25" spans="1:11">
      <c r="A25" s="4" t="s">
        <v>79</v>
      </c>
      <c r="B25" s="6" t="s">
        <v>80</v>
      </c>
      <c r="C25" s="4" t="s">
        <v>81</v>
      </c>
      <c r="D25" s="4">
        <v>11</v>
      </c>
      <c r="E25" s="4" t="s">
        <v>82</v>
      </c>
      <c r="F25" s="4" t="s">
        <v>83</v>
      </c>
    </row>
    <row r="26" spans="1:11">
      <c r="A26" s="4" t="s">
        <v>84</v>
      </c>
      <c r="B26" s="6" t="s">
        <v>80</v>
      </c>
      <c r="C26" s="4" t="s">
        <v>34</v>
      </c>
      <c r="D26" s="4">
        <v>12</v>
      </c>
      <c r="E26" s="4" t="s">
        <v>82</v>
      </c>
      <c r="F26" s="4" t="s">
        <v>85</v>
      </c>
    </row>
    <row r="27" spans="1:11">
      <c r="A27" s="4" t="s">
        <v>86</v>
      </c>
      <c r="B27" s="6" t="s">
        <v>80</v>
      </c>
      <c r="C27" s="4" t="s">
        <v>87</v>
      </c>
      <c r="D27" s="4">
        <v>12</v>
      </c>
      <c r="E27" s="4" t="s">
        <v>82</v>
      </c>
    </row>
    <row r="28" spans="1:11">
      <c r="A28" s="4" t="s">
        <v>88</v>
      </c>
      <c r="B28" s="6" t="s">
        <v>80</v>
      </c>
      <c r="C28" s="4" t="s">
        <v>27</v>
      </c>
      <c r="D28" s="4">
        <v>11</v>
      </c>
      <c r="E28" s="4" t="s">
        <v>89</v>
      </c>
    </row>
    <row r="29" spans="1:11">
      <c r="A29" s="4" t="s">
        <v>90</v>
      </c>
      <c r="B29" s="6" t="s">
        <v>80</v>
      </c>
      <c r="C29" s="4" t="s">
        <v>81</v>
      </c>
      <c r="D29" s="4">
        <v>12</v>
      </c>
      <c r="E29" s="4" t="s">
        <v>82</v>
      </c>
      <c r="F29" s="4" t="s">
        <v>83</v>
      </c>
    </row>
    <row r="30" spans="1:11">
      <c r="A30" s="4" t="s">
        <v>91</v>
      </c>
      <c r="B30" s="6" t="s">
        <v>80</v>
      </c>
      <c r="C30" s="4" t="s">
        <v>92</v>
      </c>
      <c r="D30" s="4">
        <v>24</v>
      </c>
      <c r="E30" s="4" t="s">
        <v>82</v>
      </c>
    </row>
    <row r="31" spans="1:11">
      <c r="A31" s="4" t="s">
        <v>93</v>
      </c>
      <c r="B31" s="6" t="s">
        <v>94</v>
      </c>
      <c r="C31" s="4" t="s">
        <v>95</v>
      </c>
      <c r="D31" s="4">
        <v>4</v>
      </c>
      <c r="E31" s="4" t="s">
        <v>96</v>
      </c>
      <c r="F31" s="4" t="s">
        <v>97</v>
      </c>
    </row>
    <row r="32" spans="1:11">
      <c r="A32" s="4" t="s">
        <v>98</v>
      </c>
      <c r="B32" s="6" t="s">
        <v>94</v>
      </c>
      <c r="C32" s="4" t="s">
        <v>34</v>
      </c>
      <c r="D32" s="4">
        <v>7</v>
      </c>
      <c r="E32" s="4" t="s">
        <v>99</v>
      </c>
    </row>
    <row r="33" spans="1:6">
      <c r="A33" s="4" t="s">
        <v>100</v>
      </c>
      <c r="B33" s="6" t="s">
        <v>101</v>
      </c>
      <c r="C33" s="4" t="s">
        <v>81</v>
      </c>
      <c r="D33" s="4">
        <v>13</v>
      </c>
      <c r="E33" s="4" t="s">
        <v>24</v>
      </c>
      <c r="F33" s="4" t="s">
        <v>102</v>
      </c>
    </row>
    <row r="34" spans="1:6">
      <c r="A34" s="4" t="s">
        <v>103</v>
      </c>
      <c r="B34" s="6" t="s">
        <v>101</v>
      </c>
      <c r="C34" s="4" t="s">
        <v>104</v>
      </c>
      <c r="D34" s="4">
        <v>17</v>
      </c>
      <c r="E34" s="4" t="s">
        <v>24</v>
      </c>
    </row>
    <row r="35" spans="1:6">
      <c r="A35" s="4" t="s">
        <v>105</v>
      </c>
      <c r="B35" s="6" t="s">
        <v>101</v>
      </c>
      <c r="C35" s="4" t="s">
        <v>49</v>
      </c>
      <c r="D35" s="4">
        <v>19</v>
      </c>
      <c r="E35" s="4" t="s">
        <v>24</v>
      </c>
    </row>
    <row r="36" spans="1:6">
      <c r="A36" s="4" t="s">
        <v>106</v>
      </c>
      <c r="B36" s="6" t="s">
        <v>107</v>
      </c>
      <c r="C36" s="4" t="s">
        <v>104</v>
      </c>
      <c r="D36" s="4">
        <v>13</v>
      </c>
      <c r="E36" s="4" t="s">
        <v>38</v>
      </c>
      <c r="F36" s="4" t="s">
        <v>108</v>
      </c>
    </row>
    <row r="37" spans="1:6">
      <c r="A37" s="4" t="s">
        <v>109</v>
      </c>
      <c r="B37" s="6" t="s">
        <v>107</v>
      </c>
      <c r="C37" s="4" t="s">
        <v>110</v>
      </c>
      <c r="D37" s="4">
        <v>17</v>
      </c>
      <c r="E37" s="4" t="s">
        <v>38</v>
      </c>
      <c r="F37" s="4" t="s">
        <v>111</v>
      </c>
    </row>
    <row r="38" spans="1:6">
      <c r="A38" s="4" t="s">
        <v>112</v>
      </c>
      <c r="B38" s="6" t="s">
        <v>113</v>
      </c>
      <c r="C38" s="4" t="s">
        <v>53</v>
      </c>
      <c r="D38" s="4">
        <v>10</v>
      </c>
      <c r="E38" s="4" t="s">
        <v>38</v>
      </c>
      <c r="F38" s="4" t="s">
        <v>114</v>
      </c>
    </row>
    <row r="39" spans="1:6">
      <c r="A39" s="4" t="s">
        <v>115</v>
      </c>
      <c r="B39" s="6" t="s">
        <v>113</v>
      </c>
      <c r="C39" s="4" t="s">
        <v>34</v>
      </c>
      <c r="D39" s="4">
        <v>9</v>
      </c>
      <c r="E39" s="4" t="s">
        <v>38</v>
      </c>
    </row>
    <row r="40" spans="1:6">
      <c r="A40" s="4" t="s">
        <v>116</v>
      </c>
      <c r="B40" s="6" t="s">
        <v>117</v>
      </c>
      <c r="C40" s="4" t="s">
        <v>104</v>
      </c>
      <c r="D40" s="4">
        <v>12</v>
      </c>
      <c r="E40" s="4" t="s">
        <v>50</v>
      </c>
      <c r="F40" s="4" t="s">
        <v>118</v>
      </c>
    </row>
    <row r="41" spans="1:6">
      <c r="A41" s="4" t="s">
        <v>119</v>
      </c>
      <c r="B41" s="6" t="s">
        <v>120</v>
      </c>
      <c r="C41" s="4" t="s">
        <v>121</v>
      </c>
      <c r="D41" s="4">
        <v>12</v>
      </c>
      <c r="E41" s="4" t="s">
        <v>122</v>
      </c>
    </row>
    <row r="42" spans="1:6">
      <c r="A42" s="4" t="s">
        <v>123</v>
      </c>
      <c r="B42" s="6" t="s">
        <v>120</v>
      </c>
      <c r="C42" s="4" t="s">
        <v>81</v>
      </c>
      <c r="D42" s="4">
        <v>16</v>
      </c>
      <c r="E42" s="4" t="s">
        <v>54</v>
      </c>
    </row>
    <row r="43" spans="1:6">
      <c r="A43" s="4" t="s">
        <v>124</v>
      </c>
      <c r="B43" s="6" t="s">
        <v>120</v>
      </c>
      <c r="C43" s="4" t="s">
        <v>27</v>
      </c>
      <c r="D43" s="4">
        <v>16</v>
      </c>
      <c r="E43" s="4" t="s">
        <v>54</v>
      </c>
    </row>
    <row r="44" spans="1:6">
      <c r="A44" s="4" t="s">
        <v>125</v>
      </c>
      <c r="B44" s="6" t="s">
        <v>120</v>
      </c>
      <c r="C44" s="4" t="s">
        <v>121</v>
      </c>
      <c r="D44" s="4">
        <v>13</v>
      </c>
      <c r="E44" s="4" t="s">
        <v>122</v>
      </c>
    </row>
    <row r="45" spans="1:6">
      <c r="A45" s="4" t="s">
        <v>126</v>
      </c>
      <c r="B45" s="6" t="s">
        <v>127</v>
      </c>
      <c r="C45" s="4" t="s">
        <v>27</v>
      </c>
      <c r="D45" s="4">
        <v>5</v>
      </c>
      <c r="E45" s="4" t="s">
        <v>128</v>
      </c>
    </row>
    <row r="46" spans="1:6">
      <c r="A46" s="4" t="s">
        <v>129</v>
      </c>
      <c r="B46" s="6" t="s">
        <v>127</v>
      </c>
      <c r="C46" s="4" t="s">
        <v>34</v>
      </c>
      <c r="D46" s="4">
        <v>8</v>
      </c>
      <c r="E46" s="4" t="s">
        <v>54</v>
      </c>
      <c r="F46" s="4" t="s">
        <v>130</v>
      </c>
    </row>
    <row r="47" spans="1:6">
      <c r="A47" s="4" t="s">
        <v>131</v>
      </c>
      <c r="B47" s="6" t="s">
        <v>127</v>
      </c>
      <c r="C47" s="4" t="s">
        <v>132</v>
      </c>
      <c r="D47" s="4">
        <v>16</v>
      </c>
      <c r="E47" s="4" t="s">
        <v>54</v>
      </c>
      <c r="F47" s="4" t="s">
        <v>133</v>
      </c>
    </row>
    <row r="48" spans="1:6">
      <c r="A48" s="4" t="s">
        <v>134</v>
      </c>
      <c r="B48" s="6" t="s">
        <v>127</v>
      </c>
      <c r="C48" s="4" t="s">
        <v>27</v>
      </c>
      <c r="D48" s="4">
        <v>17</v>
      </c>
      <c r="E48" s="4" t="s">
        <v>128</v>
      </c>
    </row>
    <row r="49" spans="1:6">
      <c r="A49" s="4" t="s">
        <v>135</v>
      </c>
      <c r="B49" s="6" t="s">
        <v>136</v>
      </c>
      <c r="C49" s="4" t="s">
        <v>63</v>
      </c>
      <c r="D49" s="4">
        <v>24</v>
      </c>
      <c r="E49" s="4" t="s">
        <v>24</v>
      </c>
      <c r="F49" s="4" t="s">
        <v>137</v>
      </c>
    </row>
    <row r="50" spans="1:6">
      <c r="A50" s="4" t="s">
        <v>138</v>
      </c>
      <c r="B50" s="6" t="s">
        <v>139</v>
      </c>
      <c r="C50" s="4" t="s">
        <v>140</v>
      </c>
      <c r="D50" s="4">
        <v>21</v>
      </c>
      <c r="E50" s="4" t="s">
        <v>38</v>
      </c>
    </row>
    <row r="51" spans="1:6">
      <c r="A51" s="4" t="s">
        <v>141</v>
      </c>
      <c r="B51" s="6" t="s">
        <v>142</v>
      </c>
      <c r="C51" s="4" t="s">
        <v>143</v>
      </c>
      <c r="D51" s="4">
        <v>15</v>
      </c>
      <c r="E51" s="4" t="s">
        <v>50</v>
      </c>
      <c r="F51" s="4" t="s">
        <v>144</v>
      </c>
    </row>
    <row r="52" spans="1:6">
      <c r="A52" s="4" t="s">
        <v>145</v>
      </c>
      <c r="B52" s="6" t="s">
        <v>146</v>
      </c>
      <c r="C52" s="4" t="s">
        <v>104</v>
      </c>
      <c r="D52" s="4">
        <v>9</v>
      </c>
      <c r="E52" s="4" t="s">
        <v>50</v>
      </c>
      <c r="F52" s="4" t="s">
        <v>118</v>
      </c>
    </row>
    <row r="53" spans="1:6">
      <c r="A53" s="4" t="s">
        <v>147</v>
      </c>
      <c r="B53" s="6" t="s">
        <v>148</v>
      </c>
      <c r="C53" s="4" t="s">
        <v>149</v>
      </c>
      <c r="D53" s="4">
        <v>4</v>
      </c>
      <c r="E53" s="4" t="s">
        <v>150</v>
      </c>
      <c r="F53" s="4" t="s">
        <v>151</v>
      </c>
    </row>
    <row r="54" spans="1:6">
      <c r="A54" s="4" t="s">
        <v>152</v>
      </c>
      <c r="B54" s="6" t="s">
        <v>153</v>
      </c>
      <c r="C54" s="4" t="s">
        <v>19</v>
      </c>
      <c r="D54" s="4">
        <v>11</v>
      </c>
      <c r="E54" s="4" t="s">
        <v>154</v>
      </c>
      <c r="F54" s="4" t="s">
        <v>155</v>
      </c>
    </row>
    <row r="55" spans="1:6">
      <c r="A55" s="4" t="s">
        <v>156</v>
      </c>
      <c r="B55" s="6" t="s">
        <v>153</v>
      </c>
      <c r="C55" s="4" t="s">
        <v>156</v>
      </c>
      <c r="D55" s="4">
        <v>9</v>
      </c>
      <c r="E55" s="4" t="s">
        <v>154</v>
      </c>
      <c r="F55" s="4" t="s">
        <v>157</v>
      </c>
    </row>
    <row r="56" spans="1:6">
      <c r="A56" s="4" t="s">
        <v>158</v>
      </c>
      <c r="B56" s="6" t="s">
        <v>159</v>
      </c>
      <c r="C56" s="4" t="s">
        <v>81</v>
      </c>
      <c r="D56" s="4">
        <v>10</v>
      </c>
      <c r="E56" s="4" t="s">
        <v>160</v>
      </c>
    </row>
    <row r="57" spans="1:6">
      <c r="A57" s="4" t="s">
        <v>161</v>
      </c>
      <c r="B57" s="6" t="s">
        <v>159</v>
      </c>
      <c r="C57" s="4" t="s">
        <v>81</v>
      </c>
      <c r="D57" s="4">
        <v>14</v>
      </c>
      <c r="E57" s="4" t="s">
        <v>154</v>
      </c>
    </row>
    <row r="58" spans="1:6">
      <c r="A58" s="4" t="s">
        <v>162</v>
      </c>
      <c r="B58" s="6" t="s">
        <v>159</v>
      </c>
      <c r="C58" s="4" t="s">
        <v>163</v>
      </c>
      <c r="D58" s="4">
        <v>10</v>
      </c>
      <c r="E58" s="4" t="s">
        <v>164</v>
      </c>
    </row>
    <row r="59" spans="1:6">
      <c r="A59" s="4" t="s">
        <v>165</v>
      </c>
      <c r="B59" s="6" t="s">
        <v>166</v>
      </c>
      <c r="C59" s="4" t="s">
        <v>31</v>
      </c>
      <c r="D59" s="4">
        <v>8</v>
      </c>
      <c r="E59" s="4" t="s">
        <v>54</v>
      </c>
    </row>
    <row r="60" spans="1:6">
      <c r="A60" s="4" t="s">
        <v>167</v>
      </c>
      <c r="B60" s="6" t="s">
        <v>166</v>
      </c>
      <c r="C60" s="4" t="s">
        <v>37</v>
      </c>
      <c r="D60" s="4">
        <v>19</v>
      </c>
      <c r="E60" s="4" t="s">
        <v>54</v>
      </c>
      <c r="F60" s="4" t="s">
        <v>168</v>
      </c>
    </row>
    <row r="61" spans="1:6">
      <c r="A61" s="4" t="s">
        <v>169</v>
      </c>
      <c r="B61" s="6" t="s">
        <v>170</v>
      </c>
      <c r="C61" s="4" t="s">
        <v>31</v>
      </c>
      <c r="D61" s="4">
        <v>15</v>
      </c>
      <c r="E61" s="4" t="s">
        <v>54</v>
      </c>
    </row>
    <row r="62" spans="1:6">
      <c r="A62" s="4" t="s">
        <v>171</v>
      </c>
      <c r="B62" s="6" t="s">
        <v>172</v>
      </c>
      <c r="C62" s="4" t="s">
        <v>173</v>
      </c>
      <c r="D62" s="4">
        <v>6</v>
      </c>
      <c r="E62" s="4" t="s">
        <v>164</v>
      </c>
      <c r="F62" s="4" t="s">
        <v>174</v>
      </c>
    </row>
    <row r="63" spans="1:6">
      <c r="A63" s="4" t="s">
        <v>175</v>
      </c>
      <c r="B63" s="6" t="s">
        <v>176</v>
      </c>
      <c r="C63" s="4" t="s">
        <v>81</v>
      </c>
      <c r="D63" s="4">
        <v>10</v>
      </c>
      <c r="E63" s="4" t="s">
        <v>177</v>
      </c>
    </row>
    <row r="64" spans="1:6">
      <c r="A64" s="4" t="s">
        <v>178</v>
      </c>
      <c r="B64" s="6" t="s">
        <v>176</v>
      </c>
      <c r="C64" s="4" t="s">
        <v>34</v>
      </c>
      <c r="D64" s="4">
        <v>12</v>
      </c>
      <c r="E64" s="4" t="s">
        <v>177</v>
      </c>
    </row>
    <row r="65" spans="1:6">
      <c r="A65" s="4" t="s">
        <v>179</v>
      </c>
      <c r="B65" s="6" t="s">
        <v>176</v>
      </c>
      <c r="C65" s="4" t="s">
        <v>179</v>
      </c>
      <c r="D65" s="4">
        <v>7</v>
      </c>
      <c r="E65" s="4" t="s">
        <v>180</v>
      </c>
      <c r="F65" s="4" t="s">
        <v>181</v>
      </c>
    </row>
    <row r="66" spans="1:6">
      <c r="A66" s="4" t="s">
        <v>182</v>
      </c>
      <c r="B66" s="6" t="s">
        <v>183</v>
      </c>
      <c r="C66" s="4" t="s">
        <v>182</v>
      </c>
      <c r="D66" s="4">
        <v>1</v>
      </c>
      <c r="E66" s="4" t="s">
        <v>184</v>
      </c>
      <c r="F66" s="4" t="s">
        <v>185</v>
      </c>
    </row>
    <row r="67" spans="1:6">
      <c r="A67" s="4" t="s">
        <v>186</v>
      </c>
      <c r="B67" s="6" t="s">
        <v>187</v>
      </c>
      <c r="C67" s="4" t="s">
        <v>149</v>
      </c>
      <c r="D67" s="4">
        <v>5</v>
      </c>
      <c r="E67" s="4" t="s">
        <v>188</v>
      </c>
      <c r="F67" s="4" t="s">
        <v>189</v>
      </c>
    </row>
    <row r="68" spans="1:6">
      <c r="A68" s="4" t="s">
        <v>190</v>
      </c>
      <c r="B68" s="6" t="s">
        <v>187</v>
      </c>
      <c r="C68" s="4" t="s">
        <v>34</v>
      </c>
      <c r="D68" s="4">
        <v>8</v>
      </c>
      <c r="E68" s="4" t="s">
        <v>191</v>
      </c>
      <c r="F68" s="4" t="s">
        <v>192</v>
      </c>
    </row>
    <row r="69" spans="1:6">
      <c r="A69" s="4" t="s">
        <v>193</v>
      </c>
      <c r="B69" s="6" t="s">
        <v>194</v>
      </c>
      <c r="C69" s="4" t="s">
        <v>195</v>
      </c>
      <c r="D69" s="4">
        <v>12</v>
      </c>
      <c r="E69" s="4" t="s">
        <v>154</v>
      </c>
      <c r="F69" s="4" t="s">
        <v>196</v>
      </c>
    </row>
    <row r="70" spans="1:6">
      <c r="A70" s="4" t="s">
        <v>197</v>
      </c>
      <c r="B70" s="6" t="s">
        <v>194</v>
      </c>
      <c r="C70" s="4" t="s">
        <v>49</v>
      </c>
      <c r="D70" s="4">
        <v>14</v>
      </c>
      <c r="E70" s="4" t="s">
        <v>164</v>
      </c>
      <c r="F70" s="4" t="s">
        <v>155</v>
      </c>
    </row>
    <row r="71" spans="1:6">
      <c r="A71" s="4" t="s">
        <v>198</v>
      </c>
      <c r="B71" s="6" t="s">
        <v>199</v>
      </c>
      <c r="C71" s="4" t="s">
        <v>19</v>
      </c>
      <c r="D71" s="4">
        <v>14</v>
      </c>
      <c r="E71" s="4" t="s">
        <v>154</v>
      </c>
      <c r="F71" s="4" t="s">
        <v>200</v>
      </c>
    </row>
    <row r="72" spans="1:6">
      <c r="A72" s="4" t="s">
        <v>201</v>
      </c>
      <c r="B72" s="6" t="s">
        <v>202</v>
      </c>
      <c r="C72" s="4" t="s">
        <v>163</v>
      </c>
      <c r="D72" s="4">
        <v>8</v>
      </c>
      <c r="E72" s="4" t="s">
        <v>54</v>
      </c>
      <c r="F72" s="4" t="s">
        <v>203</v>
      </c>
    </row>
    <row r="73" spans="1:6">
      <c r="A73" s="4" t="s">
        <v>204</v>
      </c>
      <c r="B73" s="6" t="s">
        <v>202</v>
      </c>
      <c r="C73" s="4" t="s">
        <v>163</v>
      </c>
      <c r="D73" s="4">
        <v>16</v>
      </c>
      <c r="E73" s="4" t="s">
        <v>54</v>
      </c>
    </row>
    <row r="74" spans="1:6">
      <c r="A74" s="4" t="s">
        <v>205</v>
      </c>
      <c r="B74" s="6" t="s">
        <v>202</v>
      </c>
      <c r="C74" s="4" t="s">
        <v>23</v>
      </c>
      <c r="D74" s="4">
        <v>15</v>
      </c>
      <c r="E74" s="4" t="s">
        <v>54</v>
      </c>
    </row>
    <row r="75" spans="1:6">
      <c r="A75" s="4" t="s">
        <v>206</v>
      </c>
      <c r="B75" s="6" t="s">
        <v>202</v>
      </c>
      <c r="C75" s="4" t="s">
        <v>14</v>
      </c>
      <c r="D75" s="4">
        <v>13</v>
      </c>
      <c r="E75" s="4" t="s">
        <v>54</v>
      </c>
    </row>
    <row r="76" spans="1:6">
      <c r="A76" s="4" t="s">
        <v>207</v>
      </c>
      <c r="B76" s="6" t="s">
        <v>202</v>
      </c>
      <c r="C76" s="4" t="s">
        <v>14</v>
      </c>
      <c r="D76" s="4">
        <v>15</v>
      </c>
      <c r="E76" s="4" t="s">
        <v>208</v>
      </c>
    </row>
    <row r="77" spans="1:6">
      <c r="A77" s="4" t="s">
        <v>209</v>
      </c>
      <c r="B77" s="6" t="s">
        <v>210</v>
      </c>
      <c r="C77" s="4" t="s">
        <v>87</v>
      </c>
      <c r="D77" s="4">
        <v>8</v>
      </c>
      <c r="E77" s="4" t="s">
        <v>211</v>
      </c>
      <c r="F77" s="4" t="s">
        <v>212</v>
      </c>
    </row>
    <row r="78" spans="1:6">
      <c r="A78" s="4" t="s">
        <v>213</v>
      </c>
      <c r="B78" s="6" t="s">
        <v>210</v>
      </c>
      <c r="C78" s="4" t="s">
        <v>214</v>
      </c>
      <c r="D78" s="4">
        <v>4</v>
      </c>
      <c r="E78" s="4" t="s">
        <v>211</v>
      </c>
      <c r="F78" s="4" t="s">
        <v>215</v>
      </c>
    </row>
    <row r="79" spans="1:6">
      <c r="A79" s="4" t="s">
        <v>216</v>
      </c>
      <c r="B79" s="6" t="s">
        <v>217</v>
      </c>
      <c r="C79" s="4" t="s">
        <v>218</v>
      </c>
      <c r="D79" s="4">
        <v>10</v>
      </c>
      <c r="E79" s="4" t="s">
        <v>219</v>
      </c>
    </row>
    <row r="80" spans="1:6">
      <c r="A80" s="4" t="s">
        <v>220</v>
      </c>
      <c r="B80" s="6" t="s">
        <v>217</v>
      </c>
      <c r="C80" s="4" t="s">
        <v>221</v>
      </c>
      <c r="D80" s="4">
        <v>13</v>
      </c>
      <c r="E80" s="4" t="s">
        <v>219</v>
      </c>
    </row>
    <row r="81" spans="1:6">
      <c r="A81" s="4" t="s">
        <v>222</v>
      </c>
      <c r="B81" s="6" t="s">
        <v>217</v>
      </c>
      <c r="C81" s="4" t="s">
        <v>223</v>
      </c>
      <c r="D81" s="4">
        <v>10</v>
      </c>
      <c r="E81" s="4" t="s">
        <v>224</v>
      </c>
    </row>
    <row r="82" spans="1:6">
      <c r="A82" s="4" t="s">
        <v>225</v>
      </c>
      <c r="B82" s="6" t="s">
        <v>217</v>
      </c>
      <c r="C82" s="4" t="s">
        <v>226</v>
      </c>
      <c r="D82" s="4">
        <v>12</v>
      </c>
      <c r="E82" s="4" t="s">
        <v>219</v>
      </c>
      <c r="F82" s="4" t="s">
        <v>227</v>
      </c>
    </row>
    <row r="83" spans="1:6">
      <c r="A83" s="4" t="s">
        <v>228</v>
      </c>
      <c r="B83" s="6" t="s">
        <v>217</v>
      </c>
      <c r="C83" s="4" t="s">
        <v>76</v>
      </c>
      <c r="D83" s="4">
        <v>15</v>
      </c>
      <c r="E83" s="4" t="s">
        <v>219</v>
      </c>
    </row>
    <row r="84" spans="1:6">
      <c r="A84" s="4" t="s">
        <v>229</v>
      </c>
      <c r="B84" s="6" t="s">
        <v>230</v>
      </c>
      <c r="C84" s="4" t="s">
        <v>231</v>
      </c>
      <c r="D84" s="4">
        <v>10</v>
      </c>
      <c r="E84" s="4" t="s">
        <v>219</v>
      </c>
    </row>
    <row r="85" spans="1:6">
      <c r="A85" s="4" t="s">
        <v>232</v>
      </c>
      <c r="B85" s="6" t="s">
        <v>230</v>
      </c>
      <c r="C85" s="4" t="s">
        <v>34</v>
      </c>
      <c r="D85" s="4">
        <v>13</v>
      </c>
      <c r="E85" s="4" t="s">
        <v>219</v>
      </c>
    </row>
    <row r="86" spans="1:6">
      <c r="A86" s="4" t="s">
        <v>233</v>
      </c>
      <c r="B86" s="6" t="s">
        <v>234</v>
      </c>
      <c r="C86" s="4" t="s">
        <v>179</v>
      </c>
      <c r="D86" s="4">
        <v>7</v>
      </c>
      <c r="E86" s="4" t="s">
        <v>235</v>
      </c>
      <c r="F86" s="4" t="s">
        <v>236</v>
      </c>
    </row>
    <row r="87" spans="1:6">
      <c r="A87" s="4" t="s">
        <v>237</v>
      </c>
      <c r="B87" s="6" t="s">
        <v>234</v>
      </c>
      <c r="C87" s="4" t="s">
        <v>238</v>
      </c>
      <c r="D87" s="4">
        <v>12</v>
      </c>
      <c r="E87" s="4" t="s">
        <v>235</v>
      </c>
    </row>
    <row r="88" spans="1:6">
      <c r="A88" s="4" t="s">
        <v>239</v>
      </c>
      <c r="B88" s="6" t="s">
        <v>240</v>
      </c>
      <c r="C88" s="4" t="s">
        <v>223</v>
      </c>
      <c r="D88" s="4">
        <v>15</v>
      </c>
      <c r="E88" s="4" t="s">
        <v>235</v>
      </c>
      <c r="F88" s="4" t="s">
        <v>241</v>
      </c>
    </row>
    <row r="89" spans="1:6">
      <c r="A89" s="4" t="s">
        <v>242</v>
      </c>
      <c r="B89" s="6" t="s">
        <v>240</v>
      </c>
      <c r="C89" s="4" t="s">
        <v>243</v>
      </c>
      <c r="D89" s="4">
        <v>5</v>
      </c>
      <c r="E89" s="4" t="s">
        <v>235</v>
      </c>
      <c r="F89" s="4" t="s">
        <v>244</v>
      </c>
    </row>
    <row r="90" spans="1:6">
      <c r="A90" s="4" t="s">
        <v>245</v>
      </c>
      <c r="B90" s="6" t="s">
        <v>240</v>
      </c>
      <c r="C90" s="4" t="s">
        <v>246</v>
      </c>
      <c r="D90" s="4">
        <v>14</v>
      </c>
      <c r="E90" s="4" t="s">
        <v>247</v>
      </c>
      <c r="F90" s="4" t="s">
        <v>248</v>
      </c>
    </row>
    <row r="91" spans="1:6">
      <c r="A91" s="4" t="s">
        <v>249</v>
      </c>
      <c r="B91" s="6" t="s">
        <v>240</v>
      </c>
      <c r="C91" s="4" t="s">
        <v>223</v>
      </c>
      <c r="D91" s="4">
        <v>17</v>
      </c>
      <c r="E91" s="4" t="s">
        <v>235</v>
      </c>
      <c r="F91" s="4" t="s">
        <v>241</v>
      </c>
    </row>
    <row r="92" spans="1:6">
      <c r="A92" s="4" t="s">
        <v>243</v>
      </c>
      <c r="B92" s="6" t="s">
        <v>240</v>
      </c>
      <c r="C92" s="4" t="s">
        <v>243</v>
      </c>
      <c r="D92" s="4">
        <v>2</v>
      </c>
      <c r="E92" s="4" t="s">
        <v>235</v>
      </c>
    </row>
    <row r="93" spans="1:6">
      <c r="A93" s="4" t="s">
        <v>250</v>
      </c>
      <c r="B93" s="6" t="s">
        <v>251</v>
      </c>
      <c r="C93" s="4" t="s">
        <v>252</v>
      </c>
      <c r="D93" s="4">
        <v>19</v>
      </c>
      <c r="E93" s="4" t="s">
        <v>211</v>
      </c>
    </row>
    <row r="94" spans="1:6">
      <c r="A94" s="4" t="s">
        <v>253</v>
      </c>
      <c r="B94" s="6" t="s">
        <v>251</v>
      </c>
      <c r="C94" s="4" t="s">
        <v>254</v>
      </c>
      <c r="D94" s="4">
        <v>7</v>
      </c>
      <c r="E94" s="4" t="s">
        <v>255</v>
      </c>
    </row>
    <row r="95" spans="1:6">
      <c r="A95" s="4" t="s">
        <v>256</v>
      </c>
      <c r="B95" s="6" t="s">
        <v>251</v>
      </c>
      <c r="C95" s="4" t="s">
        <v>34</v>
      </c>
      <c r="D95" s="4">
        <v>15</v>
      </c>
      <c r="E95" s="4" t="s">
        <v>211</v>
      </c>
      <c r="F95" s="4" t="s">
        <v>257</v>
      </c>
    </row>
    <row r="96" spans="1:6">
      <c r="A96" s="4" t="s">
        <v>258</v>
      </c>
      <c r="B96" s="6" t="s">
        <v>259</v>
      </c>
      <c r="C96" s="4" t="s">
        <v>23</v>
      </c>
      <c r="D96" s="4">
        <v>5</v>
      </c>
      <c r="E96" s="4" t="s">
        <v>260</v>
      </c>
    </row>
    <row r="97" spans="1:6">
      <c r="A97" s="4" t="s">
        <v>261</v>
      </c>
      <c r="B97" s="6" t="s">
        <v>262</v>
      </c>
      <c r="C97" s="4" t="s">
        <v>263</v>
      </c>
      <c r="D97" s="4">
        <v>12</v>
      </c>
      <c r="E97" s="4" t="s">
        <v>264</v>
      </c>
    </row>
    <row r="98" spans="1:6">
      <c r="A98" s="4" t="s">
        <v>265</v>
      </c>
      <c r="B98" s="6" t="s">
        <v>262</v>
      </c>
      <c r="C98" s="4" t="s">
        <v>34</v>
      </c>
      <c r="D98" s="4">
        <v>13</v>
      </c>
      <c r="E98" s="4" t="s">
        <v>266</v>
      </c>
    </row>
    <row r="99" spans="1:6">
      <c r="A99" s="4" t="s">
        <v>267</v>
      </c>
      <c r="B99" s="6" t="s">
        <v>262</v>
      </c>
      <c r="C99" s="4" t="s">
        <v>268</v>
      </c>
      <c r="D99" s="4">
        <v>14</v>
      </c>
      <c r="E99" s="4" t="s">
        <v>269</v>
      </c>
    </row>
    <row r="100" spans="1:6">
      <c r="A100" s="4" t="s">
        <v>270</v>
      </c>
      <c r="B100" s="6" t="s">
        <v>262</v>
      </c>
      <c r="C100" s="4" t="s">
        <v>271</v>
      </c>
      <c r="D100" s="4">
        <v>10</v>
      </c>
      <c r="E100" s="4" t="s">
        <v>266</v>
      </c>
      <c r="F100" s="4" t="s">
        <v>272</v>
      </c>
    </row>
    <row r="101" spans="1:6">
      <c r="A101" s="4" t="s">
        <v>273</v>
      </c>
      <c r="B101" s="6" t="s">
        <v>274</v>
      </c>
      <c r="C101" s="4" t="s">
        <v>275</v>
      </c>
      <c r="D101" s="4">
        <v>8</v>
      </c>
      <c r="E101" s="4" t="s">
        <v>276</v>
      </c>
      <c r="F101" s="4" t="s">
        <v>277</v>
      </c>
    </row>
    <row r="102" spans="1:6">
      <c r="A102" s="4" t="s">
        <v>278</v>
      </c>
      <c r="B102" s="6" t="s">
        <v>274</v>
      </c>
      <c r="C102" s="4" t="s">
        <v>279</v>
      </c>
      <c r="D102" s="4">
        <v>6</v>
      </c>
      <c r="E102" s="4" t="s">
        <v>280</v>
      </c>
      <c r="F102" s="4" t="s">
        <v>281</v>
      </c>
    </row>
    <row r="103" spans="1:6">
      <c r="A103" s="4" t="s">
        <v>282</v>
      </c>
      <c r="B103" s="6" t="s">
        <v>274</v>
      </c>
      <c r="C103" s="4" t="s">
        <v>53</v>
      </c>
      <c r="D103" s="4">
        <v>10</v>
      </c>
      <c r="E103" s="4" t="s">
        <v>276</v>
      </c>
    </row>
    <row r="104" spans="1:6">
      <c r="A104" s="4" t="s">
        <v>283</v>
      </c>
      <c r="B104" s="6" t="s">
        <v>274</v>
      </c>
      <c r="C104" s="4" t="s">
        <v>254</v>
      </c>
      <c r="D104" s="4">
        <v>8</v>
      </c>
      <c r="E104" s="4" t="s">
        <v>276</v>
      </c>
    </row>
    <row r="105" spans="1:6">
      <c r="A105" s="4" t="s">
        <v>284</v>
      </c>
      <c r="B105" s="6" t="s">
        <v>274</v>
      </c>
      <c r="C105" s="4" t="s">
        <v>285</v>
      </c>
      <c r="D105" s="4">
        <v>8</v>
      </c>
      <c r="E105" s="4" t="s">
        <v>276</v>
      </c>
    </row>
    <row r="106" spans="1:6">
      <c r="A106" s="4" t="s">
        <v>286</v>
      </c>
      <c r="B106" s="6" t="s">
        <v>287</v>
      </c>
      <c r="C106" s="4" t="s">
        <v>53</v>
      </c>
      <c r="D106" s="4">
        <v>9</v>
      </c>
      <c r="E106" s="4" t="s">
        <v>276</v>
      </c>
      <c r="F106" s="4" t="s">
        <v>288</v>
      </c>
    </row>
    <row r="107" spans="1:6">
      <c r="A107" s="4" t="s">
        <v>289</v>
      </c>
      <c r="B107" s="6" t="s">
        <v>290</v>
      </c>
      <c r="C107" s="4" t="s">
        <v>34</v>
      </c>
      <c r="D107" s="4">
        <v>8</v>
      </c>
      <c r="E107" s="4" t="s">
        <v>291</v>
      </c>
      <c r="F107" s="4" t="s">
        <v>292</v>
      </c>
    </row>
    <row r="108" spans="1:6">
      <c r="A108" s="4" t="s">
        <v>293</v>
      </c>
      <c r="B108" s="6" t="s">
        <v>290</v>
      </c>
      <c r="C108" s="4" t="s">
        <v>34</v>
      </c>
      <c r="D108" s="4">
        <v>11</v>
      </c>
      <c r="E108" s="4" t="s">
        <v>291</v>
      </c>
    </row>
    <row r="109" spans="1:6">
      <c r="A109" s="4" t="s">
        <v>294</v>
      </c>
      <c r="B109" s="6" t="s">
        <v>290</v>
      </c>
      <c r="C109" s="4" t="s">
        <v>34</v>
      </c>
      <c r="D109" s="4">
        <v>9</v>
      </c>
      <c r="E109" s="4" t="s">
        <v>291</v>
      </c>
      <c r="F109" s="4" t="s">
        <v>292</v>
      </c>
    </row>
    <row r="110" spans="1:6">
      <c r="A110" s="4" t="s">
        <v>295</v>
      </c>
      <c r="B110" s="6" t="s">
        <v>290</v>
      </c>
      <c r="C110" s="4" t="s">
        <v>296</v>
      </c>
      <c r="D110" s="4">
        <v>10</v>
      </c>
      <c r="E110" s="4" t="s">
        <v>291</v>
      </c>
    </row>
    <row r="111" spans="1:6">
      <c r="A111" s="4" t="s">
        <v>297</v>
      </c>
      <c r="B111" s="6" t="s">
        <v>298</v>
      </c>
      <c r="C111" s="4" t="s">
        <v>263</v>
      </c>
      <c r="D111" s="4">
        <v>5</v>
      </c>
      <c r="E111" s="4" t="s">
        <v>219</v>
      </c>
      <c r="F111" s="4" t="s">
        <v>299</v>
      </c>
    </row>
    <row r="112" spans="1:6">
      <c r="A112" s="4" t="s">
        <v>300</v>
      </c>
      <c r="B112" s="6" t="s">
        <v>298</v>
      </c>
      <c r="C112" s="4" t="s">
        <v>301</v>
      </c>
      <c r="D112" s="4">
        <v>11</v>
      </c>
      <c r="E112" s="4" t="s">
        <v>219</v>
      </c>
      <c r="F112" s="4" t="s">
        <v>302</v>
      </c>
    </row>
    <row r="113" spans="1:6">
      <c r="A113" s="4" t="s">
        <v>303</v>
      </c>
      <c r="B113" s="6" t="s">
        <v>304</v>
      </c>
      <c r="C113" s="4" t="s">
        <v>37</v>
      </c>
      <c r="D113" s="4">
        <v>17</v>
      </c>
      <c r="E113" s="4" t="s">
        <v>305</v>
      </c>
      <c r="F113" s="4" t="s">
        <v>306</v>
      </c>
    </row>
    <row r="114" spans="1:6">
      <c r="A114" s="4" t="s">
        <v>307</v>
      </c>
      <c r="B114" s="6" t="s">
        <v>308</v>
      </c>
      <c r="C114" s="4" t="s">
        <v>27</v>
      </c>
      <c r="D114" s="4">
        <v>12</v>
      </c>
      <c r="E114" s="4" t="s">
        <v>235</v>
      </c>
      <c r="F114" s="4" t="s">
        <v>309</v>
      </c>
    </row>
    <row r="115" spans="1:6">
      <c r="A115" s="4" t="s">
        <v>310</v>
      </c>
      <c r="B115" s="6" t="s">
        <v>308</v>
      </c>
      <c r="C115" s="4" t="s">
        <v>311</v>
      </c>
      <c r="D115" s="4">
        <v>10</v>
      </c>
      <c r="E115" s="4" t="s">
        <v>312</v>
      </c>
    </row>
    <row r="116" spans="1:6">
      <c r="A116" s="4" t="s">
        <v>313</v>
      </c>
      <c r="B116" s="6" t="s">
        <v>314</v>
      </c>
      <c r="C116" s="4" t="s">
        <v>315</v>
      </c>
      <c r="D116" s="4">
        <v>13</v>
      </c>
      <c r="E116" s="4" t="s">
        <v>316</v>
      </c>
    </row>
    <row r="117" spans="1:6">
      <c r="A117" s="4" t="s">
        <v>317</v>
      </c>
      <c r="B117" s="6" t="s">
        <v>314</v>
      </c>
      <c r="C117" s="4" t="s">
        <v>317</v>
      </c>
      <c r="D117" s="4">
        <v>2</v>
      </c>
      <c r="E117" s="4" t="s">
        <v>316</v>
      </c>
      <c r="F117" s="4" t="s">
        <v>318</v>
      </c>
    </row>
    <row r="118" spans="1:6">
      <c r="A118" s="4" t="s">
        <v>319</v>
      </c>
      <c r="B118" s="6" t="s">
        <v>314</v>
      </c>
      <c r="C118" s="4" t="s">
        <v>34</v>
      </c>
      <c r="D118" s="4">
        <v>10</v>
      </c>
      <c r="E118" s="4" t="s">
        <v>320</v>
      </c>
      <c r="F118" s="4" t="s">
        <v>321</v>
      </c>
    </row>
    <row r="119" spans="1:6">
      <c r="A119" s="4" t="s">
        <v>322</v>
      </c>
      <c r="B119" s="6" t="s">
        <v>314</v>
      </c>
      <c r="C119" s="4" t="s">
        <v>34</v>
      </c>
      <c r="D119" s="4">
        <v>15</v>
      </c>
      <c r="E119" s="4" t="s">
        <v>320</v>
      </c>
      <c r="F119" s="4" t="s">
        <v>323</v>
      </c>
    </row>
    <row r="120" spans="1:6">
      <c r="A120" s="4" t="s">
        <v>324</v>
      </c>
      <c r="B120" s="6" t="s">
        <v>314</v>
      </c>
      <c r="C120" s="4" t="s">
        <v>324</v>
      </c>
      <c r="D120" s="4">
        <v>4</v>
      </c>
      <c r="F120" s="4" t="s">
        <v>325</v>
      </c>
    </row>
    <row r="121" spans="1:6">
      <c r="A121" s="4" t="s">
        <v>326</v>
      </c>
      <c r="B121" s="6" t="s">
        <v>327</v>
      </c>
      <c r="C121" s="4" t="s">
        <v>14</v>
      </c>
      <c r="D121" s="4">
        <v>11</v>
      </c>
      <c r="E121" s="4" t="s">
        <v>328</v>
      </c>
      <c r="F121" s="4" t="s">
        <v>329</v>
      </c>
    </row>
    <row r="122" spans="1:6">
      <c r="A122" s="4" t="s">
        <v>330</v>
      </c>
      <c r="B122" s="6" t="s">
        <v>327</v>
      </c>
      <c r="C122" s="4" t="s">
        <v>53</v>
      </c>
      <c r="D122" s="4">
        <v>8</v>
      </c>
      <c r="E122" s="4" t="s">
        <v>211</v>
      </c>
    </row>
    <row r="123" spans="1:6">
      <c r="A123" s="4" t="s">
        <v>331</v>
      </c>
      <c r="B123" s="6" t="s">
        <v>327</v>
      </c>
      <c r="C123" s="4" t="s">
        <v>218</v>
      </c>
      <c r="D123" s="4">
        <v>12</v>
      </c>
      <c r="E123" s="4" t="s">
        <v>332</v>
      </c>
    </row>
    <row r="124" spans="1:6">
      <c r="A124" s="4" t="s">
        <v>333</v>
      </c>
      <c r="B124" s="6" t="s">
        <v>334</v>
      </c>
      <c r="C124" s="4" t="s">
        <v>254</v>
      </c>
      <c r="D124" s="4">
        <v>10</v>
      </c>
      <c r="E124" s="4" t="s">
        <v>291</v>
      </c>
    </row>
    <row r="125" spans="1:6">
      <c r="A125" s="4" t="s">
        <v>335</v>
      </c>
      <c r="B125" s="6" t="s">
        <v>334</v>
      </c>
      <c r="C125" s="4" t="s">
        <v>34</v>
      </c>
      <c r="D125" s="4">
        <v>18</v>
      </c>
      <c r="E125" s="4" t="s">
        <v>291</v>
      </c>
    </row>
    <row r="126" spans="1:6">
      <c r="A126" s="4" t="s">
        <v>336</v>
      </c>
      <c r="B126" s="6" t="s">
        <v>334</v>
      </c>
      <c r="C126" s="4" t="s">
        <v>337</v>
      </c>
      <c r="D126" s="4">
        <v>13</v>
      </c>
      <c r="E126" s="4" t="s">
        <v>338</v>
      </c>
      <c r="F126" s="4" t="s">
        <v>339</v>
      </c>
    </row>
    <row r="127" spans="1:6">
      <c r="A127" s="4" t="s">
        <v>340</v>
      </c>
      <c r="B127" s="6" t="s">
        <v>341</v>
      </c>
      <c r="C127" s="4" t="s">
        <v>342</v>
      </c>
      <c r="D127" s="4">
        <v>15</v>
      </c>
      <c r="E127" s="4" t="s">
        <v>224</v>
      </c>
    </row>
    <row r="128" spans="1:6">
      <c r="A128" s="4" t="s">
        <v>343</v>
      </c>
      <c r="B128" s="6" t="s">
        <v>341</v>
      </c>
      <c r="C128" s="4" t="s">
        <v>53</v>
      </c>
      <c r="D128" s="4">
        <v>14</v>
      </c>
      <c r="E128" s="4" t="s">
        <v>219</v>
      </c>
    </row>
    <row r="129" spans="1:6">
      <c r="A129" s="4" t="s">
        <v>344</v>
      </c>
      <c r="B129" s="6" t="s">
        <v>345</v>
      </c>
      <c r="C129" s="4" t="s">
        <v>254</v>
      </c>
      <c r="D129" s="4">
        <v>12</v>
      </c>
      <c r="E129" s="4" t="s">
        <v>346</v>
      </c>
      <c r="F129" s="4" t="s">
        <v>347</v>
      </c>
    </row>
    <row r="130" spans="1:6">
      <c r="A130" s="4" t="s">
        <v>348</v>
      </c>
      <c r="B130" s="6" t="s">
        <v>345</v>
      </c>
      <c r="C130" s="4" t="s">
        <v>296</v>
      </c>
      <c r="D130" s="4">
        <v>10</v>
      </c>
      <c r="E130" s="4" t="s">
        <v>305</v>
      </c>
      <c r="F130" s="4" t="s">
        <v>347</v>
      </c>
    </row>
    <row r="131" spans="1:6">
      <c r="A131" s="4" t="s">
        <v>349</v>
      </c>
      <c r="B131" s="6" t="s">
        <v>350</v>
      </c>
      <c r="C131" s="4" t="s">
        <v>351</v>
      </c>
      <c r="D131" s="4">
        <v>7</v>
      </c>
      <c r="E131" s="4" t="s">
        <v>235</v>
      </c>
    </row>
    <row r="132" spans="1:6">
      <c r="A132" s="4" t="s">
        <v>352</v>
      </c>
      <c r="B132" s="6" t="s">
        <v>353</v>
      </c>
      <c r="C132" s="4" t="s">
        <v>354</v>
      </c>
      <c r="D132" s="4">
        <v>16</v>
      </c>
      <c r="E132" s="4" t="s">
        <v>346</v>
      </c>
      <c r="F132" s="4" t="s">
        <v>355</v>
      </c>
    </row>
    <row r="133" spans="1:6">
      <c r="A133" s="4" t="s">
        <v>356</v>
      </c>
      <c r="B133" s="6" t="s">
        <v>353</v>
      </c>
      <c r="C133" s="4" t="s">
        <v>143</v>
      </c>
      <c r="D133" s="4">
        <v>12</v>
      </c>
      <c r="E133" s="4" t="s">
        <v>357</v>
      </c>
    </row>
    <row r="134" spans="1:6">
      <c r="A134" s="4" t="s">
        <v>358</v>
      </c>
      <c r="B134" s="6" t="s">
        <v>359</v>
      </c>
      <c r="C134" s="4" t="s">
        <v>354</v>
      </c>
      <c r="D134" s="4">
        <v>9</v>
      </c>
      <c r="E134" s="4" t="s">
        <v>235</v>
      </c>
    </row>
    <row r="135" spans="1:6">
      <c r="A135" s="4" t="s">
        <v>360</v>
      </c>
      <c r="B135" s="6" t="s">
        <v>359</v>
      </c>
      <c r="C135" s="4" t="s">
        <v>76</v>
      </c>
      <c r="D135" s="4">
        <v>10</v>
      </c>
      <c r="E135" s="4" t="s">
        <v>235</v>
      </c>
    </row>
    <row r="136" spans="1:6">
      <c r="A136" s="4" t="s">
        <v>361</v>
      </c>
      <c r="B136" s="6" t="s">
        <v>359</v>
      </c>
      <c r="C136" s="4" t="s">
        <v>23</v>
      </c>
      <c r="D136" s="4">
        <v>8</v>
      </c>
      <c r="E136" s="4" t="s">
        <v>235</v>
      </c>
      <c r="F136" s="4" t="s">
        <v>362</v>
      </c>
    </row>
    <row r="137" spans="1:6">
      <c r="A137" s="4" t="s">
        <v>363</v>
      </c>
      <c r="B137" s="6" t="s">
        <v>359</v>
      </c>
      <c r="C137" s="4" t="s">
        <v>27</v>
      </c>
      <c r="D137" s="4">
        <v>8</v>
      </c>
      <c r="E137" s="4" t="s">
        <v>235</v>
      </c>
      <c r="F137" s="4" t="s">
        <v>364</v>
      </c>
    </row>
    <row r="138" spans="1:6">
      <c r="A138" s="4" t="s">
        <v>365</v>
      </c>
      <c r="B138" s="6" t="s">
        <v>359</v>
      </c>
      <c r="C138" s="4" t="s">
        <v>41</v>
      </c>
      <c r="D138" s="4">
        <v>8</v>
      </c>
      <c r="E138" s="4" t="s">
        <v>235</v>
      </c>
    </row>
    <row r="139" spans="1:6">
      <c r="A139" s="4" t="s">
        <v>366</v>
      </c>
      <c r="B139" s="6" t="s">
        <v>367</v>
      </c>
      <c r="C139" s="4" t="s">
        <v>34</v>
      </c>
      <c r="D139" s="4">
        <v>7</v>
      </c>
      <c r="E139" s="4" t="s">
        <v>211</v>
      </c>
      <c r="F139" s="4" t="s">
        <v>368</v>
      </c>
    </row>
    <row r="140" spans="1:6">
      <c r="A140" s="4" t="s">
        <v>369</v>
      </c>
      <c r="B140" s="6" t="s">
        <v>370</v>
      </c>
      <c r="C140" s="4" t="s">
        <v>53</v>
      </c>
      <c r="D140" s="4">
        <v>8</v>
      </c>
      <c r="E140" s="4" t="s">
        <v>219</v>
      </c>
      <c r="F140" s="4" t="s">
        <v>371</v>
      </c>
    </row>
    <row r="141" spans="1:6">
      <c r="A141" s="4" t="s">
        <v>372</v>
      </c>
      <c r="B141" s="6" t="s">
        <v>373</v>
      </c>
      <c r="C141" s="4" t="s">
        <v>53</v>
      </c>
      <c r="D141" s="4">
        <v>5</v>
      </c>
      <c r="E141" s="4" t="s">
        <v>374</v>
      </c>
      <c r="F141" s="4" t="s">
        <v>375</v>
      </c>
    </row>
    <row r="142" spans="1:6">
      <c r="A142" s="4" t="s">
        <v>376</v>
      </c>
      <c r="B142" s="6" t="s">
        <v>377</v>
      </c>
      <c r="C142" s="4" t="s">
        <v>53</v>
      </c>
      <c r="D142" s="4">
        <v>14</v>
      </c>
      <c r="E142" s="4" t="s">
        <v>305</v>
      </c>
    </row>
    <row r="143" spans="1:6">
      <c r="A143" s="4" t="s">
        <v>378</v>
      </c>
      <c r="B143" s="6" t="s">
        <v>379</v>
      </c>
      <c r="C143" s="4" t="s">
        <v>254</v>
      </c>
      <c r="D143" s="4">
        <v>9</v>
      </c>
      <c r="E143" s="4" t="s">
        <v>380</v>
      </c>
      <c r="F143" s="4" t="s">
        <v>381</v>
      </c>
    </row>
    <row r="144" spans="1:6">
      <c r="A144" s="4" t="s">
        <v>382</v>
      </c>
      <c r="B144" s="6" t="s">
        <v>379</v>
      </c>
      <c r="C144" s="4" t="s">
        <v>45</v>
      </c>
      <c r="D144" s="4">
        <v>8</v>
      </c>
      <c r="E144" s="4" t="s">
        <v>235</v>
      </c>
      <c r="F144" s="4" t="s">
        <v>383</v>
      </c>
    </row>
    <row r="145" spans="1:6">
      <c r="A145" s="4" t="s">
        <v>384</v>
      </c>
      <c r="B145" s="6" t="s">
        <v>379</v>
      </c>
      <c r="C145" s="4" t="s">
        <v>223</v>
      </c>
      <c r="D145" s="4">
        <v>14</v>
      </c>
      <c r="E145" s="4" t="s">
        <v>380</v>
      </c>
    </row>
    <row r="146" spans="1:6">
      <c r="A146" s="4" t="s">
        <v>385</v>
      </c>
      <c r="B146" s="6" t="s">
        <v>379</v>
      </c>
      <c r="C146" s="4" t="s">
        <v>27</v>
      </c>
      <c r="D146" s="4">
        <v>12</v>
      </c>
      <c r="E146" s="4" t="s">
        <v>380</v>
      </c>
    </row>
    <row r="147" spans="1:6">
      <c r="A147" s="4" t="s">
        <v>386</v>
      </c>
      <c r="B147" s="6" t="s">
        <v>379</v>
      </c>
      <c r="C147" s="4" t="s">
        <v>45</v>
      </c>
      <c r="D147" s="4">
        <v>19</v>
      </c>
      <c r="E147" s="4" t="s">
        <v>235</v>
      </c>
      <c r="F147" s="4" t="s">
        <v>383</v>
      </c>
    </row>
    <row r="148" spans="1:6">
      <c r="A148" s="4" t="s">
        <v>387</v>
      </c>
      <c r="B148" s="6" t="s">
        <v>379</v>
      </c>
      <c r="C148" s="4" t="s">
        <v>45</v>
      </c>
      <c r="D148" s="4">
        <v>20</v>
      </c>
      <c r="E148" s="4" t="s">
        <v>235</v>
      </c>
      <c r="F148" s="4" t="s">
        <v>383</v>
      </c>
    </row>
    <row r="149" spans="1:6">
      <c r="A149" s="4" t="s">
        <v>388</v>
      </c>
      <c r="B149" s="6" t="s">
        <v>389</v>
      </c>
      <c r="C149" s="4" t="s">
        <v>390</v>
      </c>
      <c r="D149" s="4">
        <v>15</v>
      </c>
      <c r="E149" s="4" t="s">
        <v>391</v>
      </c>
    </row>
    <row r="150" spans="1:6">
      <c r="A150" s="4" t="s">
        <v>392</v>
      </c>
      <c r="B150" s="6" t="s">
        <v>393</v>
      </c>
      <c r="C150" s="4" t="s">
        <v>195</v>
      </c>
      <c r="D150" s="4">
        <v>13</v>
      </c>
      <c r="E150" s="4" t="s">
        <v>235</v>
      </c>
      <c r="F150" s="4" t="s">
        <v>394</v>
      </c>
    </row>
    <row r="151" spans="1:6">
      <c r="A151" s="4" t="s">
        <v>395</v>
      </c>
      <c r="B151" s="6" t="s">
        <v>393</v>
      </c>
      <c r="C151" s="4" t="s">
        <v>34</v>
      </c>
      <c r="D151" s="4">
        <v>8</v>
      </c>
      <c r="E151" s="4" t="s">
        <v>235</v>
      </c>
      <c r="F151" s="4" t="s">
        <v>396</v>
      </c>
    </row>
    <row r="152" spans="1:6">
      <c r="A152" s="4" t="s">
        <v>397</v>
      </c>
      <c r="B152" s="6" t="s">
        <v>398</v>
      </c>
      <c r="C152" s="4" t="s">
        <v>231</v>
      </c>
      <c r="D152" s="4">
        <v>11</v>
      </c>
      <c r="E152" s="4" t="s">
        <v>399</v>
      </c>
    </row>
    <row r="153" spans="1:6">
      <c r="A153" s="4" t="s">
        <v>400</v>
      </c>
      <c r="B153" s="6" t="s">
        <v>398</v>
      </c>
      <c r="C153" s="4" t="s">
        <v>49</v>
      </c>
      <c r="D153" s="4">
        <v>16</v>
      </c>
      <c r="E153" s="4" t="s">
        <v>266</v>
      </c>
      <c r="F153" s="4" t="s">
        <v>401</v>
      </c>
    </row>
    <row r="154" spans="1:6">
      <c r="A154" s="4" t="s">
        <v>402</v>
      </c>
      <c r="B154" s="6" t="s">
        <v>398</v>
      </c>
      <c r="C154" s="4" t="s">
        <v>403</v>
      </c>
      <c r="D154" s="4">
        <v>14</v>
      </c>
      <c r="E154" s="4" t="s">
        <v>264</v>
      </c>
    </row>
    <row r="155" spans="1:6">
      <c r="A155" s="4" t="s">
        <v>404</v>
      </c>
      <c r="B155" s="6" t="s">
        <v>398</v>
      </c>
      <c r="C155" s="4" t="s">
        <v>405</v>
      </c>
      <c r="D155" s="4">
        <v>10</v>
      </c>
      <c r="E155" s="4" t="s">
        <v>264</v>
      </c>
    </row>
    <row r="156" spans="1:6">
      <c r="A156" s="4" t="s">
        <v>406</v>
      </c>
      <c r="B156" s="6" t="s">
        <v>407</v>
      </c>
      <c r="C156" s="4" t="s">
        <v>87</v>
      </c>
      <c r="D156" s="4">
        <v>8</v>
      </c>
      <c r="E156" s="4" t="s">
        <v>408</v>
      </c>
      <c r="F156" s="4" t="s">
        <v>409</v>
      </c>
    </row>
    <row r="157" spans="1:6">
      <c r="A157" s="4" t="s">
        <v>279</v>
      </c>
      <c r="B157" s="6" t="s">
        <v>410</v>
      </c>
      <c r="C157" s="4" t="s">
        <v>279</v>
      </c>
      <c r="D157" s="4">
        <v>5</v>
      </c>
      <c r="E157" s="4" t="s">
        <v>399</v>
      </c>
      <c r="F157" s="4" t="s">
        <v>411</v>
      </c>
    </row>
    <row r="158" spans="1:6">
      <c r="A158" s="4" t="s">
        <v>412</v>
      </c>
      <c r="B158" s="6" t="s">
        <v>413</v>
      </c>
      <c r="C158" s="4" t="s">
        <v>414</v>
      </c>
      <c r="D158" s="4">
        <v>11</v>
      </c>
      <c r="E158" s="4" t="s">
        <v>291</v>
      </c>
      <c r="F158" s="4" t="s">
        <v>415</v>
      </c>
    </row>
    <row r="159" spans="1:6">
      <c r="A159" s="4" t="s">
        <v>416</v>
      </c>
      <c r="B159" s="6" t="s">
        <v>413</v>
      </c>
      <c r="C159" s="4" t="s">
        <v>81</v>
      </c>
      <c r="D159" s="4">
        <v>16</v>
      </c>
      <c r="E159" s="4" t="s">
        <v>417</v>
      </c>
    </row>
    <row r="160" spans="1:6">
      <c r="A160" s="4" t="s">
        <v>418</v>
      </c>
      <c r="B160" s="6" t="s">
        <v>419</v>
      </c>
      <c r="C160" s="4" t="s">
        <v>420</v>
      </c>
      <c r="D160" s="4">
        <v>10</v>
      </c>
      <c r="E160" s="4" t="s">
        <v>219</v>
      </c>
      <c r="F160" s="4" t="s">
        <v>421</v>
      </c>
    </row>
    <row r="161" spans="1:6">
      <c r="A161" s="4" t="s">
        <v>422</v>
      </c>
      <c r="B161" s="6" t="s">
        <v>419</v>
      </c>
      <c r="C161" s="4" t="s">
        <v>254</v>
      </c>
      <c r="D161" s="4">
        <v>7</v>
      </c>
      <c r="E161" s="4" t="s">
        <v>224</v>
      </c>
      <c r="F161" s="4" t="s">
        <v>423</v>
      </c>
    </row>
    <row r="162" spans="1:6">
      <c r="A162" s="4" t="s">
        <v>424</v>
      </c>
      <c r="B162" s="6" t="s">
        <v>419</v>
      </c>
      <c r="C162" s="4" t="s">
        <v>34</v>
      </c>
      <c r="D162" s="4">
        <v>8</v>
      </c>
      <c r="E162" s="4" t="s">
        <v>219</v>
      </c>
    </row>
    <row r="163" spans="1:6">
      <c r="A163" s="4" t="s">
        <v>425</v>
      </c>
      <c r="B163" s="6" t="s">
        <v>426</v>
      </c>
      <c r="C163" s="4" t="s">
        <v>427</v>
      </c>
      <c r="D163" s="4">
        <v>10</v>
      </c>
      <c r="E163" s="4" t="s">
        <v>428</v>
      </c>
    </row>
    <row r="164" spans="1:6">
      <c r="A164" s="4" t="s">
        <v>429</v>
      </c>
      <c r="B164" s="6" t="s">
        <v>430</v>
      </c>
      <c r="C164" s="4" t="s">
        <v>104</v>
      </c>
      <c r="D164" s="4">
        <v>15</v>
      </c>
      <c r="E164" s="4" t="s">
        <v>431</v>
      </c>
      <c r="F164" s="4" t="s">
        <v>432</v>
      </c>
    </row>
    <row r="165" spans="1:6">
      <c r="A165" s="4" t="s">
        <v>433</v>
      </c>
      <c r="B165" s="6" t="s">
        <v>434</v>
      </c>
      <c r="C165" s="4" t="s">
        <v>34</v>
      </c>
      <c r="D165" s="4">
        <v>7</v>
      </c>
      <c r="E165" s="4" t="s">
        <v>435</v>
      </c>
      <c r="F165" s="4" t="s">
        <v>436</v>
      </c>
    </row>
    <row r="166" spans="1:6">
      <c r="A166" s="4" t="s">
        <v>437</v>
      </c>
      <c r="B166" s="6" t="s">
        <v>434</v>
      </c>
      <c r="C166" s="4" t="s">
        <v>34</v>
      </c>
      <c r="D166" s="4">
        <v>8</v>
      </c>
      <c r="E166" s="4" t="s">
        <v>435</v>
      </c>
      <c r="F166" s="4" t="s">
        <v>436</v>
      </c>
    </row>
    <row r="167" spans="1:6">
      <c r="A167" s="4" t="s">
        <v>438</v>
      </c>
      <c r="B167" s="6" t="s">
        <v>434</v>
      </c>
      <c r="C167" s="4" t="s">
        <v>439</v>
      </c>
      <c r="D167" s="4">
        <v>12</v>
      </c>
      <c r="E167" s="4" t="s">
        <v>440</v>
      </c>
    </row>
    <row r="168" spans="1:6">
      <c r="A168" s="4" t="s">
        <v>441</v>
      </c>
      <c r="B168" s="6" t="s">
        <v>442</v>
      </c>
      <c r="C168" s="4" t="s">
        <v>143</v>
      </c>
      <c r="D168" s="4">
        <v>11</v>
      </c>
      <c r="E168" s="4" t="s">
        <v>443</v>
      </c>
      <c r="F168" s="4" t="s">
        <v>444</v>
      </c>
    </row>
    <row r="169" spans="1:6">
      <c r="A169" s="4" t="s">
        <v>445</v>
      </c>
      <c r="B169" s="6" t="s">
        <v>442</v>
      </c>
      <c r="C169" s="4" t="s">
        <v>226</v>
      </c>
      <c r="D169" s="4">
        <v>12</v>
      </c>
      <c r="E169" s="4" t="s">
        <v>443</v>
      </c>
    </row>
    <row r="170" spans="1:6">
      <c r="A170" s="4" t="s">
        <v>446</v>
      </c>
      <c r="B170" s="6" t="s">
        <v>447</v>
      </c>
      <c r="C170" s="4" t="s">
        <v>448</v>
      </c>
      <c r="D170" s="4">
        <v>4</v>
      </c>
      <c r="E170" s="4" t="s">
        <v>449</v>
      </c>
      <c r="F170" s="4" t="s">
        <v>450</v>
      </c>
    </row>
    <row r="171" spans="1:6">
      <c r="A171" s="4" t="s">
        <v>451</v>
      </c>
      <c r="B171" s="6" t="s">
        <v>452</v>
      </c>
      <c r="C171" s="4" t="s">
        <v>453</v>
      </c>
      <c r="D171" s="4">
        <v>11</v>
      </c>
      <c r="E171" s="4" t="s">
        <v>454</v>
      </c>
      <c r="F171" s="4" t="s">
        <v>455</v>
      </c>
    </row>
    <row r="172" spans="1:6">
      <c r="A172" s="4" t="s">
        <v>456</v>
      </c>
      <c r="B172" s="6" t="s">
        <v>457</v>
      </c>
      <c r="C172" s="4" t="s">
        <v>458</v>
      </c>
      <c r="D172" s="4">
        <v>13</v>
      </c>
      <c r="E172" s="4" t="s">
        <v>459</v>
      </c>
    </row>
    <row r="173" spans="1:6">
      <c r="A173" s="4" t="s">
        <v>460</v>
      </c>
      <c r="B173" s="6" t="s">
        <v>457</v>
      </c>
      <c r="C173" s="4" t="s">
        <v>461</v>
      </c>
      <c r="D173" s="4">
        <v>13</v>
      </c>
      <c r="E173" s="4" t="s">
        <v>459</v>
      </c>
    </row>
    <row r="174" spans="1:6">
      <c r="A174" s="4" t="s">
        <v>462</v>
      </c>
      <c r="B174" s="6" t="s">
        <v>463</v>
      </c>
      <c r="C174" s="4" t="s">
        <v>464</v>
      </c>
      <c r="D174" s="4">
        <v>12</v>
      </c>
      <c r="E174" s="4" t="s">
        <v>465</v>
      </c>
    </row>
    <row r="175" spans="1:6">
      <c r="A175" s="4" t="s">
        <v>466</v>
      </c>
      <c r="B175" s="6" t="s">
        <v>467</v>
      </c>
      <c r="C175" s="4" t="s">
        <v>87</v>
      </c>
      <c r="D175" s="4">
        <v>5</v>
      </c>
      <c r="E175" s="4" t="s">
        <v>312</v>
      </c>
      <c r="F175" s="4" t="s">
        <v>468</v>
      </c>
    </row>
    <row r="176" spans="1:6">
      <c r="A176" s="4" t="s">
        <v>469</v>
      </c>
      <c r="B176" s="6" t="s">
        <v>467</v>
      </c>
      <c r="C176" s="4" t="s">
        <v>285</v>
      </c>
      <c r="D176" s="4">
        <v>11</v>
      </c>
      <c r="E176" s="4" t="s">
        <v>235</v>
      </c>
      <c r="F176" s="4" t="s">
        <v>364</v>
      </c>
    </row>
    <row r="177" spans="1:6">
      <c r="A177" s="4" t="s">
        <v>470</v>
      </c>
      <c r="B177" s="6" t="s">
        <v>467</v>
      </c>
      <c r="C177" s="4" t="s">
        <v>470</v>
      </c>
      <c r="D177" s="4">
        <v>2</v>
      </c>
      <c r="E177" s="4" t="s">
        <v>312</v>
      </c>
    </row>
    <row r="178" spans="1:6">
      <c r="A178" s="4" t="s">
        <v>471</v>
      </c>
      <c r="B178" s="6" t="s">
        <v>467</v>
      </c>
      <c r="C178" s="4" t="s">
        <v>470</v>
      </c>
      <c r="D178" s="4">
        <v>6</v>
      </c>
      <c r="E178" s="4" t="s">
        <v>312</v>
      </c>
      <c r="F178" s="4" t="s">
        <v>468</v>
      </c>
    </row>
    <row r="179" spans="1:6">
      <c r="A179" s="4" t="s">
        <v>472</v>
      </c>
      <c r="B179" s="6" t="s">
        <v>473</v>
      </c>
      <c r="C179" s="4" t="s">
        <v>474</v>
      </c>
      <c r="D179" s="4">
        <v>5</v>
      </c>
      <c r="E179" s="4" t="s">
        <v>475</v>
      </c>
      <c r="F179" s="4" t="s">
        <v>476</v>
      </c>
    </row>
    <row r="180" spans="1:6">
      <c r="A180" s="4" t="s">
        <v>477</v>
      </c>
      <c r="B180" s="6" t="s">
        <v>478</v>
      </c>
      <c r="C180" s="4" t="s">
        <v>53</v>
      </c>
      <c r="D180" s="4">
        <v>12</v>
      </c>
      <c r="E180" s="4" t="s">
        <v>428</v>
      </c>
      <c r="F180" s="4" t="s">
        <v>479</v>
      </c>
    </row>
    <row r="181" spans="1:6">
      <c r="A181" s="4" t="s">
        <v>480</v>
      </c>
      <c r="B181" s="6" t="s">
        <v>478</v>
      </c>
      <c r="C181" s="4" t="s">
        <v>354</v>
      </c>
      <c r="D181" s="4">
        <v>8</v>
      </c>
      <c r="E181" s="4" t="s">
        <v>235</v>
      </c>
      <c r="F181" s="4" t="s">
        <v>481</v>
      </c>
    </row>
    <row r="182" spans="1:6">
      <c r="A182" s="4" t="s">
        <v>482</v>
      </c>
      <c r="B182" s="6" t="s">
        <v>478</v>
      </c>
      <c r="C182" s="4" t="s">
        <v>81</v>
      </c>
      <c r="D182" s="4">
        <v>16</v>
      </c>
      <c r="E182" s="4" t="s">
        <v>312</v>
      </c>
      <c r="F182" s="4" t="s">
        <v>483</v>
      </c>
    </row>
    <row r="183" spans="1:6">
      <c r="A183" s="4" t="s">
        <v>484</v>
      </c>
      <c r="B183" s="6" t="s">
        <v>478</v>
      </c>
      <c r="C183" s="4" t="s">
        <v>485</v>
      </c>
      <c r="D183" s="4">
        <v>13</v>
      </c>
      <c r="E183" s="4" t="s">
        <v>235</v>
      </c>
    </row>
    <row r="184" spans="1:6">
      <c r="A184" s="4" t="s">
        <v>486</v>
      </c>
      <c r="B184" s="6" t="s">
        <v>478</v>
      </c>
      <c r="C184" s="4" t="s">
        <v>487</v>
      </c>
      <c r="D184" s="4">
        <v>8</v>
      </c>
      <c r="E184" s="4" t="s">
        <v>488</v>
      </c>
      <c r="F184" s="4" t="s">
        <v>489</v>
      </c>
    </row>
    <row r="185" spans="1:6">
      <c r="A185" s="4" t="s">
        <v>490</v>
      </c>
      <c r="B185" s="6" t="s">
        <v>478</v>
      </c>
      <c r="C185" s="4" t="s">
        <v>27</v>
      </c>
      <c r="D185" s="4">
        <v>11</v>
      </c>
      <c r="E185" s="4" t="s">
        <v>235</v>
      </c>
      <c r="F185" s="4" t="s">
        <v>491</v>
      </c>
    </row>
    <row r="186" spans="1:6">
      <c r="A186" s="4" t="s">
        <v>492</v>
      </c>
      <c r="B186" s="6" t="s">
        <v>478</v>
      </c>
      <c r="C186" s="4" t="s">
        <v>464</v>
      </c>
      <c r="D186" s="4">
        <v>11</v>
      </c>
      <c r="E186" s="4" t="s">
        <v>235</v>
      </c>
    </row>
    <row r="187" spans="1:6">
      <c r="A187" s="4" t="s">
        <v>493</v>
      </c>
      <c r="B187" s="6" t="s">
        <v>494</v>
      </c>
      <c r="C187" s="4" t="s">
        <v>243</v>
      </c>
      <c r="D187" s="4">
        <v>11</v>
      </c>
      <c r="E187" s="4" t="s">
        <v>495</v>
      </c>
    </row>
    <row r="188" spans="1:6">
      <c r="A188" s="4" t="s">
        <v>496</v>
      </c>
      <c r="B188" s="6" t="s">
        <v>497</v>
      </c>
      <c r="C188" s="4" t="s">
        <v>110</v>
      </c>
      <c r="D188" s="4">
        <v>11</v>
      </c>
      <c r="E188" s="4" t="s">
        <v>498</v>
      </c>
      <c r="F188" s="4" t="s">
        <v>499</v>
      </c>
    </row>
    <row r="189" spans="1:6">
      <c r="A189" s="4" t="s">
        <v>500</v>
      </c>
      <c r="B189" s="6" t="s">
        <v>497</v>
      </c>
      <c r="C189" s="4" t="s">
        <v>14</v>
      </c>
      <c r="D189" s="4">
        <v>16</v>
      </c>
      <c r="E189" s="4" t="s">
        <v>498</v>
      </c>
    </row>
    <row r="190" spans="1:6">
      <c r="A190" s="4" t="s">
        <v>501</v>
      </c>
      <c r="B190" s="6" t="s">
        <v>502</v>
      </c>
      <c r="C190" s="4" t="s">
        <v>19</v>
      </c>
      <c r="D190" s="4">
        <v>10</v>
      </c>
      <c r="E190" s="4" t="s">
        <v>498</v>
      </c>
    </row>
    <row r="191" spans="1:6">
      <c r="A191" s="4" t="s">
        <v>503</v>
      </c>
      <c r="B191" s="6" t="s">
        <v>504</v>
      </c>
      <c r="C191" s="4" t="s">
        <v>76</v>
      </c>
      <c r="D191" s="4">
        <v>10</v>
      </c>
      <c r="E191" s="4" t="s">
        <v>505</v>
      </c>
      <c r="F191" s="4" t="s">
        <v>506</v>
      </c>
    </row>
    <row r="192" spans="1:6">
      <c r="A192" s="4" t="s">
        <v>507</v>
      </c>
      <c r="B192" s="6" t="s">
        <v>508</v>
      </c>
      <c r="C192" s="4" t="s">
        <v>485</v>
      </c>
      <c r="D192" s="4">
        <v>14</v>
      </c>
      <c r="E192" s="4" t="s">
        <v>391</v>
      </c>
      <c r="F192" s="4" t="s">
        <v>509</v>
      </c>
    </row>
    <row r="193" spans="1:6">
      <c r="A193" s="4" t="s">
        <v>510</v>
      </c>
      <c r="B193" s="6" t="s">
        <v>508</v>
      </c>
      <c r="C193" s="4" t="s">
        <v>81</v>
      </c>
      <c r="D193" s="4">
        <v>12</v>
      </c>
      <c r="E193" s="4" t="s">
        <v>391</v>
      </c>
      <c r="F193" s="4" t="s">
        <v>511</v>
      </c>
    </row>
    <row r="194" spans="1:6">
      <c r="A194" s="4" t="s">
        <v>512</v>
      </c>
      <c r="B194" s="6" t="s">
        <v>513</v>
      </c>
      <c r="C194" s="4" t="s">
        <v>301</v>
      </c>
      <c r="D194" s="4">
        <v>15</v>
      </c>
      <c r="E194" s="4" t="s">
        <v>514</v>
      </c>
      <c r="F194" s="4" t="s">
        <v>515</v>
      </c>
    </row>
    <row r="195" spans="1:6">
      <c r="A195" s="4" t="s">
        <v>516</v>
      </c>
      <c r="B195" s="6" t="s">
        <v>513</v>
      </c>
      <c r="C195" s="4" t="s">
        <v>275</v>
      </c>
      <c r="D195" s="4">
        <v>5</v>
      </c>
      <c r="E195" s="4" t="s">
        <v>514</v>
      </c>
      <c r="F195" s="4" t="s">
        <v>517</v>
      </c>
    </row>
    <row r="196" spans="1:6">
      <c r="A196" s="4" t="s">
        <v>518</v>
      </c>
      <c r="B196" s="6" t="s">
        <v>513</v>
      </c>
      <c r="C196" s="4" t="s">
        <v>27</v>
      </c>
      <c r="D196" s="4">
        <v>12</v>
      </c>
      <c r="E196" s="4" t="s">
        <v>498</v>
      </c>
    </row>
    <row r="197" spans="1:6">
      <c r="A197" s="4" t="s">
        <v>519</v>
      </c>
      <c r="B197" s="6" t="s">
        <v>513</v>
      </c>
      <c r="C197" s="4" t="s">
        <v>520</v>
      </c>
      <c r="D197" s="4">
        <v>19</v>
      </c>
      <c r="E197" s="4" t="s">
        <v>514</v>
      </c>
      <c r="F197" s="4" t="s">
        <v>517</v>
      </c>
    </row>
    <row r="198" spans="1:6">
      <c r="A198" s="4" t="s">
        <v>521</v>
      </c>
      <c r="B198" s="6" t="s">
        <v>513</v>
      </c>
      <c r="C198" s="4" t="s">
        <v>520</v>
      </c>
      <c r="D198" s="4">
        <v>17</v>
      </c>
      <c r="E198" s="4" t="s">
        <v>514</v>
      </c>
      <c r="F198" s="4" t="s">
        <v>517</v>
      </c>
    </row>
    <row r="199" spans="1:6">
      <c r="A199" s="4" t="s">
        <v>522</v>
      </c>
      <c r="B199" s="6" t="s">
        <v>523</v>
      </c>
      <c r="C199" s="4" t="s">
        <v>427</v>
      </c>
      <c r="D199" s="4">
        <v>15</v>
      </c>
      <c r="E199" s="4" t="s">
        <v>514</v>
      </c>
    </row>
    <row r="200" spans="1:6">
      <c r="A200" s="4" t="s">
        <v>524</v>
      </c>
      <c r="B200" s="6" t="s">
        <v>525</v>
      </c>
      <c r="C200" s="4" t="s">
        <v>453</v>
      </c>
      <c r="D200" s="4">
        <v>11</v>
      </c>
      <c r="E200" s="4" t="s">
        <v>514</v>
      </c>
      <c r="F200" s="4" t="s">
        <v>526</v>
      </c>
    </row>
    <row r="201" spans="1:6">
      <c r="A201" s="4" t="s">
        <v>527</v>
      </c>
      <c r="B201" s="6" t="s">
        <v>528</v>
      </c>
      <c r="C201" s="4" t="s">
        <v>529</v>
      </c>
      <c r="D201" s="4">
        <v>9</v>
      </c>
      <c r="E201" s="4" t="s">
        <v>514</v>
      </c>
      <c r="F201" s="4" t="s">
        <v>530</v>
      </c>
    </row>
    <row r="202" spans="1:6">
      <c r="A202" s="4" t="s">
        <v>531</v>
      </c>
      <c r="B202" s="6" t="s">
        <v>528</v>
      </c>
      <c r="C202" s="4" t="s">
        <v>275</v>
      </c>
      <c r="D202" s="4">
        <v>12</v>
      </c>
      <c r="E202" s="4" t="s">
        <v>514</v>
      </c>
    </row>
    <row r="203" spans="1:6">
      <c r="A203" s="4" t="s">
        <v>532</v>
      </c>
      <c r="B203" s="6" t="s">
        <v>528</v>
      </c>
      <c r="C203" s="4" t="s">
        <v>37</v>
      </c>
      <c r="D203" s="4">
        <v>23</v>
      </c>
      <c r="E203" s="4" t="s">
        <v>514</v>
      </c>
      <c r="F203" s="4" t="s">
        <v>530</v>
      </c>
    </row>
    <row r="204" spans="1:6">
      <c r="A204" s="4" t="s">
        <v>533</v>
      </c>
      <c r="B204" s="6" t="s">
        <v>534</v>
      </c>
      <c r="C204" s="4" t="s">
        <v>254</v>
      </c>
      <c r="D204" s="4">
        <v>10</v>
      </c>
      <c r="E204" s="4" t="s">
        <v>312</v>
      </c>
      <c r="F204" s="4" t="s">
        <v>535</v>
      </c>
    </row>
    <row r="205" spans="1:6">
      <c r="A205" s="4" t="s">
        <v>536</v>
      </c>
      <c r="B205" s="6" t="s">
        <v>537</v>
      </c>
      <c r="C205" s="4" t="s">
        <v>538</v>
      </c>
      <c r="D205" s="4">
        <v>9</v>
      </c>
      <c r="E205" s="4" t="s">
        <v>514</v>
      </c>
    </row>
    <row r="206" spans="1:6">
      <c r="A206" s="4" t="s">
        <v>539</v>
      </c>
      <c r="B206" s="6" t="s">
        <v>540</v>
      </c>
      <c r="C206" s="4" t="s">
        <v>223</v>
      </c>
      <c r="D206" s="4">
        <v>8</v>
      </c>
      <c r="E206" s="4" t="s">
        <v>312</v>
      </c>
      <c r="F206" s="4" t="s">
        <v>541</v>
      </c>
    </row>
    <row r="207" spans="1:6">
      <c r="A207" s="4" t="s">
        <v>542</v>
      </c>
      <c r="B207" s="6" t="s">
        <v>543</v>
      </c>
      <c r="C207" s="4" t="s">
        <v>544</v>
      </c>
      <c r="D207" s="4">
        <v>11</v>
      </c>
      <c r="E207" s="4" t="s">
        <v>312</v>
      </c>
    </row>
    <row r="208" spans="1:6">
      <c r="A208" s="4" t="s">
        <v>545</v>
      </c>
      <c r="B208" s="6" t="s">
        <v>546</v>
      </c>
      <c r="C208" s="4" t="s">
        <v>34</v>
      </c>
      <c r="D208" s="4">
        <v>7</v>
      </c>
      <c r="E208" s="4" t="s">
        <v>514</v>
      </c>
    </row>
    <row r="209" spans="1:6">
      <c r="A209" s="4" t="s">
        <v>547</v>
      </c>
      <c r="B209" s="6" t="s">
        <v>546</v>
      </c>
      <c r="C209" s="4" t="s">
        <v>548</v>
      </c>
      <c r="D209" s="4">
        <v>19</v>
      </c>
      <c r="E209" s="4" t="s">
        <v>549</v>
      </c>
    </row>
    <row r="210" spans="1:6">
      <c r="A210" s="4" t="s">
        <v>550</v>
      </c>
      <c r="B210" s="6" t="s">
        <v>546</v>
      </c>
      <c r="C210" s="4" t="s">
        <v>551</v>
      </c>
      <c r="D210" s="4">
        <v>4</v>
      </c>
      <c r="E210" s="4" t="s">
        <v>549</v>
      </c>
    </row>
    <row r="211" spans="1:6">
      <c r="A211" s="4" t="s">
        <v>552</v>
      </c>
      <c r="B211" s="6" t="s">
        <v>546</v>
      </c>
      <c r="C211" s="4" t="s">
        <v>301</v>
      </c>
      <c r="D211" s="4">
        <v>20</v>
      </c>
      <c r="E211" s="4" t="s">
        <v>549</v>
      </c>
    </row>
    <row r="212" spans="1:6">
      <c r="A212" s="4" t="s">
        <v>553</v>
      </c>
      <c r="B212" s="6" t="s">
        <v>546</v>
      </c>
      <c r="C212" s="4" t="s">
        <v>554</v>
      </c>
      <c r="D212" s="4">
        <v>21</v>
      </c>
      <c r="E212" s="4" t="s">
        <v>555</v>
      </c>
    </row>
    <row r="213" spans="1:6">
      <c r="A213" s="4" t="s">
        <v>556</v>
      </c>
      <c r="B213" s="6" t="s">
        <v>557</v>
      </c>
      <c r="C213" s="4" t="s">
        <v>558</v>
      </c>
      <c r="D213" s="4">
        <v>5</v>
      </c>
      <c r="E213" s="4" t="s">
        <v>555</v>
      </c>
      <c r="F213" s="4" t="s">
        <v>559</v>
      </c>
    </row>
    <row r="214" spans="1:6">
      <c r="A214" s="4" t="s">
        <v>560</v>
      </c>
      <c r="B214" s="6" t="s">
        <v>561</v>
      </c>
      <c r="C214" s="4" t="s">
        <v>271</v>
      </c>
      <c r="D214" s="4">
        <v>7</v>
      </c>
      <c r="E214" s="4" t="s">
        <v>562</v>
      </c>
      <c r="F214" s="4" t="s">
        <v>563</v>
      </c>
    </row>
    <row r="215" spans="1:6">
      <c r="A215" s="4" t="s">
        <v>564</v>
      </c>
      <c r="B215" s="6" t="s">
        <v>565</v>
      </c>
      <c r="C215" s="4" t="s">
        <v>317</v>
      </c>
      <c r="D215" s="4">
        <v>7</v>
      </c>
      <c r="E215" s="4" t="s">
        <v>566</v>
      </c>
    </row>
    <row r="216" spans="1:6">
      <c r="A216" s="4" t="s">
        <v>567</v>
      </c>
      <c r="B216" s="6" t="s">
        <v>568</v>
      </c>
      <c r="C216" s="4" t="s">
        <v>76</v>
      </c>
      <c r="D216" s="4">
        <v>10</v>
      </c>
      <c r="E216" s="4" t="s">
        <v>569</v>
      </c>
      <c r="F216" s="4" t="s">
        <v>570</v>
      </c>
    </row>
    <row r="217" spans="1:6">
      <c r="A217" s="4" t="s">
        <v>571</v>
      </c>
      <c r="B217" s="6" t="s">
        <v>568</v>
      </c>
      <c r="C217" s="4" t="s">
        <v>458</v>
      </c>
      <c r="D217" s="4">
        <v>10</v>
      </c>
      <c r="E217" s="4" t="s">
        <v>391</v>
      </c>
      <c r="F217" s="4" t="s">
        <v>572</v>
      </c>
    </row>
    <row r="218" spans="1:6">
      <c r="A218" s="4" t="s">
        <v>573</v>
      </c>
      <c r="B218" s="6" t="s">
        <v>568</v>
      </c>
      <c r="C218" s="4" t="s">
        <v>574</v>
      </c>
      <c r="D218" s="4">
        <v>22</v>
      </c>
      <c r="E218" s="4" t="s">
        <v>391</v>
      </c>
      <c r="F218" s="4" t="s">
        <v>575</v>
      </c>
    </row>
    <row r="219" spans="1:6">
      <c r="A219" s="4" t="s">
        <v>576</v>
      </c>
      <c r="B219" s="6" t="s">
        <v>577</v>
      </c>
      <c r="C219" s="4" t="s">
        <v>27</v>
      </c>
      <c r="D219" s="4">
        <v>16</v>
      </c>
      <c r="E219" s="4" t="s">
        <v>578</v>
      </c>
      <c r="F219" s="4" t="s">
        <v>579</v>
      </c>
    </row>
    <row r="220" spans="1:6">
      <c r="A220" s="4" t="s">
        <v>580</v>
      </c>
      <c r="B220" s="6" t="s">
        <v>577</v>
      </c>
      <c r="C220" s="4" t="s">
        <v>485</v>
      </c>
      <c r="D220" s="4">
        <v>14</v>
      </c>
      <c r="E220" s="4" t="s">
        <v>578</v>
      </c>
    </row>
    <row r="221" spans="1:6">
      <c r="A221" s="4" t="s">
        <v>581</v>
      </c>
      <c r="B221" s="6" t="s">
        <v>582</v>
      </c>
      <c r="C221" s="4" t="s">
        <v>554</v>
      </c>
      <c r="D221" s="4">
        <v>13</v>
      </c>
      <c r="E221" s="4" t="s">
        <v>578</v>
      </c>
    </row>
    <row r="222" spans="1:6">
      <c r="A222" s="4" t="s">
        <v>583</v>
      </c>
      <c r="B222" s="6" t="s">
        <v>584</v>
      </c>
      <c r="C222" s="4" t="s">
        <v>448</v>
      </c>
      <c r="D222" s="4">
        <v>5</v>
      </c>
      <c r="E222" s="4" t="s">
        <v>498</v>
      </c>
      <c r="F222" s="4" t="s">
        <v>585</v>
      </c>
    </row>
    <row r="223" spans="1:6">
      <c r="A223" s="4" t="s">
        <v>586</v>
      </c>
      <c r="B223" s="6" t="s">
        <v>584</v>
      </c>
      <c r="C223" s="4" t="s">
        <v>53</v>
      </c>
      <c r="D223" s="4">
        <v>9</v>
      </c>
      <c r="E223" s="4" t="s">
        <v>498</v>
      </c>
      <c r="F223" s="4" t="s">
        <v>587</v>
      </c>
    </row>
    <row r="224" spans="1:6">
      <c r="A224" s="4" t="s">
        <v>588</v>
      </c>
      <c r="B224" s="6" t="s">
        <v>584</v>
      </c>
      <c r="C224" s="4" t="s">
        <v>195</v>
      </c>
      <c r="D224" s="4">
        <v>15</v>
      </c>
      <c r="E224" s="4" t="s">
        <v>498</v>
      </c>
      <c r="F224" s="4" t="s">
        <v>589</v>
      </c>
    </row>
    <row r="225" spans="1:6">
      <c r="A225" s="4" t="s">
        <v>590</v>
      </c>
      <c r="B225" s="6" t="s">
        <v>591</v>
      </c>
      <c r="C225" s="4" t="s">
        <v>590</v>
      </c>
      <c r="D225" s="4">
        <v>5</v>
      </c>
      <c r="E225" s="4" t="s">
        <v>391</v>
      </c>
      <c r="F225" s="4" t="s">
        <v>592</v>
      </c>
    </row>
    <row r="226" spans="1:6">
      <c r="A226" s="4" t="s">
        <v>593</v>
      </c>
      <c r="B226" s="6" t="s">
        <v>594</v>
      </c>
      <c r="C226" s="4" t="s">
        <v>595</v>
      </c>
      <c r="D226" s="4">
        <v>11</v>
      </c>
      <c r="E226" s="4" t="s">
        <v>596</v>
      </c>
    </row>
    <row r="227" spans="1:6">
      <c r="A227" s="4" t="s">
        <v>597</v>
      </c>
      <c r="B227" s="6" t="s">
        <v>594</v>
      </c>
      <c r="C227" s="4" t="s">
        <v>598</v>
      </c>
      <c r="D227" s="4">
        <v>5</v>
      </c>
      <c r="E227" s="4" t="s">
        <v>566</v>
      </c>
      <c r="F227" s="4" t="s">
        <v>599</v>
      </c>
    </row>
    <row r="228" spans="1:6">
      <c r="A228" s="4" t="s">
        <v>600</v>
      </c>
      <c r="B228" s="6" t="s">
        <v>594</v>
      </c>
      <c r="C228" s="4" t="s">
        <v>37</v>
      </c>
      <c r="D228" s="4">
        <v>12</v>
      </c>
      <c r="E228" s="4" t="s">
        <v>488</v>
      </c>
    </row>
    <row r="229" spans="1:6">
      <c r="A229" s="4" t="s">
        <v>601</v>
      </c>
      <c r="B229" s="6" t="s">
        <v>594</v>
      </c>
      <c r="C229" s="4" t="s">
        <v>27</v>
      </c>
      <c r="D229" s="4">
        <v>8</v>
      </c>
      <c r="E229" s="4" t="s">
        <v>498</v>
      </c>
      <c r="F229" s="4" t="s">
        <v>602</v>
      </c>
    </row>
    <row r="230" spans="1:6">
      <c r="A230" s="4" t="s">
        <v>603</v>
      </c>
      <c r="B230" s="6" t="s">
        <v>604</v>
      </c>
      <c r="C230" s="4" t="s">
        <v>605</v>
      </c>
      <c r="D230" s="4">
        <v>9</v>
      </c>
      <c r="E230" s="4" t="s">
        <v>498</v>
      </c>
    </row>
    <row r="231" spans="1:6">
      <c r="A231" s="4" t="s">
        <v>606</v>
      </c>
      <c r="B231" s="6" t="s">
        <v>607</v>
      </c>
      <c r="C231" s="4" t="s">
        <v>351</v>
      </c>
      <c r="D231" s="4">
        <v>8</v>
      </c>
      <c r="E231" s="4" t="s">
        <v>391</v>
      </c>
      <c r="F231" s="4" t="s">
        <v>608</v>
      </c>
    </row>
    <row r="232" spans="1:6">
      <c r="A232" s="4" t="s">
        <v>609</v>
      </c>
      <c r="B232" s="6" t="s">
        <v>607</v>
      </c>
      <c r="C232" s="4" t="s">
        <v>179</v>
      </c>
      <c r="D232" s="4">
        <v>14</v>
      </c>
      <c r="E232" s="4" t="s">
        <v>391</v>
      </c>
      <c r="F232" s="4" t="s">
        <v>610</v>
      </c>
    </row>
    <row r="233" spans="1:6">
      <c r="A233" s="4" t="s">
        <v>611</v>
      </c>
      <c r="B233" s="6" t="s">
        <v>612</v>
      </c>
      <c r="C233" s="4" t="s">
        <v>76</v>
      </c>
      <c r="D233" s="4">
        <v>12</v>
      </c>
      <c r="E233" s="4" t="s">
        <v>569</v>
      </c>
    </row>
    <row r="234" spans="1:6">
      <c r="A234" s="4" t="s">
        <v>613</v>
      </c>
      <c r="B234" s="6" t="s">
        <v>614</v>
      </c>
      <c r="C234" s="4" t="s">
        <v>223</v>
      </c>
      <c r="D234" s="4">
        <v>10</v>
      </c>
      <c r="E234" s="4" t="s">
        <v>391</v>
      </c>
      <c r="F234" s="4" t="s">
        <v>615</v>
      </c>
    </row>
    <row r="235" spans="1:6">
      <c r="A235" s="4" t="s">
        <v>616</v>
      </c>
      <c r="B235" s="6" t="s">
        <v>614</v>
      </c>
      <c r="C235" s="4" t="s">
        <v>254</v>
      </c>
      <c r="D235" s="4">
        <v>12</v>
      </c>
      <c r="E235" s="4" t="s">
        <v>617</v>
      </c>
      <c r="F235" s="4" t="s">
        <v>618</v>
      </c>
    </row>
    <row r="236" spans="1:6">
      <c r="A236" s="4" t="s">
        <v>619</v>
      </c>
      <c r="B236" s="6" t="s">
        <v>620</v>
      </c>
      <c r="C236" s="4" t="s">
        <v>23</v>
      </c>
      <c r="D236" s="4">
        <v>10</v>
      </c>
      <c r="E236" s="4" t="s">
        <v>380</v>
      </c>
    </row>
    <row r="237" spans="1:6">
      <c r="A237" s="4" t="s">
        <v>621</v>
      </c>
      <c r="B237" s="6" t="s">
        <v>622</v>
      </c>
      <c r="C237" s="4" t="s">
        <v>53</v>
      </c>
      <c r="D237" s="4">
        <v>8</v>
      </c>
      <c r="E237" s="4" t="s">
        <v>291</v>
      </c>
      <c r="F237" s="4" t="s">
        <v>623</v>
      </c>
    </row>
    <row r="238" spans="1:6">
      <c r="A238" s="4" t="s">
        <v>624</v>
      </c>
      <c r="B238" s="6" t="s">
        <v>622</v>
      </c>
      <c r="C238" s="4" t="s">
        <v>342</v>
      </c>
      <c r="D238" s="4">
        <v>9</v>
      </c>
      <c r="E238" s="4" t="s">
        <v>291</v>
      </c>
      <c r="F238" s="4" t="s">
        <v>623</v>
      </c>
    </row>
    <row r="239" spans="1:6">
      <c r="A239" s="4" t="s">
        <v>625</v>
      </c>
      <c r="B239" s="6" t="s">
        <v>626</v>
      </c>
      <c r="C239" s="4" t="s">
        <v>121</v>
      </c>
      <c r="D239" s="4">
        <v>8</v>
      </c>
      <c r="E239" s="4" t="s">
        <v>374</v>
      </c>
    </row>
    <row r="240" spans="1:6">
      <c r="A240" s="4" t="s">
        <v>627</v>
      </c>
      <c r="B240" s="6" t="s">
        <v>628</v>
      </c>
      <c r="C240" s="4" t="s">
        <v>238</v>
      </c>
      <c r="D240" s="4">
        <v>5</v>
      </c>
      <c r="E240" s="4" t="s">
        <v>629</v>
      </c>
      <c r="F240" s="4" t="s">
        <v>630</v>
      </c>
    </row>
    <row r="241" spans="1:6">
      <c r="A241" s="4" t="s">
        <v>631</v>
      </c>
      <c r="B241" s="6" t="s">
        <v>628</v>
      </c>
      <c r="C241" s="4" t="s">
        <v>81</v>
      </c>
      <c r="D241" s="4">
        <v>8</v>
      </c>
      <c r="E241" s="4" t="s">
        <v>629</v>
      </c>
      <c r="F241" s="4" t="s">
        <v>632</v>
      </c>
    </row>
    <row r="242" spans="1:6">
      <c r="A242" s="4" t="s">
        <v>551</v>
      </c>
      <c r="B242" s="6" t="s">
        <v>633</v>
      </c>
      <c r="C242" s="4" t="s">
        <v>551</v>
      </c>
      <c r="D242" s="4">
        <v>2</v>
      </c>
      <c r="E242" s="4" t="s">
        <v>634</v>
      </c>
    </row>
    <row r="243" spans="1:6">
      <c r="A243" s="4" t="s">
        <v>635</v>
      </c>
      <c r="B243" s="6" t="s">
        <v>636</v>
      </c>
      <c r="C243" s="4" t="s">
        <v>354</v>
      </c>
      <c r="D243" s="4">
        <v>9</v>
      </c>
      <c r="E243" s="4" t="s">
        <v>291</v>
      </c>
      <c r="F243" s="4" t="s">
        <v>637</v>
      </c>
    </row>
    <row r="244" spans="1:6">
      <c r="A244" s="4" t="s">
        <v>453</v>
      </c>
      <c r="B244" s="6" t="s">
        <v>636</v>
      </c>
      <c r="C244" s="4" t="s">
        <v>453</v>
      </c>
      <c r="D244" s="4">
        <v>7</v>
      </c>
      <c r="E244" s="4" t="s">
        <v>638</v>
      </c>
      <c r="F244" s="4" t="s">
        <v>639</v>
      </c>
    </row>
    <row r="245" spans="1:6">
      <c r="A245" s="4" t="s">
        <v>640</v>
      </c>
      <c r="B245" s="6" t="s">
        <v>636</v>
      </c>
      <c r="C245" s="4" t="s">
        <v>574</v>
      </c>
      <c r="D245" s="4">
        <v>15</v>
      </c>
      <c r="E245" s="4" t="s">
        <v>291</v>
      </c>
      <c r="F245" s="4" t="s">
        <v>641</v>
      </c>
    </row>
    <row r="246" spans="1:6">
      <c r="A246" s="4" t="s">
        <v>642</v>
      </c>
      <c r="B246" s="6" t="s">
        <v>643</v>
      </c>
      <c r="C246" s="4" t="s">
        <v>49</v>
      </c>
      <c r="D246" s="4">
        <v>13</v>
      </c>
      <c r="E246" s="4" t="s">
        <v>380</v>
      </c>
      <c r="F246" s="4" t="s">
        <v>644</v>
      </c>
    </row>
    <row r="247" spans="1:6">
      <c r="A247" s="4" t="s">
        <v>645</v>
      </c>
      <c r="B247" s="6" t="s">
        <v>643</v>
      </c>
      <c r="C247" s="4" t="s">
        <v>243</v>
      </c>
      <c r="D247" s="4">
        <v>9</v>
      </c>
      <c r="E247" s="4" t="s">
        <v>380</v>
      </c>
    </row>
    <row r="248" spans="1:6">
      <c r="A248" s="4" t="s">
        <v>646</v>
      </c>
      <c r="B248" s="6" t="s">
        <v>647</v>
      </c>
      <c r="C248" s="4" t="s">
        <v>453</v>
      </c>
      <c r="D248" s="4">
        <v>15</v>
      </c>
      <c r="E248" s="4" t="s">
        <v>638</v>
      </c>
    </row>
    <row r="249" spans="1:6">
      <c r="A249" s="4" t="s">
        <v>648</v>
      </c>
      <c r="B249" s="6" t="s">
        <v>647</v>
      </c>
      <c r="C249" s="4" t="s">
        <v>19</v>
      </c>
      <c r="D249" s="4">
        <v>11</v>
      </c>
      <c r="E249" s="4" t="s">
        <v>638</v>
      </c>
    </row>
    <row r="250" spans="1:6">
      <c r="A250" s="4" t="s">
        <v>649</v>
      </c>
      <c r="B250" s="6" t="s">
        <v>647</v>
      </c>
      <c r="C250" s="4" t="s">
        <v>27</v>
      </c>
      <c r="D250" s="4">
        <v>11</v>
      </c>
      <c r="E250" s="4" t="s">
        <v>650</v>
      </c>
      <c r="F250" s="4" t="s">
        <v>651</v>
      </c>
    </row>
    <row r="251" spans="1:6">
      <c r="A251" s="4" t="s">
        <v>652</v>
      </c>
      <c r="B251" s="6" t="s">
        <v>647</v>
      </c>
      <c r="C251" s="4" t="s">
        <v>351</v>
      </c>
      <c r="D251" s="4">
        <v>11</v>
      </c>
      <c r="E251" s="4" t="s">
        <v>291</v>
      </c>
    </row>
    <row r="252" spans="1:6">
      <c r="A252" s="4" t="s">
        <v>653</v>
      </c>
      <c r="B252" s="6" t="s">
        <v>654</v>
      </c>
      <c r="C252" s="4" t="s">
        <v>342</v>
      </c>
      <c r="D252" s="4">
        <v>9</v>
      </c>
      <c r="E252" s="4" t="s">
        <v>655</v>
      </c>
    </row>
    <row r="253" spans="1:6">
      <c r="A253" s="4" t="s">
        <v>656</v>
      </c>
      <c r="B253" s="6" t="s">
        <v>657</v>
      </c>
      <c r="C253" s="4" t="s">
        <v>223</v>
      </c>
      <c r="D253" s="4">
        <v>12</v>
      </c>
      <c r="E253" s="4" t="s">
        <v>658</v>
      </c>
      <c r="F253" s="4" t="s">
        <v>659</v>
      </c>
    </row>
    <row r="254" spans="1:6">
      <c r="A254" s="4" t="s">
        <v>660</v>
      </c>
      <c r="B254" s="6" t="s">
        <v>661</v>
      </c>
      <c r="C254" s="4" t="s">
        <v>420</v>
      </c>
      <c r="D254" s="4">
        <v>10</v>
      </c>
      <c r="E254" s="4" t="s">
        <v>374</v>
      </c>
      <c r="F254" s="4" t="s">
        <v>662</v>
      </c>
    </row>
    <row r="255" spans="1:6">
      <c r="A255" s="4" t="s">
        <v>663</v>
      </c>
      <c r="B255" s="6" t="s">
        <v>661</v>
      </c>
      <c r="C255" s="4" t="s">
        <v>121</v>
      </c>
      <c r="D255" s="4">
        <v>5</v>
      </c>
      <c r="E255" s="4" t="s">
        <v>374</v>
      </c>
      <c r="F255" s="4" t="s">
        <v>375</v>
      </c>
    </row>
    <row r="256" spans="1:6">
      <c r="A256" s="4" t="s">
        <v>664</v>
      </c>
      <c r="B256" s="6" t="s">
        <v>665</v>
      </c>
      <c r="C256" s="4" t="s">
        <v>254</v>
      </c>
      <c r="D256" s="4">
        <v>10</v>
      </c>
      <c r="E256" s="4" t="s">
        <v>235</v>
      </c>
    </row>
    <row r="257" spans="1:6">
      <c r="A257" s="4" t="s">
        <v>666</v>
      </c>
      <c r="B257" s="6" t="s">
        <v>665</v>
      </c>
      <c r="C257" s="4" t="s">
        <v>53</v>
      </c>
      <c r="D257" s="4">
        <v>12</v>
      </c>
      <c r="E257" s="4" t="s">
        <v>428</v>
      </c>
    </row>
    <row r="258" spans="1:6">
      <c r="A258" s="4" t="s">
        <v>667</v>
      </c>
      <c r="B258" s="6" t="s">
        <v>665</v>
      </c>
      <c r="C258" s="4" t="s">
        <v>34</v>
      </c>
      <c r="D258" s="4">
        <v>11</v>
      </c>
      <c r="E258" s="4" t="s">
        <v>428</v>
      </c>
      <c r="F258" s="4" t="s">
        <v>668</v>
      </c>
    </row>
    <row r="259" spans="1:6">
      <c r="A259" s="4" t="s">
        <v>669</v>
      </c>
      <c r="B259" s="6" t="s">
        <v>670</v>
      </c>
      <c r="C259" s="4" t="s">
        <v>403</v>
      </c>
      <c r="D259" s="4">
        <v>19</v>
      </c>
      <c r="E259" s="4" t="s">
        <v>671</v>
      </c>
    </row>
    <row r="260" spans="1:6">
      <c r="A260" s="4" t="s">
        <v>672</v>
      </c>
      <c r="B260" s="6" t="s">
        <v>670</v>
      </c>
      <c r="C260" s="4" t="s">
        <v>179</v>
      </c>
      <c r="D260" s="4">
        <v>11</v>
      </c>
      <c r="E260" s="4" t="s">
        <v>673</v>
      </c>
    </row>
    <row r="261" spans="1:6">
      <c r="A261" s="4" t="s">
        <v>674</v>
      </c>
      <c r="B261" s="6" t="s">
        <v>670</v>
      </c>
      <c r="C261" s="4" t="s">
        <v>675</v>
      </c>
      <c r="D261" s="4">
        <v>8</v>
      </c>
      <c r="E261" s="4" t="s">
        <v>676</v>
      </c>
      <c r="F261" s="4" t="s">
        <v>677</v>
      </c>
    </row>
    <row r="262" spans="1:6">
      <c r="A262" s="4" t="s">
        <v>678</v>
      </c>
      <c r="B262" s="6" t="s">
        <v>670</v>
      </c>
      <c r="C262" s="4" t="s">
        <v>34</v>
      </c>
      <c r="D262" s="4">
        <v>11</v>
      </c>
      <c r="E262" s="4" t="s">
        <v>679</v>
      </c>
      <c r="F262" s="4" t="s">
        <v>680</v>
      </c>
    </row>
    <row r="263" spans="1:6">
      <c r="A263" s="4" t="s">
        <v>681</v>
      </c>
      <c r="B263" s="6" t="s">
        <v>682</v>
      </c>
      <c r="C263" s="4" t="s">
        <v>34</v>
      </c>
      <c r="D263" s="4">
        <v>10</v>
      </c>
      <c r="E263" s="4" t="s">
        <v>676</v>
      </c>
      <c r="F263" s="4" t="s">
        <v>683</v>
      </c>
    </row>
    <row r="264" spans="1:6">
      <c r="A264" s="4" t="s">
        <v>684</v>
      </c>
      <c r="B264" s="6" t="s">
        <v>685</v>
      </c>
      <c r="C264" s="4" t="s">
        <v>686</v>
      </c>
      <c r="D264" s="4">
        <v>19</v>
      </c>
      <c r="E264" s="4" t="s">
        <v>687</v>
      </c>
    </row>
    <row r="265" spans="1:6">
      <c r="A265" s="4" t="s">
        <v>688</v>
      </c>
      <c r="B265" s="6" t="s">
        <v>685</v>
      </c>
      <c r="C265" s="4" t="s">
        <v>254</v>
      </c>
      <c r="D265" s="4">
        <v>14</v>
      </c>
      <c r="E265" s="4" t="s">
        <v>689</v>
      </c>
      <c r="F265" s="4" t="s">
        <v>690</v>
      </c>
    </row>
    <row r="266" spans="1:6">
      <c r="A266" s="4" t="s">
        <v>691</v>
      </c>
      <c r="B266" s="6" t="s">
        <v>685</v>
      </c>
      <c r="C266" s="4" t="s">
        <v>104</v>
      </c>
      <c r="D266" s="4">
        <v>19</v>
      </c>
      <c r="E266" s="4" t="s">
        <v>692</v>
      </c>
      <c r="F266" s="4" t="s">
        <v>693</v>
      </c>
    </row>
    <row r="267" spans="1:6">
      <c r="A267" s="4" t="s">
        <v>694</v>
      </c>
      <c r="B267" s="6" t="s">
        <v>695</v>
      </c>
      <c r="C267" s="4" t="s">
        <v>254</v>
      </c>
      <c r="D267" s="4">
        <v>10</v>
      </c>
      <c r="E267" s="4" t="s">
        <v>638</v>
      </c>
    </row>
    <row r="268" spans="1:6">
      <c r="A268" s="4" t="s">
        <v>696</v>
      </c>
      <c r="B268" s="6" t="s">
        <v>695</v>
      </c>
      <c r="C268" s="4" t="s">
        <v>81</v>
      </c>
      <c r="D268" s="4">
        <v>10</v>
      </c>
      <c r="E268" s="4" t="s">
        <v>697</v>
      </c>
      <c r="F268" s="4" t="s">
        <v>698</v>
      </c>
    </row>
    <row r="269" spans="1:6">
      <c r="A269" s="4" t="s">
        <v>699</v>
      </c>
      <c r="B269" s="6" t="s">
        <v>695</v>
      </c>
      <c r="C269" s="4" t="s">
        <v>254</v>
      </c>
      <c r="D269" s="4">
        <v>8</v>
      </c>
      <c r="E269" s="4" t="s">
        <v>291</v>
      </c>
    </row>
    <row r="270" spans="1:6">
      <c r="A270" s="4" t="s">
        <v>700</v>
      </c>
      <c r="B270" s="6" t="s">
        <v>695</v>
      </c>
      <c r="C270" s="4" t="s">
        <v>57</v>
      </c>
      <c r="D270" s="4">
        <v>12</v>
      </c>
      <c r="E270" s="4" t="s">
        <v>391</v>
      </c>
    </row>
    <row r="271" spans="1:6">
      <c r="A271" s="4" t="s">
        <v>701</v>
      </c>
      <c r="B271" s="6" t="s">
        <v>695</v>
      </c>
      <c r="C271" s="4" t="s">
        <v>23</v>
      </c>
      <c r="D271" s="4">
        <v>10</v>
      </c>
      <c r="E271" s="4" t="s">
        <v>638</v>
      </c>
      <c r="F271" s="4" t="s">
        <v>702</v>
      </c>
    </row>
    <row r="272" spans="1:6">
      <c r="A272" s="4" t="s">
        <v>703</v>
      </c>
      <c r="B272" s="6" t="s">
        <v>704</v>
      </c>
      <c r="C272" s="4" t="s">
        <v>705</v>
      </c>
      <c r="D272" s="4">
        <v>9</v>
      </c>
      <c r="E272" s="4" t="s">
        <v>706</v>
      </c>
    </row>
    <row r="273" spans="1:6">
      <c r="A273" s="4" t="s">
        <v>707</v>
      </c>
      <c r="B273" s="6" t="s">
        <v>704</v>
      </c>
      <c r="C273" s="4" t="s">
        <v>708</v>
      </c>
      <c r="D273" s="4">
        <v>7</v>
      </c>
      <c r="E273" s="4" t="s">
        <v>706</v>
      </c>
    </row>
    <row r="274" spans="1:6">
      <c r="A274" s="4" t="s">
        <v>709</v>
      </c>
      <c r="B274" s="6" t="s">
        <v>710</v>
      </c>
      <c r="C274" s="4" t="s">
        <v>403</v>
      </c>
      <c r="D274" s="4">
        <v>12</v>
      </c>
      <c r="E274" s="4" t="s">
        <v>465</v>
      </c>
      <c r="F274" s="4" t="s">
        <v>711</v>
      </c>
    </row>
    <row r="275" spans="1:6">
      <c r="A275" s="4" t="s">
        <v>712</v>
      </c>
      <c r="B275" s="6" t="s">
        <v>713</v>
      </c>
      <c r="C275" s="4" t="s">
        <v>223</v>
      </c>
      <c r="D275" s="4">
        <v>14</v>
      </c>
      <c r="E275" s="4" t="s">
        <v>291</v>
      </c>
    </row>
    <row r="276" spans="1:6">
      <c r="A276" s="4" t="s">
        <v>714</v>
      </c>
      <c r="B276" s="6" t="s">
        <v>715</v>
      </c>
      <c r="C276" s="4" t="s">
        <v>179</v>
      </c>
      <c r="D276" s="4">
        <v>11</v>
      </c>
      <c r="E276" s="4" t="s">
        <v>177</v>
      </c>
    </row>
    <row r="277" spans="1:6">
      <c r="A277" s="4" t="s">
        <v>716</v>
      </c>
      <c r="B277" s="6" t="s">
        <v>715</v>
      </c>
      <c r="C277" s="4" t="s">
        <v>143</v>
      </c>
      <c r="D277" s="4">
        <v>11</v>
      </c>
      <c r="E277" s="4" t="s">
        <v>312</v>
      </c>
    </row>
    <row r="278" spans="1:6">
      <c r="A278" s="4" t="s">
        <v>717</v>
      </c>
      <c r="B278" s="6" t="s">
        <v>718</v>
      </c>
      <c r="C278" s="4" t="s">
        <v>427</v>
      </c>
      <c r="D278" s="4">
        <v>15</v>
      </c>
      <c r="E278" s="4" t="s">
        <v>495</v>
      </c>
    </row>
    <row r="279" spans="1:6">
      <c r="A279" s="4" t="s">
        <v>719</v>
      </c>
      <c r="B279" s="6" t="s">
        <v>720</v>
      </c>
      <c r="C279" s="4" t="s">
        <v>31</v>
      </c>
      <c r="D279" s="4">
        <v>14</v>
      </c>
      <c r="E279" s="4" t="s">
        <v>721</v>
      </c>
      <c r="F279" s="4" t="s">
        <v>722</v>
      </c>
    </row>
    <row r="280" spans="1:6">
      <c r="A280" s="4" t="s">
        <v>723</v>
      </c>
      <c r="B280" s="6" t="s">
        <v>720</v>
      </c>
      <c r="C280" s="4" t="s">
        <v>23</v>
      </c>
      <c r="D280" s="4">
        <v>10</v>
      </c>
      <c r="E280" s="4" t="s">
        <v>721</v>
      </c>
    </row>
    <row r="281" spans="1:6">
      <c r="A281" s="4" t="s">
        <v>724</v>
      </c>
      <c r="B281" s="6" t="s">
        <v>720</v>
      </c>
      <c r="C281" s="4" t="s">
        <v>464</v>
      </c>
      <c r="D281" s="4">
        <v>13</v>
      </c>
      <c r="E281" s="4" t="s">
        <v>721</v>
      </c>
    </row>
    <row r="282" spans="1:6">
      <c r="A282" s="4" t="s">
        <v>725</v>
      </c>
      <c r="B282" s="6" t="s">
        <v>726</v>
      </c>
      <c r="C282" s="4" t="s">
        <v>37</v>
      </c>
      <c r="D282" s="4">
        <v>13</v>
      </c>
      <c r="E282" s="4" t="s">
        <v>727</v>
      </c>
    </row>
    <row r="283" spans="1:6">
      <c r="A283" s="4" t="s">
        <v>728</v>
      </c>
      <c r="B283" s="6" t="s">
        <v>726</v>
      </c>
      <c r="C283" s="4" t="s">
        <v>27</v>
      </c>
      <c r="D283" s="4">
        <v>9</v>
      </c>
      <c r="E283" s="4" t="s">
        <v>727</v>
      </c>
    </row>
    <row r="284" spans="1:6">
      <c r="A284" s="4" t="s">
        <v>729</v>
      </c>
      <c r="B284" s="6" t="s">
        <v>730</v>
      </c>
      <c r="C284" s="4" t="s">
        <v>729</v>
      </c>
      <c r="D284" s="4">
        <v>5</v>
      </c>
      <c r="E284" s="4" t="s">
        <v>731</v>
      </c>
      <c r="F284" s="4" t="s">
        <v>732</v>
      </c>
    </row>
    <row r="285" spans="1:6">
      <c r="A285" s="4" t="s">
        <v>733</v>
      </c>
      <c r="B285" s="6" t="s">
        <v>730</v>
      </c>
      <c r="C285" s="4" t="s">
        <v>53</v>
      </c>
      <c r="D285" s="4">
        <v>9</v>
      </c>
      <c r="E285" s="4" t="s">
        <v>731</v>
      </c>
    </row>
    <row r="286" spans="1:6">
      <c r="A286" s="4" t="s">
        <v>734</v>
      </c>
      <c r="B286" s="6" t="s">
        <v>730</v>
      </c>
      <c r="C286" s="4" t="s">
        <v>76</v>
      </c>
      <c r="D286" s="4">
        <v>10</v>
      </c>
      <c r="E286" s="4" t="s">
        <v>731</v>
      </c>
    </row>
    <row r="287" spans="1:6">
      <c r="A287" s="4" t="s">
        <v>735</v>
      </c>
      <c r="B287" s="6" t="s">
        <v>730</v>
      </c>
      <c r="C287" s="4" t="s">
        <v>87</v>
      </c>
      <c r="D287" s="4">
        <v>11</v>
      </c>
      <c r="E287" s="4" t="s">
        <v>736</v>
      </c>
    </row>
    <row r="288" spans="1:6">
      <c r="A288" s="4" t="s">
        <v>737</v>
      </c>
      <c r="B288" s="6" t="s">
        <v>730</v>
      </c>
      <c r="C288" s="4" t="s">
        <v>27</v>
      </c>
      <c r="D288" s="4">
        <v>8</v>
      </c>
      <c r="E288" s="4" t="s">
        <v>731</v>
      </c>
    </row>
    <row r="289" spans="1:6">
      <c r="A289" s="4" t="s">
        <v>738</v>
      </c>
      <c r="B289" s="6" t="s">
        <v>739</v>
      </c>
      <c r="C289" s="4" t="s">
        <v>354</v>
      </c>
      <c r="D289" s="4">
        <v>7</v>
      </c>
      <c r="E289" s="4" t="s">
        <v>731</v>
      </c>
      <c r="F289" s="4" t="s">
        <v>740</v>
      </c>
    </row>
    <row r="290" spans="1:6">
      <c r="A290" s="4" t="s">
        <v>598</v>
      </c>
      <c r="B290" s="6" t="s">
        <v>739</v>
      </c>
      <c r="C290" s="4" t="s">
        <v>598</v>
      </c>
      <c r="D290" s="4">
        <v>3</v>
      </c>
      <c r="E290" s="4" t="s">
        <v>731</v>
      </c>
      <c r="F290" s="4" t="s">
        <v>741</v>
      </c>
    </row>
    <row r="291" spans="1:6">
      <c r="A291" s="4" t="s">
        <v>742</v>
      </c>
      <c r="B291" s="6" t="s">
        <v>739</v>
      </c>
      <c r="C291" s="4" t="s">
        <v>53</v>
      </c>
      <c r="D291" s="4">
        <v>10</v>
      </c>
      <c r="E291" s="4" t="s">
        <v>731</v>
      </c>
      <c r="F291" s="4" t="s">
        <v>743</v>
      </c>
    </row>
    <row r="292" spans="1:6">
      <c r="A292" s="4" t="s">
        <v>744</v>
      </c>
      <c r="B292" s="6" t="s">
        <v>745</v>
      </c>
      <c r="C292" s="4" t="s">
        <v>53</v>
      </c>
      <c r="D292" s="4">
        <v>7</v>
      </c>
      <c r="E292" s="4" t="s">
        <v>731</v>
      </c>
    </row>
    <row r="293" spans="1:6">
      <c r="A293" s="4" t="s">
        <v>746</v>
      </c>
      <c r="B293" s="6" t="s">
        <v>747</v>
      </c>
      <c r="C293" s="4" t="s">
        <v>182</v>
      </c>
      <c r="D293" s="4">
        <v>10</v>
      </c>
      <c r="E293" s="4" t="s">
        <v>748</v>
      </c>
      <c r="F293" s="4" t="s">
        <v>749</v>
      </c>
    </row>
    <row r="294" spans="1:6">
      <c r="A294" s="4" t="s">
        <v>750</v>
      </c>
      <c r="B294" s="6" t="s">
        <v>751</v>
      </c>
      <c r="C294" s="4" t="s">
        <v>405</v>
      </c>
      <c r="D294" s="4">
        <v>4</v>
      </c>
      <c r="E294" s="4" t="s">
        <v>752</v>
      </c>
      <c r="F294" s="4" t="s">
        <v>753</v>
      </c>
    </row>
    <row r="295" spans="1:6">
      <c r="A295" s="4" t="s">
        <v>754</v>
      </c>
      <c r="B295" s="6" t="s">
        <v>755</v>
      </c>
      <c r="C295" s="4" t="s">
        <v>756</v>
      </c>
      <c r="D295" s="4">
        <v>10</v>
      </c>
      <c r="E295" s="4" t="s">
        <v>752</v>
      </c>
      <c r="F295" s="4" t="s">
        <v>757</v>
      </c>
    </row>
    <row r="296" spans="1:6">
      <c r="A296" s="4" t="s">
        <v>758</v>
      </c>
      <c r="B296" s="6" t="s">
        <v>755</v>
      </c>
      <c r="C296" s="4" t="s">
        <v>41</v>
      </c>
      <c r="D296" s="4">
        <v>5</v>
      </c>
      <c r="E296" s="4" t="s">
        <v>752</v>
      </c>
      <c r="F296" s="4" t="s">
        <v>759</v>
      </c>
    </row>
    <row r="297" spans="1:6">
      <c r="A297" s="4" t="s">
        <v>760</v>
      </c>
      <c r="B297" s="6" t="s">
        <v>755</v>
      </c>
      <c r="C297" s="4" t="s">
        <v>761</v>
      </c>
      <c r="D297" s="4">
        <v>12</v>
      </c>
      <c r="E297" s="4" t="s">
        <v>762</v>
      </c>
      <c r="F297" s="4" t="s">
        <v>763</v>
      </c>
    </row>
    <row r="298" spans="1:6">
      <c r="A298" s="4" t="s">
        <v>764</v>
      </c>
      <c r="B298" s="6" t="s">
        <v>765</v>
      </c>
      <c r="C298" s="4" t="s">
        <v>766</v>
      </c>
      <c r="D298" s="4">
        <v>7</v>
      </c>
      <c r="E298" s="4" t="s">
        <v>767</v>
      </c>
      <c r="F298" s="4" t="s">
        <v>768</v>
      </c>
    </row>
    <row r="299" spans="1:6">
      <c r="A299" s="4" t="s">
        <v>769</v>
      </c>
      <c r="B299" s="6" t="s">
        <v>770</v>
      </c>
      <c r="C299" s="4" t="s">
        <v>769</v>
      </c>
      <c r="D299" s="4">
        <v>10</v>
      </c>
      <c r="E299" s="4" t="s">
        <v>752</v>
      </c>
      <c r="F299" s="4" t="s">
        <v>771</v>
      </c>
    </row>
    <row r="300" spans="1:6">
      <c r="A300" s="4" t="s">
        <v>772</v>
      </c>
      <c r="B300" s="6" t="s">
        <v>770</v>
      </c>
      <c r="C300" s="4" t="s">
        <v>53</v>
      </c>
      <c r="D300" s="4">
        <v>15</v>
      </c>
      <c r="E300" s="4" t="s">
        <v>752</v>
      </c>
    </row>
    <row r="301" spans="1:6">
      <c r="A301" s="4" t="s">
        <v>773</v>
      </c>
      <c r="B301" s="6" t="s">
        <v>770</v>
      </c>
      <c r="C301" s="4" t="s">
        <v>23</v>
      </c>
      <c r="D301" s="4">
        <v>16</v>
      </c>
      <c r="E301" s="4" t="s">
        <v>752</v>
      </c>
    </row>
    <row r="302" spans="1:6">
      <c r="A302" s="4" t="s">
        <v>774</v>
      </c>
      <c r="B302" s="6" t="s">
        <v>770</v>
      </c>
      <c r="C302" s="4" t="s">
        <v>27</v>
      </c>
      <c r="D302" s="4">
        <v>13</v>
      </c>
      <c r="E302" s="4" t="s">
        <v>775</v>
      </c>
      <c r="F302" s="4" t="s">
        <v>776</v>
      </c>
    </row>
    <row r="303" spans="1:6">
      <c r="A303" s="4" t="s">
        <v>777</v>
      </c>
      <c r="B303" s="6" t="s">
        <v>778</v>
      </c>
      <c r="C303" s="4" t="s">
        <v>354</v>
      </c>
      <c r="D303" s="4">
        <v>14</v>
      </c>
      <c r="E303" s="4" t="s">
        <v>752</v>
      </c>
    </row>
    <row r="304" spans="1:6">
      <c r="A304" s="4" t="s">
        <v>779</v>
      </c>
      <c r="B304" s="6" t="s">
        <v>780</v>
      </c>
      <c r="C304" s="4" t="s">
        <v>403</v>
      </c>
      <c r="D304" s="4">
        <v>14</v>
      </c>
      <c r="E304" s="4" t="s">
        <v>781</v>
      </c>
    </row>
    <row r="305" spans="1:6">
      <c r="A305" s="4" t="s">
        <v>782</v>
      </c>
      <c r="B305" s="6" t="s">
        <v>780</v>
      </c>
      <c r="C305" s="4" t="s">
        <v>254</v>
      </c>
      <c r="D305" s="4">
        <v>10</v>
      </c>
      <c r="E305" s="4" t="s">
        <v>783</v>
      </c>
    </row>
    <row r="306" spans="1:6">
      <c r="A306" s="4" t="s">
        <v>784</v>
      </c>
      <c r="B306" s="6" t="s">
        <v>780</v>
      </c>
      <c r="C306" s="4" t="s">
        <v>785</v>
      </c>
      <c r="D306" s="4">
        <v>3</v>
      </c>
      <c r="E306" s="4" t="s">
        <v>786</v>
      </c>
    </row>
    <row r="307" spans="1:6">
      <c r="A307" s="4" t="s">
        <v>787</v>
      </c>
      <c r="B307" s="6" t="s">
        <v>788</v>
      </c>
      <c r="C307" s="4" t="s">
        <v>110</v>
      </c>
      <c r="D307" s="4">
        <v>14</v>
      </c>
      <c r="E307" s="4" t="s">
        <v>789</v>
      </c>
    </row>
    <row r="308" spans="1:6">
      <c r="A308" s="4" t="s">
        <v>790</v>
      </c>
      <c r="B308" s="6" t="s">
        <v>788</v>
      </c>
      <c r="C308" s="4" t="s">
        <v>23</v>
      </c>
      <c r="D308" s="4">
        <v>6</v>
      </c>
      <c r="E308" s="4" t="s">
        <v>789</v>
      </c>
      <c r="F308" s="4" t="s">
        <v>791</v>
      </c>
    </row>
    <row r="309" spans="1:6">
      <c r="A309" s="4" t="s">
        <v>792</v>
      </c>
      <c r="B309" s="6" t="s">
        <v>788</v>
      </c>
      <c r="C309" s="4" t="s">
        <v>34</v>
      </c>
      <c r="D309" s="4">
        <v>17</v>
      </c>
      <c r="E309" s="4" t="s">
        <v>789</v>
      </c>
      <c r="F309" s="4" t="s">
        <v>793</v>
      </c>
    </row>
    <row r="310" spans="1:6">
      <c r="A310" s="4" t="s">
        <v>794</v>
      </c>
      <c r="B310" s="6" t="s">
        <v>788</v>
      </c>
      <c r="C310" s="4" t="s">
        <v>23</v>
      </c>
      <c r="D310" s="4">
        <v>9</v>
      </c>
      <c r="E310" s="4" t="s">
        <v>789</v>
      </c>
    </row>
    <row r="311" spans="1:6">
      <c r="A311" s="4" t="s">
        <v>795</v>
      </c>
      <c r="B311" s="6" t="s">
        <v>796</v>
      </c>
      <c r="C311" s="4" t="s">
        <v>19</v>
      </c>
      <c r="D311" s="4">
        <v>13</v>
      </c>
      <c r="E311" s="4" t="s">
        <v>789</v>
      </c>
      <c r="F311" s="4" t="s">
        <v>797</v>
      </c>
    </row>
    <row r="312" spans="1:6">
      <c r="A312" s="4" t="s">
        <v>246</v>
      </c>
      <c r="B312" s="6" t="s">
        <v>796</v>
      </c>
      <c r="C312" s="4" t="s">
        <v>246</v>
      </c>
      <c r="D312" s="4">
        <v>9</v>
      </c>
      <c r="E312" s="4" t="s">
        <v>789</v>
      </c>
      <c r="F312" s="4" t="s">
        <v>592</v>
      </c>
    </row>
    <row r="313" spans="1:6">
      <c r="A313" s="4" t="s">
        <v>798</v>
      </c>
      <c r="B313" s="6" t="s">
        <v>796</v>
      </c>
      <c r="C313" s="4" t="s">
        <v>53</v>
      </c>
      <c r="D313" s="4">
        <v>10</v>
      </c>
      <c r="E313" s="4" t="s">
        <v>799</v>
      </c>
    </row>
    <row r="314" spans="1:6">
      <c r="A314" s="4" t="s">
        <v>800</v>
      </c>
      <c r="B314" s="6" t="s">
        <v>796</v>
      </c>
      <c r="C314" s="4" t="s">
        <v>34</v>
      </c>
      <c r="D314" s="4">
        <v>9</v>
      </c>
      <c r="E314" s="4" t="s">
        <v>789</v>
      </c>
    </row>
    <row r="315" spans="1:6">
      <c r="A315" s="4" t="s">
        <v>801</v>
      </c>
      <c r="B315" s="6" t="s">
        <v>802</v>
      </c>
      <c r="C315" s="4" t="s">
        <v>49</v>
      </c>
      <c r="D315" s="4">
        <v>13</v>
      </c>
      <c r="E315" s="4" t="s">
        <v>727</v>
      </c>
      <c r="F315" s="4" t="s">
        <v>803</v>
      </c>
    </row>
    <row r="316" spans="1:6">
      <c r="A316" s="4" t="s">
        <v>804</v>
      </c>
      <c r="B316" s="6" t="s">
        <v>802</v>
      </c>
      <c r="C316" s="4" t="s">
        <v>448</v>
      </c>
      <c r="D316" s="4">
        <v>4</v>
      </c>
      <c r="E316" s="4" t="s">
        <v>805</v>
      </c>
    </row>
    <row r="317" spans="1:6">
      <c r="A317" s="4" t="s">
        <v>806</v>
      </c>
      <c r="B317" s="6" t="s">
        <v>807</v>
      </c>
      <c r="C317" s="4" t="s">
        <v>301</v>
      </c>
      <c r="D317" s="4">
        <v>11</v>
      </c>
      <c r="E317" s="4" t="s">
        <v>808</v>
      </c>
    </row>
    <row r="318" spans="1:6">
      <c r="A318" s="4" t="s">
        <v>809</v>
      </c>
      <c r="B318" s="6" t="s">
        <v>810</v>
      </c>
      <c r="C318" s="4" t="s">
        <v>598</v>
      </c>
      <c r="D318" s="4">
        <v>13</v>
      </c>
      <c r="E318" s="4" t="s">
        <v>731</v>
      </c>
      <c r="F318" s="4" t="s">
        <v>811</v>
      </c>
    </row>
    <row r="319" spans="1:6">
      <c r="A319" s="4" t="s">
        <v>812</v>
      </c>
      <c r="B319" s="6" t="s">
        <v>810</v>
      </c>
      <c r="C319" s="4" t="s">
        <v>53</v>
      </c>
      <c r="D319" s="4">
        <v>11</v>
      </c>
      <c r="E319" s="4" t="s">
        <v>731</v>
      </c>
    </row>
    <row r="320" spans="1:6">
      <c r="A320" s="4" t="s">
        <v>813</v>
      </c>
      <c r="B320" s="6" t="s">
        <v>814</v>
      </c>
      <c r="C320" s="4" t="s">
        <v>23</v>
      </c>
      <c r="D320" s="4">
        <v>10</v>
      </c>
      <c r="E320" s="4" t="s">
        <v>752</v>
      </c>
    </row>
    <row r="321" spans="1:6">
      <c r="A321" s="4" t="s">
        <v>815</v>
      </c>
      <c r="B321" s="6" t="s">
        <v>816</v>
      </c>
      <c r="C321" s="4" t="s">
        <v>23</v>
      </c>
      <c r="D321" s="4">
        <v>7</v>
      </c>
      <c r="E321" s="4" t="s">
        <v>817</v>
      </c>
      <c r="F321" s="4" t="s">
        <v>818</v>
      </c>
    </row>
    <row r="322" spans="1:6">
      <c r="A322" s="4" t="s">
        <v>819</v>
      </c>
      <c r="B322" s="6" t="s">
        <v>820</v>
      </c>
      <c r="C322" s="4" t="s">
        <v>427</v>
      </c>
      <c r="D322" s="4">
        <v>12</v>
      </c>
      <c r="E322" s="4" t="s">
        <v>752</v>
      </c>
      <c r="F322" s="4" t="s">
        <v>821</v>
      </c>
    </row>
    <row r="323" spans="1:6">
      <c r="A323" s="4" t="s">
        <v>822</v>
      </c>
      <c r="B323" s="6" t="s">
        <v>820</v>
      </c>
      <c r="C323" s="4" t="s">
        <v>23</v>
      </c>
      <c r="D323" s="4">
        <v>9</v>
      </c>
      <c r="E323" s="4" t="s">
        <v>752</v>
      </c>
    </row>
    <row r="324" spans="1:6">
      <c r="A324" s="4" t="s">
        <v>823</v>
      </c>
      <c r="B324" s="6" t="s">
        <v>824</v>
      </c>
      <c r="C324" s="4" t="s">
        <v>271</v>
      </c>
      <c r="D324" s="4">
        <v>12</v>
      </c>
      <c r="E324" s="4" t="s">
        <v>825</v>
      </c>
      <c r="F324" s="4" t="s">
        <v>826</v>
      </c>
    </row>
    <row r="325" spans="1:6">
      <c r="A325" s="4" t="s">
        <v>827</v>
      </c>
      <c r="B325" s="6" t="s">
        <v>824</v>
      </c>
      <c r="C325" s="4" t="s">
        <v>23</v>
      </c>
      <c r="D325" s="4">
        <v>6</v>
      </c>
      <c r="E325" s="4" t="s">
        <v>828</v>
      </c>
    </row>
    <row r="326" spans="1:6">
      <c r="A326" s="4" t="s">
        <v>829</v>
      </c>
      <c r="B326" s="6" t="s">
        <v>824</v>
      </c>
      <c r="C326" s="4" t="s">
        <v>49</v>
      </c>
      <c r="D326" s="4">
        <v>11</v>
      </c>
      <c r="E326" s="4" t="s">
        <v>825</v>
      </c>
      <c r="F326" s="4" t="s">
        <v>830</v>
      </c>
    </row>
    <row r="327" spans="1:6">
      <c r="A327" s="4" t="s">
        <v>831</v>
      </c>
      <c r="B327" s="6" t="s">
        <v>824</v>
      </c>
      <c r="C327" s="4" t="s">
        <v>254</v>
      </c>
      <c r="D327" s="4">
        <v>8</v>
      </c>
      <c r="E327" s="4" t="s">
        <v>832</v>
      </c>
    </row>
    <row r="328" spans="1:6">
      <c r="A328" s="4" t="s">
        <v>833</v>
      </c>
      <c r="B328" s="6" t="s">
        <v>834</v>
      </c>
      <c r="C328" s="4" t="s">
        <v>414</v>
      </c>
      <c r="D328" s="4">
        <v>7</v>
      </c>
      <c r="E328" s="4" t="s">
        <v>805</v>
      </c>
      <c r="F328" s="4" t="s">
        <v>835</v>
      </c>
    </row>
    <row r="329" spans="1:6">
      <c r="A329" s="4" t="s">
        <v>836</v>
      </c>
      <c r="B329" s="6" t="s">
        <v>837</v>
      </c>
      <c r="C329" s="4" t="s">
        <v>81</v>
      </c>
      <c r="D329" s="4">
        <v>13</v>
      </c>
      <c r="E329" s="4" t="s">
        <v>731</v>
      </c>
    </row>
    <row r="330" spans="1:6">
      <c r="A330" s="4" t="s">
        <v>838</v>
      </c>
      <c r="B330" s="6" t="s">
        <v>837</v>
      </c>
      <c r="C330" s="4" t="s">
        <v>414</v>
      </c>
      <c r="D330" s="4">
        <v>12</v>
      </c>
      <c r="E330" s="4" t="s">
        <v>731</v>
      </c>
      <c r="F330" s="4" t="s">
        <v>839</v>
      </c>
    </row>
    <row r="331" spans="1:6">
      <c r="A331" s="4" t="s">
        <v>840</v>
      </c>
      <c r="B331" s="6" t="s">
        <v>837</v>
      </c>
      <c r="C331" s="4" t="s">
        <v>34</v>
      </c>
      <c r="D331" s="4">
        <v>16</v>
      </c>
      <c r="E331" s="4" t="s">
        <v>731</v>
      </c>
    </row>
    <row r="332" spans="1:6">
      <c r="A332" s="4" t="s">
        <v>841</v>
      </c>
      <c r="B332" s="6" t="s">
        <v>837</v>
      </c>
      <c r="C332" s="4" t="s">
        <v>53</v>
      </c>
      <c r="D332" s="4">
        <v>16</v>
      </c>
      <c r="E332" s="4" t="s">
        <v>731</v>
      </c>
    </row>
    <row r="333" spans="1:6">
      <c r="A333" s="4" t="s">
        <v>842</v>
      </c>
      <c r="B333" s="6" t="s">
        <v>843</v>
      </c>
      <c r="C333" s="4" t="s">
        <v>34</v>
      </c>
      <c r="D333" s="4">
        <v>6</v>
      </c>
      <c r="E333" s="4" t="s">
        <v>844</v>
      </c>
    </row>
    <row r="334" spans="1:6">
      <c r="A334" s="4" t="s">
        <v>845</v>
      </c>
      <c r="B334" s="6" t="s">
        <v>846</v>
      </c>
      <c r="C334" s="4" t="s">
        <v>34</v>
      </c>
      <c r="D334" s="4">
        <v>10</v>
      </c>
      <c r="E334" s="4" t="s">
        <v>731</v>
      </c>
    </row>
    <row r="335" spans="1:6">
      <c r="A335" s="4" t="s">
        <v>847</v>
      </c>
      <c r="B335" s="6" t="s">
        <v>848</v>
      </c>
      <c r="C335" s="4" t="s">
        <v>87</v>
      </c>
      <c r="D335" s="4">
        <v>12</v>
      </c>
      <c r="E335" s="4" t="s">
        <v>752</v>
      </c>
      <c r="F335" s="4" t="s">
        <v>849</v>
      </c>
    </row>
    <row r="336" spans="1:6">
      <c r="A336" s="4" t="s">
        <v>850</v>
      </c>
      <c r="B336" s="6" t="s">
        <v>851</v>
      </c>
      <c r="C336" s="4" t="s">
        <v>37</v>
      </c>
      <c r="D336" s="4">
        <v>19</v>
      </c>
      <c r="E336" s="4" t="s">
        <v>852</v>
      </c>
    </row>
    <row r="337" spans="1:6">
      <c r="A337" s="4" t="s">
        <v>853</v>
      </c>
      <c r="B337" s="6" t="s">
        <v>851</v>
      </c>
      <c r="C337" s="4" t="s">
        <v>27</v>
      </c>
      <c r="D337" s="4">
        <v>14</v>
      </c>
      <c r="E337" s="4" t="s">
        <v>854</v>
      </c>
      <c r="F337" s="4" t="s">
        <v>855</v>
      </c>
    </row>
    <row r="338" spans="1:6">
      <c r="A338" s="4" t="s">
        <v>856</v>
      </c>
      <c r="B338" s="6" t="s">
        <v>851</v>
      </c>
      <c r="C338" s="4" t="s">
        <v>104</v>
      </c>
      <c r="D338" s="4">
        <v>12</v>
      </c>
      <c r="E338" s="4" t="s">
        <v>852</v>
      </c>
    </row>
    <row r="339" spans="1:6">
      <c r="A339" s="4" t="s">
        <v>857</v>
      </c>
      <c r="B339" s="6" t="s">
        <v>851</v>
      </c>
      <c r="C339" s="4" t="s">
        <v>81</v>
      </c>
      <c r="D339" s="4">
        <v>15</v>
      </c>
      <c r="E339" s="4" t="s">
        <v>852</v>
      </c>
      <c r="F339" s="4" t="s">
        <v>858</v>
      </c>
    </row>
    <row r="340" spans="1:6">
      <c r="A340" s="4" t="s">
        <v>859</v>
      </c>
      <c r="B340" s="6" t="s">
        <v>851</v>
      </c>
      <c r="C340" s="4" t="s">
        <v>860</v>
      </c>
      <c r="D340" s="4">
        <v>11</v>
      </c>
      <c r="E340" s="4" t="s">
        <v>852</v>
      </c>
      <c r="F340" s="4" t="s">
        <v>861</v>
      </c>
    </row>
    <row r="341" spans="1:6">
      <c r="A341" s="4" t="s">
        <v>862</v>
      </c>
      <c r="B341" s="6" t="s">
        <v>863</v>
      </c>
      <c r="C341" s="4" t="s">
        <v>458</v>
      </c>
      <c r="D341" s="4">
        <v>15</v>
      </c>
      <c r="E341" s="4" t="s">
        <v>752</v>
      </c>
    </row>
    <row r="342" spans="1:6">
      <c r="A342" s="4" t="s">
        <v>864</v>
      </c>
      <c r="B342" s="6" t="s">
        <v>863</v>
      </c>
      <c r="C342" s="4" t="s">
        <v>53</v>
      </c>
      <c r="D342" s="4">
        <v>8</v>
      </c>
      <c r="E342" s="4" t="s">
        <v>752</v>
      </c>
    </row>
    <row r="343" spans="1:6">
      <c r="A343" s="4" t="s">
        <v>865</v>
      </c>
      <c r="B343" s="6" t="s">
        <v>863</v>
      </c>
      <c r="C343" s="4" t="s">
        <v>53</v>
      </c>
      <c r="D343" s="4">
        <v>14</v>
      </c>
      <c r="E343" s="4" t="s">
        <v>752</v>
      </c>
    </row>
    <row r="344" spans="1:6">
      <c r="A344" s="4" t="s">
        <v>866</v>
      </c>
      <c r="B344" s="6" t="s">
        <v>863</v>
      </c>
      <c r="C344" s="4" t="s">
        <v>49</v>
      </c>
      <c r="D344" s="4">
        <v>17</v>
      </c>
      <c r="E344" s="4" t="s">
        <v>752</v>
      </c>
      <c r="F344" s="4" t="s">
        <v>867</v>
      </c>
    </row>
    <row r="345" spans="1:6">
      <c r="A345" s="4" t="s">
        <v>868</v>
      </c>
      <c r="B345" s="6" t="s">
        <v>869</v>
      </c>
      <c r="C345" s="4" t="s">
        <v>870</v>
      </c>
      <c r="D345" s="4">
        <v>20</v>
      </c>
      <c r="E345" s="4" t="s">
        <v>854</v>
      </c>
      <c r="F345" s="4" t="s">
        <v>871</v>
      </c>
    </row>
    <row r="346" spans="1:6">
      <c r="A346" s="4" t="s">
        <v>872</v>
      </c>
      <c r="B346" s="6" t="s">
        <v>873</v>
      </c>
      <c r="C346" s="4" t="s">
        <v>403</v>
      </c>
      <c r="D346" s="4">
        <v>12</v>
      </c>
      <c r="E346" s="4" t="s">
        <v>874</v>
      </c>
      <c r="F346" s="4" t="s">
        <v>875</v>
      </c>
    </row>
    <row r="347" spans="1:6">
      <c r="A347" s="4" t="s">
        <v>876</v>
      </c>
      <c r="B347" s="6" t="s">
        <v>873</v>
      </c>
      <c r="C347" s="4" t="s">
        <v>876</v>
      </c>
      <c r="D347" s="4">
        <v>4</v>
      </c>
      <c r="E347" s="4" t="s">
        <v>877</v>
      </c>
    </row>
    <row r="348" spans="1:6">
      <c r="A348" s="4" t="s">
        <v>238</v>
      </c>
      <c r="B348" s="6" t="s">
        <v>873</v>
      </c>
      <c r="C348" s="4" t="s">
        <v>238</v>
      </c>
      <c r="D348" s="4">
        <v>3</v>
      </c>
      <c r="E348" s="4" t="s">
        <v>877</v>
      </c>
      <c r="F348" s="4" t="s">
        <v>878</v>
      </c>
    </row>
    <row r="349" spans="1:6">
      <c r="A349" s="4" t="s">
        <v>879</v>
      </c>
      <c r="B349" s="6" t="s">
        <v>880</v>
      </c>
      <c r="C349" s="4" t="s">
        <v>87</v>
      </c>
      <c r="D349" s="4">
        <v>13</v>
      </c>
      <c r="E349" s="4" t="s">
        <v>752</v>
      </c>
      <c r="F349" s="4" t="s">
        <v>881</v>
      </c>
    </row>
    <row r="350" spans="1:6">
      <c r="A350" s="4" t="s">
        <v>882</v>
      </c>
      <c r="B350" s="6" t="s">
        <v>880</v>
      </c>
      <c r="C350" s="4" t="s">
        <v>268</v>
      </c>
      <c r="D350" s="4">
        <v>15</v>
      </c>
      <c r="E350" s="4" t="s">
        <v>883</v>
      </c>
      <c r="F350" s="4" t="s">
        <v>884</v>
      </c>
    </row>
    <row r="351" spans="1:6">
      <c r="A351" s="4" t="s">
        <v>885</v>
      </c>
      <c r="B351" s="6" t="s">
        <v>880</v>
      </c>
      <c r="C351" s="4" t="s">
        <v>254</v>
      </c>
      <c r="D351" s="4">
        <v>7</v>
      </c>
      <c r="E351" s="4" t="s">
        <v>886</v>
      </c>
    </row>
    <row r="352" spans="1:6">
      <c r="A352" s="4" t="s">
        <v>887</v>
      </c>
      <c r="B352" s="6" t="s">
        <v>880</v>
      </c>
      <c r="C352" s="4" t="s">
        <v>254</v>
      </c>
      <c r="D352" s="4">
        <v>10</v>
      </c>
      <c r="E352" s="4" t="s">
        <v>888</v>
      </c>
    </row>
    <row r="353" spans="1:6">
      <c r="A353" s="4" t="s">
        <v>889</v>
      </c>
      <c r="B353" s="6" t="s">
        <v>880</v>
      </c>
      <c r="C353" s="4" t="s">
        <v>243</v>
      </c>
      <c r="D353" s="4">
        <v>4</v>
      </c>
      <c r="E353" s="4" t="s">
        <v>752</v>
      </c>
    </row>
    <row r="354" spans="1:6">
      <c r="A354" s="4" t="s">
        <v>890</v>
      </c>
      <c r="B354" s="6" t="s">
        <v>891</v>
      </c>
      <c r="C354" s="4" t="s">
        <v>34</v>
      </c>
      <c r="D354" s="4">
        <v>8</v>
      </c>
      <c r="E354" s="4" t="s">
        <v>892</v>
      </c>
      <c r="F354" s="4" t="s">
        <v>893</v>
      </c>
    </row>
    <row r="355" spans="1:6">
      <c r="A355" s="4" t="s">
        <v>894</v>
      </c>
      <c r="B355" s="6" t="s">
        <v>895</v>
      </c>
      <c r="C355" s="4" t="s">
        <v>461</v>
      </c>
      <c r="D355" s="4">
        <v>13</v>
      </c>
      <c r="E355" s="4" t="s">
        <v>877</v>
      </c>
    </row>
    <row r="356" spans="1:6">
      <c r="A356" s="4" t="s">
        <v>896</v>
      </c>
      <c r="B356" s="6" t="s">
        <v>895</v>
      </c>
      <c r="C356" s="4" t="s">
        <v>23</v>
      </c>
      <c r="D356" s="4">
        <v>16</v>
      </c>
      <c r="E356" s="4" t="s">
        <v>877</v>
      </c>
      <c r="F356" s="4" t="s">
        <v>897</v>
      </c>
    </row>
    <row r="357" spans="1:6">
      <c r="A357" s="4" t="s">
        <v>898</v>
      </c>
      <c r="B357" s="6" t="s">
        <v>899</v>
      </c>
      <c r="C357" s="4" t="s">
        <v>301</v>
      </c>
      <c r="D357" s="4">
        <v>9</v>
      </c>
      <c r="E357" s="4" t="s">
        <v>900</v>
      </c>
    </row>
    <row r="358" spans="1:6">
      <c r="A358" s="4" t="s">
        <v>901</v>
      </c>
      <c r="B358" s="6" t="s">
        <v>899</v>
      </c>
      <c r="C358" s="4" t="s">
        <v>301</v>
      </c>
      <c r="D358" s="4">
        <v>12</v>
      </c>
      <c r="E358" s="4" t="s">
        <v>900</v>
      </c>
      <c r="F358" s="4" t="s">
        <v>902</v>
      </c>
    </row>
    <row r="359" spans="1:6">
      <c r="A359" s="4" t="s">
        <v>903</v>
      </c>
      <c r="B359" s="6" t="s">
        <v>899</v>
      </c>
      <c r="C359" s="4" t="s">
        <v>81</v>
      </c>
      <c r="D359" s="4">
        <v>9</v>
      </c>
      <c r="E359" s="4" t="s">
        <v>900</v>
      </c>
      <c r="F359" s="4" t="s">
        <v>904</v>
      </c>
    </row>
    <row r="360" spans="1:6">
      <c r="A360" s="4" t="s">
        <v>905</v>
      </c>
      <c r="B360" s="6" t="s">
        <v>899</v>
      </c>
      <c r="C360" s="4" t="s">
        <v>87</v>
      </c>
      <c r="D360" s="4">
        <v>6</v>
      </c>
      <c r="E360" s="4" t="s">
        <v>900</v>
      </c>
      <c r="F360" s="4" t="s">
        <v>906</v>
      </c>
    </row>
    <row r="361" spans="1:6">
      <c r="A361" s="4" t="s">
        <v>907</v>
      </c>
      <c r="B361" s="6" t="s">
        <v>899</v>
      </c>
      <c r="C361" s="4" t="s">
        <v>23</v>
      </c>
      <c r="D361" s="4">
        <v>5</v>
      </c>
      <c r="E361" s="4" t="s">
        <v>908</v>
      </c>
      <c r="F361" s="4" t="s">
        <v>909</v>
      </c>
    </row>
    <row r="362" spans="1:6">
      <c r="A362" s="4" t="s">
        <v>910</v>
      </c>
      <c r="B362" s="6" t="s">
        <v>911</v>
      </c>
      <c r="C362" s="4" t="s">
        <v>453</v>
      </c>
      <c r="D362" s="4">
        <v>17</v>
      </c>
      <c r="E362" s="4" t="s">
        <v>752</v>
      </c>
      <c r="F362" s="4" t="s">
        <v>912</v>
      </c>
    </row>
    <row r="363" spans="1:6">
      <c r="A363" s="4" t="s">
        <v>913</v>
      </c>
      <c r="B363" s="6" t="s">
        <v>911</v>
      </c>
      <c r="C363" s="4" t="s">
        <v>53</v>
      </c>
      <c r="D363" s="4">
        <v>14</v>
      </c>
      <c r="E363" s="4" t="s">
        <v>752</v>
      </c>
      <c r="F363" s="4" t="s">
        <v>914</v>
      </c>
    </row>
    <row r="364" spans="1:6">
      <c r="A364" s="4" t="s">
        <v>915</v>
      </c>
      <c r="B364" s="6" t="s">
        <v>911</v>
      </c>
      <c r="C364" s="4" t="s">
        <v>34</v>
      </c>
      <c r="D364" s="4">
        <v>13</v>
      </c>
      <c r="E364" s="4" t="s">
        <v>752</v>
      </c>
    </row>
    <row r="365" spans="1:6">
      <c r="A365" s="4" t="s">
        <v>916</v>
      </c>
      <c r="B365" s="6" t="s">
        <v>911</v>
      </c>
      <c r="C365" s="4" t="s">
        <v>917</v>
      </c>
      <c r="D365" s="4">
        <v>10</v>
      </c>
      <c r="E365" s="4" t="s">
        <v>918</v>
      </c>
    </row>
    <row r="366" spans="1:6">
      <c r="A366" s="4" t="s">
        <v>919</v>
      </c>
      <c r="B366" s="6" t="s">
        <v>911</v>
      </c>
      <c r="C366" s="4" t="s">
        <v>27</v>
      </c>
      <c r="D366" s="4">
        <v>9</v>
      </c>
      <c r="E366" s="4" t="s">
        <v>752</v>
      </c>
      <c r="F366" s="4" t="s">
        <v>920</v>
      </c>
    </row>
    <row r="367" spans="1:6">
      <c r="A367" s="4" t="s">
        <v>921</v>
      </c>
      <c r="B367" s="6" t="s">
        <v>911</v>
      </c>
      <c r="C367" s="4" t="s">
        <v>14</v>
      </c>
      <c r="D367" s="4">
        <v>13</v>
      </c>
      <c r="E367" s="4" t="s">
        <v>752</v>
      </c>
    </row>
    <row r="368" spans="1:6">
      <c r="A368" s="4" t="s">
        <v>922</v>
      </c>
      <c r="B368" s="6" t="s">
        <v>923</v>
      </c>
      <c r="C368" s="4" t="s">
        <v>57</v>
      </c>
      <c r="D368" s="4">
        <v>12</v>
      </c>
      <c r="E368" s="4" t="s">
        <v>924</v>
      </c>
      <c r="F368" s="4" t="s">
        <v>925</v>
      </c>
    </row>
    <row r="369" spans="1:6">
      <c r="A369" s="4" t="s">
        <v>926</v>
      </c>
      <c r="B369" s="6" t="s">
        <v>923</v>
      </c>
      <c r="C369" s="4" t="s">
        <v>34</v>
      </c>
      <c r="D369" s="4">
        <v>16</v>
      </c>
      <c r="E369" s="4" t="s">
        <v>927</v>
      </c>
    </row>
    <row r="370" spans="1:6">
      <c r="A370" s="4" t="s">
        <v>928</v>
      </c>
      <c r="B370" s="6" t="s">
        <v>923</v>
      </c>
      <c r="C370" s="4" t="s">
        <v>53</v>
      </c>
      <c r="D370" s="4">
        <v>17</v>
      </c>
      <c r="E370" s="4" t="s">
        <v>877</v>
      </c>
    </row>
    <row r="371" spans="1:6">
      <c r="A371" s="4" t="s">
        <v>929</v>
      </c>
      <c r="B371" s="6" t="s">
        <v>923</v>
      </c>
      <c r="C371" s="4" t="s">
        <v>930</v>
      </c>
      <c r="D371" s="4">
        <v>13</v>
      </c>
      <c r="E371" s="4" t="s">
        <v>877</v>
      </c>
      <c r="F371" s="4" t="s">
        <v>931</v>
      </c>
    </row>
    <row r="372" spans="1:6">
      <c r="A372" s="4" t="s">
        <v>932</v>
      </c>
      <c r="B372" s="6" t="s">
        <v>933</v>
      </c>
      <c r="C372" s="4" t="s">
        <v>705</v>
      </c>
      <c r="D372" s="4">
        <v>12</v>
      </c>
      <c r="E372" s="4" t="s">
        <v>924</v>
      </c>
      <c r="F372" s="4" t="s">
        <v>934</v>
      </c>
    </row>
    <row r="373" spans="1:6">
      <c r="A373" s="4" t="s">
        <v>935</v>
      </c>
      <c r="B373" s="6" t="s">
        <v>933</v>
      </c>
      <c r="C373" s="4" t="s">
        <v>81</v>
      </c>
      <c r="D373" s="4">
        <v>17</v>
      </c>
      <c r="E373" s="4" t="s">
        <v>936</v>
      </c>
    </row>
    <row r="374" spans="1:6">
      <c r="A374" s="4" t="s">
        <v>937</v>
      </c>
      <c r="B374" s="6" t="s">
        <v>938</v>
      </c>
      <c r="C374" s="4" t="s">
        <v>57</v>
      </c>
      <c r="D374" s="4">
        <v>11</v>
      </c>
      <c r="E374" s="4" t="s">
        <v>939</v>
      </c>
      <c r="F374" s="4" t="s">
        <v>940</v>
      </c>
    </row>
    <row r="375" spans="1:6">
      <c r="A375" s="4" t="s">
        <v>941</v>
      </c>
      <c r="B375" s="6" t="s">
        <v>938</v>
      </c>
      <c r="C375" s="4" t="s">
        <v>87</v>
      </c>
      <c r="D375" s="4">
        <v>7</v>
      </c>
      <c r="E375" s="4" t="s">
        <v>942</v>
      </c>
      <c r="F375" s="4" t="s">
        <v>943</v>
      </c>
    </row>
    <row r="376" spans="1:6">
      <c r="A376" s="4" t="s">
        <v>944</v>
      </c>
      <c r="B376" s="6" t="s">
        <v>938</v>
      </c>
      <c r="C376" s="4" t="s">
        <v>945</v>
      </c>
      <c r="D376" s="4">
        <v>11</v>
      </c>
      <c r="E376" s="4" t="s">
        <v>900</v>
      </c>
      <c r="F376" s="4" t="s">
        <v>946</v>
      </c>
    </row>
    <row r="377" spans="1:6">
      <c r="A377" s="4" t="s">
        <v>947</v>
      </c>
      <c r="B377" s="6" t="s">
        <v>948</v>
      </c>
      <c r="C377" s="4" t="s">
        <v>315</v>
      </c>
      <c r="D377" s="4">
        <v>16</v>
      </c>
      <c r="E377" s="4" t="s">
        <v>874</v>
      </c>
      <c r="F377" s="4" t="s">
        <v>949</v>
      </c>
    </row>
    <row r="378" spans="1:6">
      <c r="A378" s="4" t="s">
        <v>950</v>
      </c>
      <c r="B378" s="6" t="s">
        <v>951</v>
      </c>
      <c r="C378" s="4" t="s">
        <v>37</v>
      </c>
      <c r="D378" s="4">
        <v>17</v>
      </c>
      <c r="E378" s="4" t="s">
        <v>877</v>
      </c>
      <c r="F378" s="4" t="s">
        <v>952</v>
      </c>
    </row>
    <row r="379" spans="1:6">
      <c r="A379" s="4" t="s">
        <v>953</v>
      </c>
      <c r="B379" s="6" t="s">
        <v>951</v>
      </c>
      <c r="C379" s="4" t="s">
        <v>254</v>
      </c>
      <c r="D379" s="4">
        <v>13</v>
      </c>
      <c r="E379" s="4" t="s">
        <v>877</v>
      </c>
      <c r="F379" s="4" t="s">
        <v>954</v>
      </c>
    </row>
    <row r="380" spans="1:6">
      <c r="A380" s="4" t="s">
        <v>955</v>
      </c>
      <c r="B380" s="6" t="s">
        <v>956</v>
      </c>
      <c r="C380" s="4" t="s">
        <v>275</v>
      </c>
      <c r="D380" s="4">
        <v>7</v>
      </c>
      <c r="E380" s="4" t="s">
        <v>874</v>
      </c>
      <c r="F380" s="4" t="s">
        <v>957</v>
      </c>
    </row>
    <row r="381" spans="1:6">
      <c r="A381" s="4" t="s">
        <v>958</v>
      </c>
      <c r="B381" s="6" t="s">
        <v>956</v>
      </c>
      <c r="C381" s="4" t="s">
        <v>195</v>
      </c>
      <c r="D381" s="4">
        <v>20</v>
      </c>
      <c r="E381" s="4" t="s">
        <v>877</v>
      </c>
    </row>
    <row r="382" spans="1:6">
      <c r="A382" s="4" t="s">
        <v>959</v>
      </c>
      <c r="B382" s="6" t="s">
        <v>956</v>
      </c>
      <c r="C382" s="4" t="s">
        <v>53</v>
      </c>
      <c r="D382" s="4">
        <v>15</v>
      </c>
      <c r="E382" s="4" t="s">
        <v>877</v>
      </c>
      <c r="F382" s="4" t="s">
        <v>960</v>
      </c>
    </row>
    <row r="383" spans="1:6">
      <c r="A383" s="4" t="s">
        <v>961</v>
      </c>
      <c r="B383" s="6" t="s">
        <v>962</v>
      </c>
      <c r="C383" s="4" t="s">
        <v>963</v>
      </c>
      <c r="D383" s="4">
        <v>3</v>
      </c>
      <c r="E383" s="4" t="s">
        <v>900</v>
      </c>
      <c r="F383" s="4" t="s">
        <v>964</v>
      </c>
    </row>
    <row r="384" spans="1:6">
      <c r="A384" s="4" t="s">
        <v>965</v>
      </c>
      <c r="B384" s="6" t="s">
        <v>966</v>
      </c>
      <c r="C384" s="4" t="s">
        <v>37</v>
      </c>
      <c r="D384" s="4">
        <v>13</v>
      </c>
      <c r="E384" s="4" t="s">
        <v>832</v>
      </c>
      <c r="F384" s="4" t="s">
        <v>967</v>
      </c>
    </row>
    <row r="385" spans="1:6">
      <c r="A385" s="4" t="s">
        <v>968</v>
      </c>
      <c r="B385" s="6" t="s">
        <v>966</v>
      </c>
      <c r="C385" s="4" t="s">
        <v>705</v>
      </c>
      <c r="D385" s="4">
        <v>8</v>
      </c>
      <c r="E385" s="4" t="s">
        <v>969</v>
      </c>
    </row>
    <row r="386" spans="1:6">
      <c r="A386" s="4" t="s">
        <v>970</v>
      </c>
      <c r="B386" s="6" t="s">
        <v>971</v>
      </c>
      <c r="C386" s="4" t="s">
        <v>53</v>
      </c>
      <c r="D386" s="4">
        <v>10</v>
      </c>
      <c r="E386" s="4" t="s">
        <v>972</v>
      </c>
      <c r="F386" s="4" t="s">
        <v>973</v>
      </c>
    </row>
    <row r="387" spans="1:6">
      <c r="A387" s="4" t="s">
        <v>974</v>
      </c>
      <c r="B387" s="6" t="s">
        <v>975</v>
      </c>
      <c r="C387" s="4" t="s">
        <v>976</v>
      </c>
      <c r="D387" s="4">
        <v>14</v>
      </c>
      <c r="E387" s="4" t="s">
        <v>908</v>
      </c>
    </row>
    <row r="388" spans="1:6">
      <c r="A388" s="4" t="s">
        <v>977</v>
      </c>
      <c r="B388" s="6" t="s">
        <v>978</v>
      </c>
      <c r="C388" s="4" t="s">
        <v>53</v>
      </c>
      <c r="D388" s="4">
        <v>16</v>
      </c>
      <c r="E388" s="4" t="s">
        <v>979</v>
      </c>
      <c r="F388" s="4" t="s">
        <v>980</v>
      </c>
    </row>
    <row r="389" spans="1:6">
      <c r="A389" s="4" t="s">
        <v>981</v>
      </c>
      <c r="B389" s="6" t="s">
        <v>982</v>
      </c>
      <c r="C389" s="4" t="s">
        <v>686</v>
      </c>
      <c r="D389" s="4">
        <v>8</v>
      </c>
      <c r="E389" s="4" t="s">
        <v>983</v>
      </c>
      <c r="F389" s="4" t="s">
        <v>984</v>
      </c>
    </row>
    <row r="390" spans="1:6">
      <c r="A390" s="4" t="s">
        <v>985</v>
      </c>
      <c r="B390" s="6" t="s">
        <v>986</v>
      </c>
      <c r="C390" s="4" t="s">
        <v>23</v>
      </c>
      <c r="D390" s="4">
        <v>12</v>
      </c>
      <c r="E390" s="4" t="s">
        <v>805</v>
      </c>
    </row>
    <row r="391" spans="1:6">
      <c r="A391" s="4" t="s">
        <v>987</v>
      </c>
      <c r="B391" s="6" t="s">
        <v>988</v>
      </c>
      <c r="C391" s="4" t="s">
        <v>315</v>
      </c>
      <c r="D391" s="4">
        <v>10</v>
      </c>
      <c r="E391" s="4" t="s">
        <v>989</v>
      </c>
      <c r="F391" s="4" t="s">
        <v>990</v>
      </c>
    </row>
    <row r="392" spans="1:6">
      <c r="A392" s="4" t="s">
        <v>991</v>
      </c>
      <c r="B392" s="6" t="s">
        <v>988</v>
      </c>
      <c r="C392" s="4" t="s">
        <v>992</v>
      </c>
      <c r="D392" s="4">
        <v>13</v>
      </c>
      <c r="E392" s="4" t="s">
        <v>989</v>
      </c>
    </row>
    <row r="393" spans="1:6">
      <c r="A393" s="4" t="s">
        <v>993</v>
      </c>
      <c r="B393" s="6" t="s">
        <v>994</v>
      </c>
      <c r="C393" s="4" t="s">
        <v>995</v>
      </c>
      <c r="D393" s="4">
        <v>10</v>
      </c>
      <c r="E393" s="4" t="s">
        <v>989</v>
      </c>
      <c r="F393" s="4" t="s">
        <v>996</v>
      </c>
    </row>
    <row r="394" spans="1:6">
      <c r="A394" s="4" t="s">
        <v>997</v>
      </c>
      <c r="B394" s="6" t="s">
        <v>994</v>
      </c>
      <c r="C394" s="4" t="s">
        <v>995</v>
      </c>
      <c r="D394" s="4">
        <v>10</v>
      </c>
      <c r="E394" s="4" t="s">
        <v>989</v>
      </c>
      <c r="F394" s="4" t="s">
        <v>996</v>
      </c>
    </row>
    <row r="395" spans="1:6">
      <c r="A395" s="4" t="s">
        <v>998</v>
      </c>
      <c r="B395" s="6" t="s">
        <v>994</v>
      </c>
      <c r="C395" s="4" t="s">
        <v>23</v>
      </c>
      <c r="D395" s="4">
        <v>13</v>
      </c>
      <c r="E395" s="4" t="s">
        <v>989</v>
      </c>
    </row>
    <row r="396" spans="1:6">
      <c r="A396" s="4" t="s">
        <v>999</v>
      </c>
      <c r="B396" s="6" t="s">
        <v>1000</v>
      </c>
      <c r="C396" s="4" t="s">
        <v>57</v>
      </c>
      <c r="D396" s="4">
        <v>10</v>
      </c>
      <c r="E396" s="4" t="s">
        <v>1001</v>
      </c>
      <c r="F396" s="4" t="s">
        <v>940</v>
      </c>
    </row>
    <row r="397" spans="1:6">
      <c r="A397" s="4" t="s">
        <v>1002</v>
      </c>
      <c r="B397" s="6" t="s">
        <v>1000</v>
      </c>
      <c r="C397" s="4" t="s">
        <v>1003</v>
      </c>
      <c r="D397" s="4">
        <v>6</v>
      </c>
      <c r="E397" s="4" t="s">
        <v>1004</v>
      </c>
      <c r="F397" s="4" t="s">
        <v>1005</v>
      </c>
    </row>
    <row r="398" spans="1:6">
      <c r="A398" s="4" t="s">
        <v>1006</v>
      </c>
      <c r="B398" s="6" t="s">
        <v>1000</v>
      </c>
      <c r="C398" s="4" t="s">
        <v>87</v>
      </c>
      <c r="D398" s="4">
        <v>9</v>
      </c>
      <c r="E398" s="4" t="s">
        <v>1007</v>
      </c>
    </row>
    <row r="399" spans="1:6">
      <c r="A399" s="4" t="s">
        <v>1008</v>
      </c>
      <c r="B399" s="6" t="s">
        <v>1009</v>
      </c>
      <c r="C399" s="4" t="s">
        <v>53</v>
      </c>
      <c r="D399" s="4">
        <v>10</v>
      </c>
      <c r="E399" s="4" t="s">
        <v>1010</v>
      </c>
      <c r="F399" s="4" t="s">
        <v>1011</v>
      </c>
    </row>
    <row r="400" spans="1:6">
      <c r="A400" s="4" t="s">
        <v>1012</v>
      </c>
      <c r="B400" s="6" t="s">
        <v>1013</v>
      </c>
      <c r="C400" s="4" t="s">
        <v>63</v>
      </c>
      <c r="D400" s="4">
        <v>15</v>
      </c>
      <c r="E400" s="4" t="s">
        <v>989</v>
      </c>
      <c r="F400" s="4" t="s">
        <v>1014</v>
      </c>
    </row>
    <row r="401" spans="1:6">
      <c r="A401" s="4" t="s">
        <v>1015</v>
      </c>
      <c r="B401" s="6" t="s">
        <v>1013</v>
      </c>
      <c r="C401" s="4" t="s">
        <v>34</v>
      </c>
      <c r="D401" s="4">
        <v>10</v>
      </c>
      <c r="E401" s="4" t="s">
        <v>989</v>
      </c>
      <c r="F401" s="4" t="s">
        <v>1016</v>
      </c>
    </row>
    <row r="402" spans="1:6">
      <c r="A402" s="4" t="s">
        <v>1017</v>
      </c>
      <c r="B402" s="6" t="s">
        <v>1018</v>
      </c>
      <c r="C402" s="4" t="s">
        <v>87</v>
      </c>
      <c r="D402" s="4">
        <v>5</v>
      </c>
      <c r="E402" s="4" t="s">
        <v>1019</v>
      </c>
      <c r="F402" s="4" t="s">
        <v>1020</v>
      </c>
    </row>
    <row r="403" spans="1:6">
      <c r="A403" s="4" t="s">
        <v>1021</v>
      </c>
      <c r="B403" s="6" t="s">
        <v>1018</v>
      </c>
      <c r="C403" s="4" t="s">
        <v>27</v>
      </c>
      <c r="D403" s="4">
        <v>11</v>
      </c>
      <c r="E403" s="4" t="s">
        <v>1022</v>
      </c>
      <c r="F403" s="4" t="s">
        <v>1023</v>
      </c>
    </row>
    <row r="404" spans="1:6">
      <c r="A404" s="4" t="s">
        <v>1024</v>
      </c>
      <c r="B404" s="6" t="s">
        <v>1025</v>
      </c>
      <c r="C404" s="4" t="s">
        <v>453</v>
      </c>
      <c r="D404" s="4">
        <v>15</v>
      </c>
      <c r="E404" s="4" t="s">
        <v>1026</v>
      </c>
      <c r="F404" s="4" t="s">
        <v>1027</v>
      </c>
    </row>
    <row r="405" spans="1:6">
      <c r="A405" s="4" t="s">
        <v>1028</v>
      </c>
      <c r="B405" s="6" t="s">
        <v>1029</v>
      </c>
      <c r="C405" s="4" t="s">
        <v>53</v>
      </c>
      <c r="D405" s="4">
        <v>8</v>
      </c>
      <c r="E405" s="4" t="s">
        <v>1030</v>
      </c>
      <c r="F405" s="4" t="s">
        <v>1031</v>
      </c>
    </row>
    <row r="406" spans="1:6">
      <c r="A406" s="4" t="s">
        <v>1032</v>
      </c>
      <c r="B406" s="6" t="s">
        <v>1029</v>
      </c>
      <c r="C406" s="4" t="s">
        <v>285</v>
      </c>
      <c r="D406" s="4">
        <v>14</v>
      </c>
      <c r="E406" s="4" t="s">
        <v>1033</v>
      </c>
    </row>
    <row r="407" spans="1:6">
      <c r="A407" s="4" t="s">
        <v>1034</v>
      </c>
      <c r="B407" s="6" t="s">
        <v>1035</v>
      </c>
      <c r="C407" s="4" t="s">
        <v>37</v>
      </c>
      <c r="D407" s="4">
        <v>12</v>
      </c>
      <c r="E407" s="4" t="s">
        <v>989</v>
      </c>
      <c r="F407" s="4" t="s">
        <v>1036</v>
      </c>
    </row>
    <row r="408" spans="1:6">
      <c r="A408" s="4" t="s">
        <v>1037</v>
      </c>
      <c r="B408" s="6" t="s">
        <v>1035</v>
      </c>
      <c r="C408" s="4" t="s">
        <v>453</v>
      </c>
      <c r="D408" s="4">
        <v>14</v>
      </c>
      <c r="E408" s="4" t="s">
        <v>989</v>
      </c>
      <c r="F408" s="4" t="s">
        <v>1038</v>
      </c>
    </row>
    <row r="409" spans="1:6">
      <c r="A409" s="4" t="s">
        <v>1039</v>
      </c>
      <c r="B409" s="6" t="s">
        <v>1035</v>
      </c>
      <c r="C409" s="4" t="s">
        <v>76</v>
      </c>
      <c r="D409" s="4">
        <v>10</v>
      </c>
      <c r="E409" s="4" t="s">
        <v>1040</v>
      </c>
    </row>
    <row r="410" spans="1:6">
      <c r="A410" s="4" t="s">
        <v>1041</v>
      </c>
      <c r="B410" s="6" t="s">
        <v>1042</v>
      </c>
      <c r="C410" s="4" t="s">
        <v>223</v>
      </c>
      <c r="D410" s="4">
        <v>14</v>
      </c>
      <c r="E410" s="4" t="s">
        <v>1043</v>
      </c>
    </row>
    <row r="411" spans="1:6">
      <c r="A411" s="4" t="s">
        <v>1044</v>
      </c>
      <c r="B411" s="6" t="s">
        <v>1042</v>
      </c>
      <c r="C411" s="4" t="s">
        <v>271</v>
      </c>
      <c r="D411" s="4">
        <v>8</v>
      </c>
      <c r="E411" s="4" t="s">
        <v>1043</v>
      </c>
    </row>
    <row r="412" spans="1:6">
      <c r="A412" s="4" t="s">
        <v>1045</v>
      </c>
      <c r="B412" s="6" t="s">
        <v>1046</v>
      </c>
      <c r="C412" s="4" t="s">
        <v>354</v>
      </c>
      <c r="D412" s="4">
        <v>8</v>
      </c>
      <c r="E412" s="4" t="s">
        <v>1047</v>
      </c>
    </row>
    <row r="413" spans="1:6">
      <c r="A413" s="4" t="s">
        <v>1048</v>
      </c>
      <c r="B413" s="6" t="s">
        <v>1046</v>
      </c>
      <c r="C413" s="4" t="s">
        <v>354</v>
      </c>
      <c r="D413" s="4">
        <v>10</v>
      </c>
      <c r="E413" s="4" t="s">
        <v>1047</v>
      </c>
      <c r="F413" s="4" t="s">
        <v>1049</v>
      </c>
    </row>
    <row r="414" spans="1:6">
      <c r="A414" s="4" t="s">
        <v>1050</v>
      </c>
      <c r="B414" s="6" t="s">
        <v>1046</v>
      </c>
      <c r="C414" s="4" t="s">
        <v>49</v>
      </c>
      <c r="D414" s="4">
        <v>6</v>
      </c>
      <c r="E414" s="4" t="s">
        <v>1047</v>
      </c>
      <c r="F414" s="4" t="s">
        <v>1051</v>
      </c>
    </row>
    <row r="415" spans="1:6">
      <c r="A415" s="4" t="s">
        <v>1052</v>
      </c>
      <c r="B415" s="6" t="s">
        <v>1046</v>
      </c>
      <c r="C415" s="4" t="s">
        <v>1052</v>
      </c>
      <c r="D415" s="4">
        <v>4</v>
      </c>
      <c r="E415" s="4" t="s">
        <v>1047</v>
      </c>
      <c r="F415" s="4" t="s">
        <v>1053</v>
      </c>
    </row>
    <row r="416" spans="1:6">
      <c r="A416" s="4" t="s">
        <v>1054</v>
      </c>
      <c r="B416" s="6" t="s">
        <v>1046</v>
      </c>
      <c r="C416" s="4" t="s">
        <v>53</v>
      </c>
      <c r="D416" s="4">
        <v>8</v>
      </c>
      <c r="E416" s="4" t="s">
        <v>1047</v>
      </c>
      <c r="F416" s="4" t="s">
        <v>1055</v>
      </c>
    </row>
    <row r="417" spans="1:6">
      <c r="A417" s="4" t="s">
        <v>1056</v>
      </c>
      <c r="B417" s="6" t="s">
        <v>1046</v>
      </c>
      <c r="C417" s="4" t="s">
        <v>1057</v>
      </c>
      <c r="D417" s="4">
        <v>3</v>
      </c>
      <c r="E417" s="4" t="s">
        <v>1047</v>
      </c>
      <c r="F417" s="4" t="s">
        <v>1058</v>
      </c>
    </row>
    <row r="418" spans="1:6">
      <c r="A418" s="4" t="s">
        <v>1059</v>
      </c>
      <c r="B418" s="6" t="s">
        <v>1046</v>
      </c>
      <c r="C418" s="4" t="s">
        <v>53</v>
      </c>
      <c r="D418" s="4">
        <v>11</v>
      </c>
      <c r="E418" s="4" t="s">
        <v>1047</v>
      </c>
    </row>
    <row r="419" spans="1:6">
      <c r="A419" s="4" t="s">
        <v>1060</v>
      </c>
      <c r="B419" s="6" t="s">
        <v>1046</v>
      </c>
      <c r="C419" s="4" t="s">
        <v>214</v>
      </c>
      <c r="D419" s="4">
        <v>7</v>
      </c>
      <c r="E419" s="4" t="s">
        <v>1047</v>
      </c>
    </row>
    <row r="420" spans="1:6">
      <c r="A420" s="4" t="s">
        <v>1061</v>
      </c>
      <c r="B420" s="6" t="s">
        <v>1046</v>
      </c>
      <c r="C420" s="4" t="s">
        <v>173</v>
      </c>
      <c r="D420" s="4">
        <v>5</v>
      </c>
      <c r="E420" s="4" t="s">
        <v>1047</v>
      </c>
    </row>
    <row r="421" spans="1:6">
      <c r="A421" s="4" t="s">
        <v>1062</v>
      </c>
      <c r="B421" s="6" t="s">
        <v>1063</v>
      </c>
      <c r="C421" s="4" t="s">
        <v>296</v>
      </c>
      <c r="D421" s="4">
        <v>10</v>
      </c>
      <c r="E421" s="4" t="s">
        <v>1064</v>
      </c>
    </row>
    <row r="422" spans="1:6">
      <c r="A422" s="4" t="s">
        <v>1065</v>
      </c>
      <c r="B422" s="6" t="s">
        <v>1063</v>
      </c>
      <c r="C422" s="4" t="s">
        <v>53</v>
      </c>
      <c r="D422" s="4">
        <v>10</v>
      </c>
      <c r="E422" s="4" t="s">
        <v>1064</v>
      </c>
    </row>
    <row r="423" spans="1:6">
      <c r="A423" s="4" t="s">
        <v>1066</v>
      </c>
      <c r="B423" s="6" t="s">
        <v>1063</v>
      </c>
      <c r="C423" s="4" t="s">
        <v>945</v>
      </c>
      <c r="D423" s="4">
        <v>17</v>
      </c>
      <c r="E423" s="4" t="s">
        <v>1064</v>
      </c>
    </row>
    <row r="424" spans="1:6">
      <c r="A424" s="4" t="s">
        <v>1067</v>
      </c>
      <c r="B424" s="6" t="s">
        <v>1068</v>
      </c>
      <c r="C424" s="4" t="s">
        <v>34</v>
      </c>
      <c r="D424" s="4">
        <v>8</v>
      </c>
      <c r="E424" s="4" t="s">
        <v>1069</v>
      </c>
      <c r="F424" s="4" t="s">
        <v>1070</v>
      </c>
    </row>
    <row r="425" spans="1:6">
      <c r="A425" s="4" t="s">
        <v>1071</v>
      </c>
      <c r="B425" s="6" t="s">
        <v>1068</v>
      </c>
      <c r="C425" s="4" t="s">
        <v>104</v>
      </c>
      <c r="D425" s="4">
        <v>9</v>
      </c>
      <c r="E425" s="4" t="s">
        <v>1069</v>
      </c>
      <c r="F425" s="4" t="s">
        <v>1072</v>
      </c>
    </row>
    <row r="426" spans="1:6">
      <c r="A426" s="4" t="s">
        <v>1073</v>
      </c>
      <c r="B426" s="6" t="s">
        <v>1074</v>
      </c>
      <c r="C426" s="4" t="s">
        <v>551</v>
      </c>
      <c r="D426" s="4">
        <v>5</v>
      </c>
      <c r="E426" s="4" t="s">
        <v>1064</v>
      </c>
      <c r="F426" s="4" t="s">
        <v>1075</v>
      </c>
    </row>
    <row r="427" spans="1:6">
      <c r="A427" s="4" t="s">
        <v>1076</v>
      </c>
      <c r="B427" s="6" t="s">
        <v>1077</v>
      </c>
      <c r="C427" s="4" t="s">
        <v>1078</v>
      </c>
      <c r="D427" s="4">
        <v>13</v>
      </c>
      <c r="E427" s="4" t="s">
        <v>1064</v>
      </c>
      <c r="F427" s="4" t="s">
        <v>1079</v>
      </c>
    </row>
    <row r="428" spans="1:6">
      <c r="A428" s="4" t="s">
        <v>1080</v>
      </c>
      <c r="B428" s="6" t="s">
        <v>1077</v>
      </c>
      <c r="C428" s="4" t="s">
        <v>1078</v>
      </c>
      <c r="D428" s="4">
        <v>16</v>
      </c>
      <c r="E428" s="4" t="s">
        <v>1064</v>
      </c>
    </row>
    <row r="429" spans="1:6">
      <c r="A429" s="4" t="s">
        <v>1081</v>
      </c>
      <c r="B429" s="6" t="s">
        <v>1082</v>
      </c>
      <c r="C429" s="4" t="s">
        <v>686</v>
      </c>
      <c r="D429" s="4">
        <v>13</v>
      </c>
      <c r="E429" s="4" t="s">
        <v>1069</v>
      </c>
      <c r="F429" s="4" t="s">
        <v>1083</v>
      </c>
    </row>
    <row r="430" spans="1:6">
      <c r="A430" s="4" t="s">
        <v>1084</v>
      </c>
      <c r="B430" s="6" t="s">
        <v>1082</v>
      </c>
      <c r="C430" s="4" t="s">
        <v>37</v>
      </c>
      <c r="D430" s="4">
        <v>12</v>
      </c>
      <c r="E430" s="4" t="s">
        <v>1069</v>
      </c>
      <c r="F430" s="4" t="s">
        <v>1085</v>
      </c>
    </row>
    <row r="431" spans="1:6">
      <c r="A431" s="4" t="s">
        <v>1086</v>
      </c>
      <c r="B431" s="6" t="s">
        <v>1087</v>
      </c>
      <c r="C431" s="4" t="s">
        <v>87</v>
      </c>
      <c r="D431" s="4">
        <v>8</v>
      </c>
      <c r="E431" s="4" t="s">
        <v>1069</v>
      </c>
      <c r="F431" s="4" t="s">
        <v>1088</v>
      </c>
    </row>
    <row r="432" spans="1:6">
      <c r="A432" s="4" t="s">
        <v>1089</v>
      </c>
      <c r="B432" s="6" t="s">
        <v>1090</v>
      </c>
      <c r="C432" s="4" t="s">
        <v>351</v>
      </c>
      <c r="D432" s="4">
        <v>8</v>
      </c>
      <c r="E432" s="4" t="s">
        <v>1043</v>
      </c>
    </row>
    <row r="433" spans="1:6">
      <c r="A433" s="4" t="s">
        <v>1091</v>
      </c>
      <c r="B433" s="6" t="s">
        <v>1092</v>
      </c>
      <c r="C433" s="4" t="s">
        <v>1091</v>
      </c>
      <c r="D433" s="4">
        <v>6</v>
      </c>
      <c r="E433" s="4" t="s">
        <v>1047</v>
      </c>
      <c r="F433" s="4" t="s">
        <v>1093</v>
      </c>
    </row>
    <row r="434" spans="1:6">
      <c r="A434" s="4" t="s">
        <v>1094</v>
      </c>
      <c r="B434" s="6" t="s">
        <v>1092</v>
      </c>
      <c r="C434" s="4" t="s">
        <v>37</v>
      </c>
      <c r="D434" s="4">
        <v>14</v>
      </c>
      <c r="E434" s="4" t="s">
        <v>1047</v>
      </c>
    </row>
    <row r="435" spans="1:6">
      <c r="A435" s="4" t="s">
        <v>1095</v>
      </c>
      <c r="B435" s="6" t="s">
        <v>1092</v>
      </c>
      <c r="C435" s="4" t="s">
        <v>81</v>
      </c>
      <c r="D435" s="4">
        <v>7</v>
      </c>
      <c r="E435" s="4" t="s">
        <v>1047</v>
      </c>
      <c r="F435" s="4" t="s">
        <v>1096</v>
      </c>
    </row>
    <row r="436" spans="1:6">
      <c r="A436" s="4" t="s">
        <v>1097</v>
      </c>
      <c r="B436" s="6" t="s">
        <v>1092</v>
      </c>
      <c r="C436" s="4" t="s">
        <v>34</v>
      </c>
      <c r="D436" s="4">
        <v>15</v>
      </c>
      <c r="E436" s="4" t="s">
        <v>1047</v>
      </c>
    </row>
    <row r="437" spans="1:6">
      <c r="A437" s="4" t="s">
        <v>1098</v>
      </c>
      <c r="B437" s="6" t="s">
        <v>1092</v>
      </c>
      <c r="C437" s="4" t="s">
        <v>76</v>
      </c>
      <c r="D437" s="4">
        <v>12</v>
      </c>
      <c r="E437" s="4" t="s">
        <v>1047</v>
      </c>
      <c r="F437" s="4" t="s">
        <v>1099</v>
      </c>
    </row>
    <row r="438" spans="1:6">
      <c r="A438" s="4" t="s">
        <v>1100</v>
      </c>
      <c r="B438" s="6" t="s">
        <v>1092</v>
      </c>
      <c r="C438" s="4" t="s">
        <v>23</v>
      </c>
      <c r="D438" s="4">
        <v>9</v>
      </c>
      <c r="E438" s="4" t="s">
        <v>1101</v>
      </c>
      <c r="F438" s="4" t="s">
        <v>1102</v>
      </c>
    </row>
    <row r="439" spans="1:6">
      <c r="A439" s="4" t="s">
        <v>1103</v>
      </c>
      <c r="B439" s="6" t="s">
        <v>1092</v>
      </c>
      <c r="C439" s="4" t="s">
        <v>27</v>
      </c>
      <c r="D439" s="4">
        <v>9</v>
      </c>
      <c r="E439" s="4" t="s">
        <v>1101</v>
      </c>
    </row>
    <row r="440" spans="1:6">
      <c r="A440" s="4" t="s">
        <v>1104</v>
      </c>
      <c r="B440" s="6" t="s">
        <v>1105</v>
      </c>
      <c r="C440" s="4" t="s">
        <v>1106</v>
      </c>
      <c r="D440" s="4">
        <v>10</v>
      </c>
      <c r="E440" s="4" t="s">
        <v>1107</v>
      </c>
    </row>
    <row r="441" spans="1:6">
      <c r="A441" s="4" t="s">
        <v>1108</v>
      </c>
      <c r="B441" s="6" t="s">
        <v>1109</v>
      </c>
      <c r="C441" s="4" t="s">
        <v>675</v>
      </c>
      <c r="D441" s="4">
        <v>5</v>
      </c>
      <c r="E441" s="4" t="s">
        <v>1110</v>
      </c>
      <c r="F441" s="4" t="s">
        <v>1111</v>
      </c>
    </row>
    <row r="442" spans="1:6">
      <c r="A442" s="4" t="s">
        <v>1112</v>
      </c>
      <c r="B442" s="6" t="s">
        <v>1113</v>
      </c>
      <c r="C442" s="4" t="s">
        <v>414</v>
      </c>
      <c r="D442" s="4">
        <v>9</v>
      </c>
      <c r="E442" s="4" t="s">
        <v>1114</v>
      </c>
      <c r="F442" s="4" t="s">
        <v>1115</v>
      </c>
    </row>
    <row r="443" spans="1:6">
      <c r="A443" s="4" t="s">
        <v>1116</v>
      </c>
      <c r="B443" s="6" t="s">
        <v>1117</v>
      </c>
      <c r="C443" s="4" t="s">
        <v>461</v>
      </c>
      <c r="D443" s="4">
        <v>8</v>
      </c>
      <c r="E443" s="4" t="s">
        <v>1047</v>
      </c>
    </row>
    <row r="444" spans="1:6">
      <c r="A444" s="4" t="s">
        <v>1118</v>
      </c>
      <c r="B444" s="6" t="s">
        <v>1117</v>
      </c>
      <c r="C444" s="4" t="s">
        <v>301</v>
      </c>
      <c r="D444" s="4">
        <v>10</v>
      </c>
      <c r="E444" s="4" t="s">
        <v>1047</v>
      </c>
      <c r="F444" s="4" t="s">
        <v>1119</v>
      </c>
    </row>
    <row r="445" spans="1:6">
      <c r="A445" s="4" t="s">
        <v>1120</v>
      </c>
      <c r="B445" s="6" t="s">
        <v>1117</v>
      </c>
      <c r="C445" s="4" t="s">
        <v>104</v>
      </c>
      <c r="D445" s="4">
        <v>6</v>
      </c>
      <c r="E445" s="4" t="s">
        <v>1047</v>
      </c>
      <c r="F445" s="4" t="s">
        <v>1121</v>
      </c>
    </row>
    <row r="446" spans="1:6">
      <c r="A446" s="4" t="s">
        <v>1122</v>
      </c>
      <c r="B446" s="6" t="s">
        <v>1117</v>
      </c>
      <c r="C446" s="4" t="s">
        <v>243</v>
      </c>
      <c r="D446" s="4">
        <v>4</v>
      </c>
      <c r="F446" s="4" t="s">
        <v>1123</v>
      </c>
    </row>
    <row r="447" spans="1:6">
      <c r="A447" s="4" t="s">
        <v>1124</v>
      </c>
      <c r="B447" s="6" t="s">
        <v>1117</v>
      </c>
      <c r="C447" s="4" t="s">
        <v>34</v>
      </c>
      <c r="D447" s="4">
        <v>9</v>
      </c>
      <c r="E447" s="4" t="s">
        <v>1047</v>
      </c>
      <c r="F447" s="4" t="s">
        <v>1125</v>
      </c>
    </row>
    <row r="448" spans="1:6">
      <c r="A448" s="4" t="s">
        <v>675</v>
      </c>
      <c r="B448" s="6" t="s">
        <v>1117</v>
      </c>
      <c r="C448" s="4" t="s">
        <v>675</v>
      </c>
      <c r="D448" s="4">
        <v>4</v>
      </c>
      <c r="E448" s="4" t="s">
        <v>1047</v>
      </c>
      <c r="F448" s="4" t="s">
        <v>409</v>
      </c>
    </row>
    <row r="449" spans="1:6">
      <c r="A449" s="4" t="s">
        <v>1126</v>
      </c>
      <c r="B449" s="6" t="s">
        <v>1117</v>
      </c>
      <c r="C449" s="4" t="s">
        <v>23</v>
      </c>
      <c r="D449" s="4">
        <v>5</v>
      </c>
      <c r="E449" s="4" t="s">
        <v>1047</v>
      </c>
      <c r="F449" s="4" t="s">
        <v>1127</v>
      </c>
    </row>
    <row r="450" spans="1:6">
      <c r="A450" s="4" t="s">
        <v>1128</v>
      </c>
      <c r="B450" s="6" t="s">
        <v>1117</v>
      </c>
      <c r="C450" s="4" t="s">
        <v>1129</v>
      </c>
      <c r="D450" s="4">
        <v>17</v>
      </c>
      <c r="E450" s="4" t="s">
        <v>1047</v>
      </c>
      <c r="F450" s="4" t="s">
        <v>1130</v>
      </c>
    </row>
    <row r="451" spans="1:6">
      <c r="A451" s="4" t="s">
        <v>1131</v>
      </c>
      <c r="B451" s="6" t="s">
        <v>1117</v>
      </c>
      <c r="C451" s="4" t="s">
        <v>53</v>
      </c>
      <c r="D451" s="4">
        <v>9</v>
      </c>
      <c r="E451" s="4" t="s">
        <v>1132</v>
      </c>
    </row>
    <row r="452" spans="1:6">
      <c r="A452" s="4" t="s">
        <v>1133</v>
      </c>
      <c r="B452" s="6" t="s">
        <v>1117</v>
      </c>
      <c r="C452" s="4" t="s">
        <v>87</v>
      </c>
      <c r="D452" s="4">
        <v>7</v>
      </c>
      <c r="E452" s="4" t="s">
        <v>1047</v>
      </c>
    </row>
    <row r="453" spans="1:6">
      <c r="A453" s="4" t="s">
        <v>1134</v>
      </c>
      <c r="B453" s="6" t="s">
        <v>1117</v>
      </c>
      <c r="C453" s="4" t="s">
        <v>485</v>
      </c>
      <c r="D453" s="4">
        <v>10</v>
      </c>
      <c r="E453" s="4" t="s">
        <v>1047</v>
      </c>
      <c r="F453" s="4" t="s">
        <v>1135</v>
      </c>
    </row>
    <row r="454" spans="1:6">
      <c r="A454" s="4" t="s">
        <v>1136</v>
      </c>
      <c r="B454" s="6" t="s">
        <v>1117</v>
      </c>
      <c r="C454" s="4" t="s">
        <v>1136</v>
      </c>
      <c r="D454" s="4">
        <v>12</v>
      </c>
      <c r="E454" s="4" t="s">
        <v>1137</v>
      </c>
    </row>
    <row r="455" spans="1:6">
      <c r="A455" s="4" t="s">
        <v>1138</v>
      </c>
      <c r="B455" s="6" t="s">
        <v>1117</v>
      </c>
      <c r="C455" s="4" t="s">
        <v>23</v>
      </c>
      <c r="D455" s="4">
        <v>9</v>
      </c>
      <c r="E455" s="4" t="s">
        <v>1047</v>
      </c>
    </row>
    <row r="456" spans="1:6">
      <c r="A456" s="4" t="s">
        <v>1139</v>
      </c>
      <c r="B456" s="6" t="s">
        <v>1117</v>
      </c>
      <c r="C456" s="4" t="s">
        <v>461</v>
      </c>
      <c r="D456" s="4">
        <v>8</v>
      </c>
      <c r="E456" s="4" t="s">
        <v>1140</v>
      </c>
    </row>
    <row r="457" spans="1:6">
      <c r="A457" s="4" t="s">
        <v>1141</v>
      </c>
      <c r="B457" s="6" t="s">
        <v>1117</v>
      </c>
      <c r="C457" s="4" t="s">
        <v>27</v>
      </c>
      <c r="D457" s="4">
        <v>7</v>
      </c>
      <c r="E457" s="4" t="s">
        <v>1047</v>
      </c>
      <c r="F457" s="4" t="s">
        <v>1142</v>
      </c>
    </row>
    <row r="458" spans="1:6">
      <c r="A458" s="4" t="s">
        <v>1143</v>
      </c>
      <c r="B458" s="6" t="s">
        <v>1144</v>
      </c>
      <c r="C458" s="4" t="s">
        <v>414</v>
      </c>
      <c r="D458" s="4">
        <v>16</v>
      </c>
      <c r="E458" s="4" t="s">
        <v>1043</v>
      </c>
      <c r="F458" s="4" t="s">
        <v>1145</v>
      </c>
    </row>
    <row r="459" spans="1:6">
      <c r="A459" s="4" t="s">
        <v>1146</v>
      </c>
      <c r="B459" s="6" t="s">
        <v>1147</v>
      </c>
      <c r="C459" s="4" t="s">
        <v>23</v>
      </c>
      <c r="D459" s="4">
        <v>8</v>
      </c>
      <c r="E459" s="4" t="s">
        <v>1148</v>
      </c>
    </row>
    <row r="460" spans="1:6">
      <c r="A460" s="4" t="s">
        <v>1149</v>
      </c>
      <c r="B460" s="6" t="s">
        <v>1150</v>
      </c>
      <c r="C460" s="4" t="s">
        <v>275</v>
      </c>
      <c r="D460" s="4">
        <v>11</v>
      </c>
      <c r="E460" s="4" t="s">
        <v>1004</v>
      </c>
    </row>
    <row r="461" spans="1:6">
      <c r="A461" s="4" t="s">
        <v>1151</v>
      </c>
      <c r="B461" s="6" t="s">
        <v>1150</v>
      </c>
      <c r="C461" s="4" t="s">
        <v>23</v>
      </c>
      <c r="D461" s="4">
        <v>8</v>
      </c>
      <c r="E461" s="4" t="s">
        <v>1152</v>
      </c>
      <c r="F461" s="4" t="s">
        <v>1153</v>
      </c>
    </row>
    <row r="462" spans="1:6">
      <c r="A462" s="4" t="s">
        <v>231</v>
      </c>
      <c r="B462" s="6" t="s">
        <v>1154</v>
      </c>
      <c r="C462" s="4" t="s">
        <v>231</v>
      </c>
      <c r="D462" s="4">
        <v>6</v>
      </c>
      <c r="E462" s="4" t="s">
        <v>1004</v>
      </c>
      <c r="F462" s="4" t="s">
        <v>1155</v>
      </c>
    </row>
    <row r="463" spans="1:6">
      <c r="A463" s="4" t="s">
        <v>1156</v>
      </c>
      <c r="B463" s="6" t="s">
        <v>1154</v>
      </c>
      <c r="C463" s="4" t="s">
        <v>53</v>
      </c>
      <c r="D463" s="4">
        <v>6</v>
      </c>
      <c r="E463" s="4" t="s">
        <v>1157</v>
      </c>
    </row>
    <row r="464" spans="1:6">
      <c r="A464" s="4" t="s">
        <v>1158</v>
      </c>
      <c r="B464" s="6" t="s">
        <v>1154</v>
      </c>
      <c r="C464" s="4" t="s">
        <v>254</v>
      </c>
      <c r="D464" s="4">
        <v>8</v>
      </c>
      <c r="E464" s="4" t="s">
        <v>1157</v>
      </c>
    </row>
    <row r="465" spans="1:6">
      <c r="A465" s="4" t="s">
        <v>1159</v>
      </c>
      <c r="B465" s="6" t="s">
        <v>1160</v>
      </c>
      <c r="C465" s="4" t="s">
        <v>427</v>
      </c>
      <c r="D465" s="4">
        <v>12</v>
      </c>
      <c r="E465" s="4" t="s">
        <v>1161</v>
      </c>
    </row>
    <row r="466" spans="1:6">
      <c r="A466" s="4" t="s">
        <v>1162</v>
      </c>
      <c r="B466" s="6" t="s">
        <v>1163</v>
      </c>
      <c r="C466" s="4" t="s">
        <v>470</v>
      </c>
      <c r="D466" s="4">
        <v>10</v>
      </c>
      <c r="E466" s="4" t="s">
        <v>1164</v>
      </c>
    </row>
    <row r="467" spans="1:6">
      <c r="A467" s="4" t="s">
        <v>1165</v>
      </c>
      <c r="B467" s="6" t="s">
        <v>1163</v>
      </c>
      <c r="C467" s="4" t="s">
        <v>87</v>
      </c>
      <c r="D467" s="4">
        <v>13</v>
      </c>
      <c r="E467" s="4" t="s">
        <v>1164</v>
      </c>
      <c r="F467" s="4" t="s">
        <v>1166</v>
      </c>
    </row>
    <row r="468" spans="1:6">
      <c r="A468" s="4" t="s">
        <v>1167</v>
      </c>
      <c r="B468" s="6" t="s">
        <v>1163</v>
      </c>
      <c r="C468" s="4" t="s">
        <v>1106</v>
      </c>
      <c r="D468" s="4">
        <v>10</v>
      </c>
      <c r="E468" s="4" t="s">
        <v>1168</v>
      </c>
      <c r="F468" s="4" t="s">
        <v>1169</v>
      </c>
    </row>
    <row r="469" spans="1:6">
      <c r="A469" s="4" t="s">
        <v>1170</v>
      </c>
      <c r="B469" s="6" t="s">
        <v>1163</v>
      </c>
      <c r="C469" s="4" t="s">
        <v>470</v>
      </c>
      <c r="D469" s="4">
        <v>12</v>
      </c>
      <c r="E469" s="4" t="s">
        <v>1164</v>
      </c>
      <c r="F469" s="4" t="s">
        <v>1166</v>
      </c>
    </row>
    <row r="470" spans="1:6">
      <c r="A470" s="4" t="s">
        <v>1171</v>
      </c>
      <c r="B470" s="6" t="s">
        <v>1172</v>
      </c>
      <c r="C470" s="4" t="s">
        <v>301</v>
      </c>
      <c r="D470" s="4">
        <v>11</v>
      </c>
      <c r="E470" s="4" t="s">
        <v>1004</v>
      </c>
      <c r="F470" s="4" t="s">
        <v>1173</v>
      </c>
    </row>
    <row r="471" spans="1:6">
      <c r="A471" s="4" t="s">
        <v>1174</v>
      </c>
      <c r="B471" s="6" t="s">
        <v>1172</v>
      </c>
      <c r="C471" s="4" t="s">
        <v>315</v>
      </c>
      <c r="D471" s="4">
        <v>20</v>
      </c>
      <c r="E471" s="4" t="s">
        <v>1175</v>
      </c>
      <c r="F471" s="4" t="s">
        <v>1176</v>
      </c>
    </row>
    <row r="472" spans="1:6">
      <c r="A472" s="4" t="s">
        <v>1177</v>
      </c>
      <c r="B472" s="6" t="s">
        <v>1172</v>
      </c>
      <c r="C472" s="4" t="s">
        <v>427</v>
      </c>
      <c r="D472" s="4">
        <v>17</v>
      </c>
      <c r="E472" s="4" t="s">
        <v>1004</v>
      </c>
    </row>
    <row r="473" spans="1:6">
      <c r="A473" s="4" t="s">
        <v>1178</v>
      </c>
      <c r="B473" s="6" t="s">
        <v>1179</v>
      </c>
      <c r="C473" s="4" t="s">
        <v>1180</v>
      </c>
      <c r="D473" s="4">
        <v>9</v>
      </c>
      <c r="E473" s="4" t="s">
        <v>1064</v>
      </c>
      <c r="F473" s="4" t="s">
        <v>1181</v>
      </c>
    </row>
    <row r="474" spans="1:6">
      <c r="A474" s="4" t="s">
        <v>1182</v>
      </c>
      <c r="B474" s="6" t="s">
        <v>1179</v>
      </c>
      <c r="C474" s="4" t="s">
        <v>53</v>
      </c>
      <c r="D474" s="4">
        <v>13</v>
      </c>
      <c r="E474" s="4" t="s">
        <v>1183</v>
      </c>
    </row>
    <row r="475" spans="1:6">
      <c r="A475" s="4" t="s">
        <v>1184</v>
      </c>
      <c r="B475" s="6" t="s">
        <v>1179</v>
      </c>
      <c r="C475" s="4" t="s">
        <v>1180</v>
      </c>
      <c r="D475" s="4">
        <v>11</v>
      </c>
      <c r="E475" s="4" t="s">
        <v>1064</v>
      </c>
    </row>
    <row r="476" spans="1:6">
      <c r="A476" s="4" t="s">
        <v>1185</v>
      </c>
      <c r="B476" s="6" t="s">
        <v>1186</v>
      </c>
      <c r="C476" s="4" t="s">
        <v>34</v>
      </c>
      <c r="D476" s="4">
        <v>8</v>
      </c>
      <c r="E476" s="4" t="s">
        <v>1187</v>
      </c>
      <c r="F476" s="4" t="s">
        <v>1188</v>
      </c>
    </row>
    <row r="477" spans="1:6">
      <c r="A477" s="4" t="s">
        <v>1189</v>
      </c>
      <c r="B477" s="6" t="s">
        <v>1190</v>
      </c>
      <c r="C477" s="4" t="s">
        <v>574</v>
      </c>
      <c r="D477" s="4">
        <v>11</v>
      </c>
      <c r="E477" s="4" t="s">
        <v>1183</v>
      </c>
      <c r="F477" s="4" t="s">
        <v>1191</v>
      </c>
    </row>
    <row r="478" spans="1:6">
      <c r="A478" s="4" t="s">
        <v>1192</v>
      </c>
      <c r="B478" s="6" t="s">
        <v>1190</v>
      </c>
      <c r="C478" s="4" t="s">
        <v>23</v>
      </c>
      <c r="D478" s="4">
        <v>21</v>
      </c>
      <c r="E478" s="4" t="s">
        <v>1183</v>
      </c>
    </row>
    <row r="479" spans="1:6">
      <c r="A479" s="4" t="s">
        <v>1193</v>
      </c>
      <c r="B479" s="6" t="s">
        <v>1194</v>
      </c>
      <c r="C479" s="4" t="s">
        <v>87</v>
      </c>
      <c r="D479" s="4">
        <v>8</v>
      </c>
      <c r="E479" s="4" t="s">
        <v>1195</v>
      </c>
      <c r="F479" s="4" t="s">
        <v>1196</v>
      </c>
    </row>
    <row r="480" spans="1:6">
      <c r="A480" s="4" t="s">
        <v>1197</v>
      </c>
      <c r="B480" s="6" t="s">
        <v>1194</v>
      </c>
      <c r="C480" s="4" t="s">
        <v>315</v>
      </c>
      <c r="D480" s="4">
        <v>15</v>
      </c>
      <c r="E480" s="4" t="s">
        <v>1161</v>
      </c>
      <c r="F480" s="4" t="s">
        <v>1198</v>
      </c>
    </row>
    <row r="481" spans="1:6">
      <c r="A481" s="4" t="s">
        <v>1199</v>
      </c>
      <c r="B481" s="6" t="s">
        <v>1194</v>
      </c>
      <c r="C481" s="4" t="s">
        <v>23</v>
      </c>
      <c r="D481" s="4">
        <v>8</v>
      </c>
      <c r="E481" s="4" t="s">
        <v>1200</v>
      </c>
      <c r="F481" s="4" t="s">
        <v>1201</v>
      </c>
    </row>
    <row r="482" spans="1:6">
      <c r="A482" s="4" t="s">
        <v>1202</v>
      </c>
      <c r="B482" s="6" t="s">
        <v>1194</v>
      </c>
      <c r="C482" s="4" t="s">
        <v>23</v>
      </c>
      <c r="D482" s="4">
        <v>8</v>
      </c>
      <c r="E482" s="4" t="s">
        <v>1200</v>
      </c>
      <c r="F482" s="4" t="s">
        <v>1201</v>
      </c>
    </row>
    <row r="483" spans="1:6">
      <c r="A483" s="4" t="s">
        <v>1203</v>
      </c>
      <c r="B483" s="6" t="s">
        <v>1204</v>
      </c>
      <c r="C483" s="4" t="s">
        <v>461</v>
      </c>
      <c r="D483" s="4">
        <v>9</v>
      </c>
      <c r="E483" s="4" t="s">
        <v>1205</v>
      </c>
      <c r="F483" s="4" t="s">
        <v>1206</v>
      </c>
    </row>
    <row r="484" spans="1:6">
      <c r="A484" s="4" t="s">
        <v>1207</v>
      </c>
      <c r="B484" s="6" t="s">
        <v>1204</v>
      </c>
      <c r="C484" s="4" t="s">
        <v>23</v>
      </c>
      <c r="D484" s="4">
        <v>15</v>
      </c>
      <c r="E484" s="4" t="s">
        <v>1208</v>
      </c>
    </row>
    <row r="485" spans="1:6">
      <c r="A485" s="4" t="s">
        <v>1209</v>
      </c>
      <c r="B485" s="6" t="s">
        <v>1204</v>
      </c>
      <c r="C485" s="4" t="s">
        <v>23</v>
      </c>
      <c r="D485" s="4">
        <v>24</v>
      </c>
      <c r="E485" s="4" t="s">
        <v>1208</v>
      </c>
    </row>
    <row r="486" spans="1:6">
      <c r="A486" s="4" t="s">
        <v>1210</v>
      </c>
      <c r="B486" s="6" t="s">
        <v>1204</v>
      </c>
      <c r="C486" s="4" t="s">
        <v>1211</v>
      </c>
      <c r="D486" s="4">
        <v>12</v>
      </c>
      <c r="E486" s="4" t="s">
        <v>1212</v>
      </c>
      <c r="F486" s="4" t="s">
        <v>1213</v>
      </c>
    </row>
    <row r="487" spans="1:6">
      <c r="A487" s="4" t="s">
        <v>1214</v>
      </c>
      <c r="B487" s="6" t="s">
        <v>1215</v>
      </c>
      <c r="C487" s="4" t="s">
        <v>1216</v>
      </c>
      <c r="D487" s="4">
        <v>12</v>
      </c>
      <c r="E487" s="4" t="s">
        <v>1217</v>
      </c>
    </row>
    <row r="488" spans="1:6">
      <c r="A488" s="4" t="s">
        <v>1218</v>
      </c>
      <c r="B488" s="6" t="s">
        <v>1219</v>
      </c>
      <c r="C488" s="4" t="s">
        <v>81</v>
      </c>
      <c r="D488" s="4">
        <v>12</v>
      </c>
      <c r="E488" s="4" t="s">
        <v>1220</v>
      </c>
    </row>
    <row r="489" spans="1:6">
      <c r="A489" s="4" t="s">
        <v>1221</v>
      </c>
      <c r="B489" s="6" t="s">
        <v>1222</v>
      </c>
      <c r="C489" s="4" t="s">
        <v>53</v>
      </c>
      <c r="D489" s="4">
        <v>14</v>
      </c>
      <c r="E489" s="4" t="s">
        <v>1223</v>
      </c>
      <c r="F489" s="4" t="s">
        <v>1224</v>
      </c>
    </row>
    <row r="490" spans="1:6">
      <c r="A490" s="4" t="s">
        <v>1225</v>
      </c>
      <c r="B490" s="6" t="s">
        <v>1226</v>
      </c>
      <c r="C490" s="4" t="s">
        <v>1057</v>
      </c>
      <c r="D490" s="4">
        <v>5</v>
      </c>
      <c r="E490" s="4" t="s">
        <v>1227</v>
      </c>
      <c r="F490" s="4" t="s">
        <v>1228</v>
      </c>
    </row>
    <row r="491" spans="1:6">
      <c r="A491" s="4" t="s">
        <v>1057</v>
      </c>
      <c r="B491" s="6" t="s">
        <v>1226</v>
      </c>
      <c r="C491" s="4" t="s">
        <v>1057</v>
      </c>
      <c r="D491" s="4">
        <v>1</v>
      </c>
      <c r="E491" s="4" t="s">
        <v>1229</v>
      </c>
    </row>
    <row r="492" spans="1:6">
      <c r="A492" s="4" t="s">
        <v>1230</v>
      </c>
      <c r="B492" s="6" t="s">
        <v>1226</v>
      </c>
      <c r="C492" s="4" t="s">
        <v>1231</v>
      </c>
      <c r="D492" s="4">
        <v>16</v>
      </c>
      <c r="E492" s="4" t="s">
        <v>1157</v>
      </c>
    </row>
    <row r="493" spans="1:6">
      <c r="A493" s="4" t="s">
        <v>1232</v>
      </c>
      <c r="B493" s="6" t="s">
        <v>1233</v>
      </c>
      <c r="C493" s="4" t="s">
        <v>458</v>
      </c>
      <c r="D493" s="4">
        <v>14</v>
      </c>
      <c r="E493" s="4" t="s">
        <v>1234</v>
      </c>
      <c r="F493" s="4" t="s">
        <v>1235</v>
      </c>
    </row>
    <row r="494" spans="1:6">
      <c r="A494" s="4" t="s">
        <v>1236</v>
      </c>
      <c r="B494" s="6" t="s">
        <v>1237</v>
      </c>
      <c r="C494" s="4" t="s">
        <v>23</v>
      </c>
      <c r="D494" s="4">
        <v>16</v>
      </c>
      <c r="E494" s="4" t="s">
        <v>1047</v>
      </c>
      <c r="F494" s="4" t="s">
        <v>1238</v>
      </c>
    </row>
    <row r="495" spans="1:6">
      <c r="A495" s="4" t="s">
        <v>1239</v>
      </c>
      <c r="B495" s="6" t="s">
        <v>1237</v>
      </c>
      <c r="C495" s="4" t="s">
        <v>474</v>
      </c>
      <c r="D495" s="4">
        <v>11</v>
      </c>
      <c r="E495" s="4" t="s">
        <v>1047</v>
      </c>
      <c r="F495" s="4" t="s">
        <v>1240</v>
      </c>
    </row>
    <row r="496" spans="1:6">
      <c r="A496" s="4" t="s">
        <v>1241</v>
      </c>
      <c r="B496" s="6" t="s">
        <v>1237</v>
      </c>
      <c r="C496" s="4" t="s">
        <v>1211</v>
      </c>
      <c r="D496" s="4">
        <v>10</v>
      </c>
      <c r="E496" s="4" t="s">
        <v>391</v>
      </c>
    </row>
    <row r="497" spans="1:6">
      <c r="A497" s="4" t="s">
        <v>1242</v>
      </c>
      <c r="B497" s="6" t="s">
        <v>1243</v>
      </c>
      <c r="C497" s="4" t="s">
        <v>37</v>
      </c>
      <c r="D497" s="4">
        <v>15</v>
      </c>
      <c r="E497" s="4" t="s">
        <v>1244</v>
      </c>
      <c r="F497" s="4" t="s">
        <v>1245</v>
      </c>
    </row>
    <row r="498" spans="1:6">
      <c r="A498" s="4" t="s">
        <v>1246</v>
      </c>
      <c r="B498" s="6" t="s">
        <v>1247</v>
      </c>
      <c r="C498" s="4" t="s">
        <v>1248</v>
      </c>
      <c r="D498" s="4">
        <v>11</v>
      </c>
      <c r="E498" s="4" t="s">
        <v>1249</v>
      </c>
      <c r="F498" s="4" t="s">
        <v>1250</v>
      </c>
    </row>
    <row r="499" spans="1:6">
      <c r="A499" s="4" t="s">
        <v>1251</v>
      </c>
      <c r="B499" s="6" t="s">
        <v>1252</v>
      </c>
      <c r="C499" s="4" t="s">
        <v>49</v>
      </c>
      <c r="D499" s="4">
        <v>13</v>
      </c>
      <c r="E499" s="4" t="s">
        <v>1253</v>
      </c>
      <c r="F499" s="4" t="s">
        <v>1254</v>
      </c>
    </row>
    <row r="500" spans="1:6">
      <c r="A500" s="4" t="s">
        <v>1255</v>
      </c>
      <c r="B500" s="6" t="s">
        <v>1256</v>
      </c>
      <c r="C500" s="4" t="s">
        <v>870</v>
      </c>
      <c r="D500" s="4">
        <v>11</v>
      </c>
      <c r="E500" s="4" t="s">
        <v>1069</v>
      </c>
      <c r="F500" s="4" t="s">
        <v>1257</v>
      </c>
    </row>
    <row r="501" spans="1:6">
      <c r="A501" s="4" t="s">
        <v>1258</v>
      </c>
      <c r="B501" s="6" t="s">
        <v>1256</v>
      </c>
      <c r="C501" s="4" t="s">
        <v>143</v>
      </c>
      <c r="D501" s="4">
        <v>14</v>
      </c>
      <c r="E501" s="4" t="s">
        <v>1069</v>
      </c>
    </row>
    <row r="502" spans="1:6">
      <c r="A502" s="4" t="s">
        <v>1259</v>
      </c>
      <c r="B502" s="6" t="s">
        <v>1256</v>
      </c>
      <c r="C502" s="4" t="s">
        <v>53</v>
      </c>
      <c r="D502" s="4">
        <v>15</v>
      </c>
      <c r="E502" s="4" t="s">
        <v>1069</v>
      </c>
    </row>
    <row r="503" spans="1:6">
      <c r="A503" s="4" t="s">
        <v>1260</v>
      </c>
      <c r="B503" s="6" t="s">
        <v>1261</v>
      </c>
      <c r="C503" s="4" t="s">
        <v>1262</v>
      </c>
      <c r="D503" s="4">
        <v>10</v>
      </c>
      <c r="E503" s="4" t="s">
        <v>1263</v>
      </c>
      <c r="F503" s="4" t="s">
        <v>906</v>
      </c>
    </row>
    <row r="504" spans="1:6">
      <c r="A504" s="4" t="s">
        <v>1264</v>
      </c>
      <c r="B504" s="6" t="s">
        <v>1261</v>
      </c>
      <c r="C504" s="4" t="s">
        <v>243</v>
      </c>
      <c r="D504" s="4">
        <v>3</v>
      </c>
      <c r="E504" s="4" t="s">
        <v>1263</v>
      </c>
    </row>
    <row r="505" spans="1:6">
      <c r="A505" s="4" t="s">
        <v>1265</v>
      </c>
      <c r="B505" s="6" t="s">
        <v>1261</v>
      </c>
      <c r="C505" s="4" t="s">
        <v>53</v>
      </c>
      <c r="D505" s="4">
        <v>7</v>
      </c>
      <c r="E505" s="4" t="s">
        <v>1266</v>
      </c>
    </row>
    <row r="506" spans="1:6">
      <c r="A506" s="4" t="s">
        <v>1267</v>
      </c>
      <c r="B506" s="6" t="s">
        <v>1268</v>
      </c>
      <c r="C506" s="4" t="s">
        <v>876</v>
      </c>
      <c r="D506" s="4">
        <v>9</v>
      </c>
      <c r="E506" s="4" t="s">
        <v>1263</v>
      </c>
    </row>
    <row r="507" spans="1:6">
      <c r="A507" s="4" t="s">
        <v>1269</v>
      </c>
      <c r="B507" s="6" t="s">
        <v>1270</v>
      </c>
      <c r="C507" s="4" t="s">
        <v>19</v>
      </c>
      <c r="D507" s="4">
        <v>14</v>
      </c>
      <c r="E507" s="4" t="s">
        <v>1069</v>
      </c>
      <c r="F507" s="4" t="s">
        <v>1271</v>
      </c>
    </row>
    <row r="508" spans="1:6">
      <c r="A508" s="4" t="s">
        <v>1272</v>
      </c>
      <c r="B508" s="6" t="s">
        <v>1270</v>
      </c>
      <c r="C508" s="4" t="s">
        <v>76</v>
      </c>
      <c r="D508" s="4">
        <v>16</v>
      </c>
      <c r="E508" s="4" t="s">
        <v>1069</v>
      </c>
    </row>
    <row r="509" spans="1:6">
      <c r="A509" s="4" t="s">
        <v>1273</v>
      </c>
      <c r="B509" s="6" t="s">
        <v>1270</v>
      </c>
      <c r="C509" s="4" t="s">
        <v>285</v>
      </c>
      <c r="D509" s="4">
        <v>14</v>
      </c>
      <c r="E509" s="4" t="s">
        <v>1069</v>
      </c>
    </row>
    <row r="510" spans="1:6">
      <c r="A510" s="4" t="s">
        <v>1274</v>
      </c>
      <c r="B510" s="6" t="s">
        <v>1275</v>
      </c>
      <c r="C510" s="4" t="s">
        <v>34</v>
      </c>
      <c r="D510" s="4">
        <v>12</v>
      </c>
      <c r="E510" s="4" t="s">
        <v>1069</v>
      </c>
      <c r="F510" s="4" t="s">
        <v>1276</v>
      </c>
    </row>
    <row r="511" spans="1:6">
      <c r="A511" s="4" t="s">
        <v>1277</v>
      </c>
      <c r="B511" s="6" t="s">
        <v>1278</v>
      </c>
      <c r="C511" s="4" t="s">
        <v>301</v>
      </c>
      <c r="D511" s="4">
        <v>18</v>
      </c>
      <c r="E511" s="4" t="s">
        <v>1279</v>
      </c>
      <c r="F511" s="4" t="s">
        <v>1280</v>
      </c>
    </row>
    <row r="512" spans="1:6">
      <c r="A512" s="4" t="s">
        <v>1281</v>
      </c>
      <c r="B512" s="6" t="s">
        <v>1278</v>
      </c>
      <c r="C512" s="4" t="s">
        <v>1282</v>
      </c>
      <c r="D512" s="4">
        <v>18</v>
      </c>
      <c r="E512" s="4" t="s">
        <v>1283</v>
      </c>
    </row>
    <row r="513" spans="1:6">
      <c r="A513" s="4" t="s">
        <v>1284</v>
      </c>
      <c r="B513" s="6" t="s">
        <v>1285</v>
      </c>
      <c r="C513" s="4" t="s">
        <v>76</v>
      </c>
      <c r="D513" s="4">
        <v>10</v>
      </c>
      <c r="E513" s="4" t="s">
        <v>1069</v>
      </c>
    </row>
    <row r="514" spans="1:6">
      <c r="A514" s="4" t="s">
        <v>1286</v>
      </c>
      <c r="B514" s="6" t="s">
        <v>1285</v>
      </c>
      <c r="C514" s="4" t="s">
        <v>37</v>
      </c>
      <c r="D514" s="4">
        <v>12</v>
      </c>
      <c r="E514" s="4" t="s">
        <v>1069</v>
      </c>
      <c r="F514" s="4" t="s">
        <v>1287</v>
      </c>
    </row>
    <row r="515" spans="1:6">
      <c r="A515" s="4" t="s">
        <v>1288</v>
      </c>
      <c r="B515" s="6" t="s">
        <v>1289</v>
      </c>
      <c r="C515" s="4" t="s">
        <v>27</v>
      </c>
      <c r="D515" s="4">
        <v>15</v>
      </c>
      <c r="E515" s="4" t="s">
        <v>1249</v>
      </c>
    </row>
    <row r="516" spans="1:6">
      <c r="A516" s="4" t="s">
        <v>1290</v>
      </c>
      <c r="B516" s="6" t="s">
        <v>1291</v>
      </c>
      <c r="C516" s="4" t="s">
        <v>686</v>
      </c>
      <c r="D516" s="4">
        <v>12</v>
      </c>
      <c r="E516" s="4" t="s">
        <v>1292</v>
      </c>
      <c r="F516" s="4" t="s">
        <v>1293</v>
      </c>
    </row>
    <row r="517" spans="1:6">
      <c r="A517" s="4" t="s">
        <v>1294</v>
      </c>
      <c r="B517" s="6" t="s">
        <v>1291</v>
      </c>
      <c r="C517" s="4" t="s">
        <v>87</v>
      </c>
      <c r="D517" s="4">
        <v>11</v>
      </c>
      <c r="E517" s="4" t="s">
        <v>1244</v>
      </c>
      <c r="F517" s="4" t="s">
        <v>1295</v>
      </c>
    </row>
    <row r="518" spans="1:6">
      <c r="A518" s="4" t="s">
        <v>1296</v>
      </c>
      <c r="B518" s="6" t="s">
        <v>1291</v>
      </c>
      <c r="C518" s="4" t="s">
        <v>53</v>
      </c>
      <c r="D518" s="4">
        <v>8</v>
      </c>
      <c r="E518" s="4" t="s">
        <v>1244</v>
      </c>
      <c r="F518" s="4" t="s">
        <v>1297</v>
      </c>
    </row>
    <row r="519" spans="1:6">
      <c r="A519" s="4" t="s">
        <v>1298</v>
      </c>
      <c r="B519" s="6" t="s">
        <v>1291</v>
      </c>
      <c r="C519" s="4" t="s">
        <v>53</v>
      </c>
      <c r="D519" s="4">
        <v>13</v>
      </c>
      <c r="E519" s="4" t="s">
        <v>1249</v>
      </c>
      <c r="F519" s="4" t="s">
        <v>1299</v>
      </c>
    </row>
    <row r="520" spans="1:6">
      <c r="A520" s="4" t="s">
        <v>1300</v>
      </c>
      <c r="B520" s="6" t="s">
        <v>1301</v>
      </c>
      <c r="C520" s="4" t="s">
        <v>34</v>
      </c>
      <c r="D520" s="4">
        <v>9</v>
      </c>
      <c r="E520" s="4" t="s">
        <v>1302</v>
      </c>
    </row>
    <row r="521" spans="1:6">
      <c r="A521" s="4" t="s">
        <v>1303</v>
      </c>
      <c r="B521" s="6" t="s">
        <v>1304</v>
      </c>
      <c r="C521" s="4" t="s">
        <v>708</v>
      </c>
      <c r="D521" s="4">
        <v>9</v>
      </c>
      <c r="E521" s="4" t="s">
        <v>1305</v>
      </c>
    </row>
    <row r="522" spans="1:6">
      <c r="A522" s="4" t="s">
        <v>1306</v>
      </c>
      <c r="B522" s="6" t="s">
        <v>1304</v>
      </c>
      <c r="C522" s="4" t="s">
        <v>427</v>
      </c>
      <c r="D522" s="4">
        <v>11</v>
      </c>
      <c r="E522" s="4" t="s">
        <v>1307</v>
      </c>
    </row>
    <row r="523" spans="1:6">
      <c r="A523" s="4" t="s">
        <v>1308</v>
      </c>
      <c r="B523" s="6" t="s">
        <v>1304</v>
      </c>
      <c r="C523" s="4" t="s">
        <v>254</v>
      </c>
      <c r="D523" s="4">
        <v>7</v>
      </c>
      <c r="E523" s="4" t="s">
        <v>1305</v>
      </c>
    </row>
    <row r="524" spans="1:6">
      <c r="A524" s="4" t="s">
        <v>1309</v>
      </c>
      <c r="B524" s="6" t="s">
        <v>1304</v>
      </c>
      <c r="C524" s="4" t="s">
        <v>554</v>
      </c>
      <c r="D524" s="4">
        <v>12</v>
      </c>
      <c r="E524" s="4" t="s">
        <v>1310</v>
      </c>
    </row>
    <row r="525" spans="1:6">
      <c r="A525" s="4" t="s">
        <v>1311</v>
      </c>
      <c r="B525" s="6" t="s">
        <v>1304</v>
      </c>
      <c r="C525" s="4" t="s">
        <v>23</v>
      </c>
      <c r="D525" s="4">
        <v>9</v>
      </c>
      <c r="E525" s="4" t="s">
        <v>1305</v>
      </c>
    </row>
    <row r="526" spans="1:6">
      <c r="A526" s="4" t="s">
        <v>1312</v>
      </c>
      <c r="B526" s="6" t="s">
        <v>1304</v>
      </c>
      <c r="C526" s="4" t="s">
        <v>14</v>
      </c>
      <c r="D526" s="4">
        <v>8</v>
      </c>
      <c r="E526" s="4" t="s">
        <v>1305</v>
      </c>
      <c r="F526" s="4" t="s">
        <v>1313</v>
      </c>
    </row>
    <row r="527" spans="1:6">
      <c r="A527" s="4" t="s">
        <v>1314</v>
      </c>
      <c r="B527" s="6" t="s">
        <v>1315</v>
      </c>
      <c r="C527" s="4" t="s">
        <v>87</v>
      </c>
      <c r="D527" s="4">
        <v>8</v>
      </c>
      <c r="E527" s="4" t="s">
        <v>1305</v>
      </c>
    </row>
    <row r="528" spans="1:6">
      <c r="A528" s="4" t="s">
        <v>1316</v>
      </c>
      <c r="B528" s="6" t="s">
        <v>1317</v>
      </c>
      <c r="C528" s="4" t="s">
        <v>104</v>
      </c>
      <c r="D528" s="4">
        <v>8</v>
      </c>
      <c r="E528" s="4" t="s">
        <v>972</v>
      </c>
    </row>
    <row r="529" spans="1:6">
      <c r="A529" s="4" t="s">
        <v>1318</v>
      </c>
      <c r="B529" s="6" t="s">
        <v>1317</v>
      </c>
      <c r="C529" s="4" t="s">
        <v>53</v>
      </c>
      <c r="D529" s="4">
        <v>12</v>
      </c>
      <c r="E529" s="4" t="s">
        <v>972</v>
      </c>
    </row>
    <row r="530" spans="1:6">
      <c r="A530" s="4" t="s">
        <v>1319</v>
      </c>
      <c r="B530" s="6" t="s">
        <v>1317</v>
      </c>
      <c r="C530" s="4" t="s">
        <v>285</v>
      </c>
      <c r="D530" s="4">
        <v>11</v>
      </c>
      <c r="E530" s="4" t="s">
        <v>972</v>
      </c>
    </row>
    <row r="531" spans="1:6">
      <c r="A531" s="4" t="s">
        <v>1320</v>
      </c>
      <c r="B531" s="6" t="s">
        <v>1321</v>
      </c>
      <c r="C531" s="4" t="s">
        <v>317</v>
      </c>
      <c r="D531" s="4">
        <v>4</v>
      </c>
      <c r="E531" s="4" t="s">
        <v>752</v>
      </c>
      <c r="F531" s="4" t="s">
        <v>1322</v>
      </c>
    </row>
    <row r="532" spans="1:6">
      <c r="A532" s="4" t="s">
        <v>1323</v>
      </c>
      <c r="B532" s="6" t="s">
        <v>1321</v>
      </c>
      <c r="C532" s="4" t="s">
        <v>1323</v>
      </c>
      <c r="D532" s="4">
        <v>3</v>
      </c>
      <c r="E532" s="4" t="s">
        <v>886</v>
      </c>
      <c r="F532" s="4" t="s">
        <v>1324</v>
      </c>
    </row>
    <row r="533" spans="1:6">
      <c r="A533" s="4" t="s">
        <v>1325</v>
      </c>
      <c r="B533" s="6" t="s">
        <v>1321</v>
      </c>
      <c r="C533" s="4" t="s">
        <v>705</v>
      </c>
      <c r="D533" s="4">
        <v>5</v>
      </c>
      <c r="E533" s="4" t="s">
        <v>886</v>
      </c>
      <c r="F533" s="4" t="s">
        <v>1326</v>
      </c>
    </row>
    <row r="534" spans="1:6">
      <c r="A534" s="4" t="s">
        <v>1327</v>
      </c>
      <c r="B534" s="6" t="s">
        <v>1321</v>
      </c>
      <c r="C534" s="4" t="s">
        <v>1328</v>
      </c>
      <c r="D534" s="4">
        <v>7</v>
      </c>
      <c r="E534" s="4" t="s">
        <v>892</v>
      </c>
      <c r="F534" s="4" t="s">
        <v>1329</v>
      </c>
    </row>
    <row r="535" spans="1:6">
      <c r="A535" s="4" t="s">
        <v>1330</v>
      </c>
      <c r="B535" s="6" t="s">
        <v>1321</v>
      </c>
      <c r="C535" s="4" t="s">
        <v>427</v>
      </c>
      <c r="D535" s="4">
        <v>10</v>
      </c>
      <c r="E535" s="4" t="s">
        <v>752</v>
      </c>
    </row>
    <row r="536" spans="1:6">
      <c r="A536" s="4" t="s">
        <v>1331</v>
      </c>
      <c r="B536" s="6" t="s">
        <v>1332</v>
      </c>
      <c r="C536" s="4" t="s">
        <v>221</v>
      </c>
      <c r="D536" s="4">
        <v>21</v>
      </c>
      <c r="E536" s="4" t="s">
        <v>1305</v>
      </c>
      <c r="F536" s="4" t="s">
        <v>1333</v>
      </c>
    </row>
    <row r="537" spans="1:6">
      <c r="A537" s="4" t="s">
        <v>1334</v>
      </c>
      <c r="B537" s="6" t="s">
        <v>1332</v>
      </c>
      <c r="C537" s="4" t="s">
        <v>1335</v>
      </c>
      <c r="D537" s="4">
        <v>8</v>
      </c>
      <c r="E537" s="4" t="s">
        <v>1305</v>
      </c>
      <c r="F537" s="4" t="s">
        <v>1336</v>
      </c>
    </row>
    <row r="538" spans="1:6">
      <c r="A538" s="4" t="s">
        <v>1337</v>
      </c>
      <c r="B538" s="6" t="s">
        <v>1332</v>
      </c>
      <c r="C538" s="4" t="s">
        <v>1106</v>
      </c>
      <c r="D538" s="4">
        <v>12</v>
      </c>
      <c r="E538" s="4" t="s">
        <v>1305</v>
      </c>
      <c r="F538" s="4" t="s">
        <v>1338</v>
      </c>
    </row>
    <row r="539" spans="1:6">
      <c r="A539" s="4" t="s">
        <v>1339</v>
      </c>
      <c r="B539" s="6" t="s">
        <v>1332</v>
      </c>
      <c r="C539" s="4" t="s">
        <v>414</v>
      </c>
      <c r="D539" s="4">
        <v>9</v>
      </c>
      <c r="E539" s="4" t="s">
        <v>1305</v>
      </c>
      <c r="F539" s="4" t="s">
        <v>1340</v>
      </c>
    </row>
    <row r="540" spans="1:6">
      <c r="A540" s="4" t="s">
        <v>1341</v>
      </c>
      <c r="B540" s="6" t="s">
        <v>1332</v>
      </c>
      <c r="C540" s="4" t="s">
        <v>76</v>
      </c>
      <c r="D540" s="4">
        <v>13</v>
      </c>
      <c r="E540" s="4" t="s">
        <v>1305</v>
      </c>
    </row>
    <row r="541" spans="1:6">
      <c r="A541" s="4" t="s">
        <v>1342</v>
      </c>
      <c r="B541" s="6" t="s">
        <v>1343</v>
      </c>
      <c r="C541" s="4" t="s">
        <v>458</v>
      </c>
      <c r="D541" s="4">
        <v>14</v>
      </c>
      <c r="E541" s="4" t="s">
        <v>1344</v>
      </c>
    </row>
    <row r="542" spans="1:6">
      <c r="A542" s="4" t="s">
        <v>1345</v>
      </c>
      <c r="B542" s="6" t="s">
        <v>1343</v>
      </c>
      <c r="C542" s="4" t="s">
        <v>1345</v>
      </c>
      <c r="D542" s="4">
        <v>7</v>
      </c>
      <c r="E542" s="4" t="s">
        <v>1344</v>
      </c>
      <c r="F542" s="4" t="s">
        <v>1346</v>
      </c>
    </row>
    <row r="543" spans="1:6">
      <c r="A543" s="4" t="s">
        <v>1347</v>
      </c>
      <c r="B543" s="6" t="s">
        <v>1343</v>
      </c>
      <c r="C543" s="4" t="s">
        <v>53</v>
      </c>
      <c r="D543" s="4">
        <v>11</v>
      </c>
      <c r="E543" s="4" t="s">
        <v>1348</v>
      </c>
    </row>
    <row r="544" spans="1:6">
      <c r="A544" s="4" t="s">
        <v>1349</v>
      </c>
      <c r="B544" s="6" t="s">
        <v>1343</v>
      </c>
      <c r="C544" s="4" t="s">
        <v>574</v>
      </c>
      <c r="D544" s="4">
        <v>17</v>
      </c>
      <c r="E544" s="4" t="s">
        <v>1344</v>
      </c>
    </row>
    <row r="545" spans="1:6">
      <c r="A545" s="4" t="s">
        <v>1350</v>
      </c>
      <c r="B545" s="6" t="s">
        <v>1351</v>
      </c>
      <c r="C545" s="4" t="s">
        <v>53</v>
      </c>
      <c r="D545" s="4">
        <v>17</v>
      </c>
      <c r="E545" s="4" t="s">
        <v>1352</v>
      </c>
      <c r="F545" s="4" t="s">
        <v>1353</v>
      </c>
    </row>
    <row r="546" spans="1:6">
      <c r="A546" s="4" t="s">
        <v>1354</v>
      </c>
      <c r="B546" s="6" t="s">
        <v>1351</v>
      </c>
      <c r="C546" s="4" t="s">
        <v>53</v>
      </c>
      <c r="D546" s="4">
        <v>9</v>
      </c>
      <c r="E546" s="4" t="s">
        <v>1352</v>
      </c>
      <c r="F546" s="4" t="s">
        <v>1353</v>
      </c>
    </row>
    <row r="547" spans="1:6">
      <c r="A547" s="4" t="s">
        <v>1355</v>
      </c>
      <c r="B547" s="6" t="s">
        <v>1356</v>
      </c>
      <c r="C547" s="4" t="s">
        <v>453</v>
      </c>
      <c r="D547" s="4">
        <v>10</v>
      </c>
      <c r="E547" s="4" t="s">
        <v>752</v>
      </c>
      <c r="F547" s="4" t="s">
        <v>1357</v>
      </c>
    </row>
    <row r="548" spans="1:6">
      <c r="A548" s="4" t="s">
        <v>1358</v>
      </c>
      <c r="B548" s="6" t="s">
        <v>1356</v>
      </c>
      <c r="C548" s="4" t="s">
        <v>53</v>
      </c>
      <c r="D548" s="4">
        <v>14</v>
      </c>
      <c r="E548" s="4" t="s">
        <v>752</v>
      </c>
    </row>
    <row r="549" spans="1:6">
      <c r="A549" s="4" t="s">
        <v>1359</v>
      </c>
      <c r="B549" s="6" t="s">
        <v>1360</v>
      </c>
      <c r="C549" s="4" t="s">
        <v>1359</v>
      </c>
      <c r="D549" s="4">
        <v>10</v>
      </c>
      <c r="E549" s="4" t="s">
        <v>1361</v>
      </c>
      <c r="F549" s="4" t="s">
        <v>1362</v>
      </c>
    </row>
    <row r="550" spans="1:6">
      <c r="A550" s="4" t="s">
        <v>1363</v>
      </c>
      <c r="B550" s="6" t="s">
        <v>1360</v>
      </c>
      <c r="C550" s="4" t="s">
        <v>53</v>
      </c>
      <c r="D550" s="4">
        <v>14</v>
      </c>
      <c r="E550" s="4" t="s">
        <v>1364</v>
      </c>
    </row>
    <row r="551" spans="1:6">
      <c r="A551" s="4" t="s">
        <v>1365</v>
      </c>
      <c r="B551" s="6" t="s">
        <v>1366</v>
      </c>
      <c r="C551" s="4" t="s">
        <v>1365</v>
      </c>
      <c r="D551" s="4">
        <v>13</v>
      </c>
      <c r="E551" s="4" t="s">
        <v>1310</v>
      </c>
      <c r="F551" s="4" t="s">
        <v>1367</v>
      </c>
    </row>
    <row r="552" spans="1:6">
      <c r="A552" s="4" t="s">
        <v>1368</v>
      </c>
      <c r="B552" s="6" t="s">
        <v>1366</v>
      </c>
      <c r="C552" s="4" t="s">
        <v>23</v>
      </c>
      <c r="D552" s="4">
        <v>5</v>
      </c>
      <c r="E552" s="4" t="s">
        <v>1305</v>
      </c>
      <c r="F552" s="4" t="s">
        <v>1369</v>
      </c>
    </row>
    <row r="553" spans="1:6">
      <c r="A553" s="4" t="s">
        <v>1370</v>
      </c>
      <c r="B553" s="6" t="s">
        <v>1366</v>
      </c>
      <c r="C553" s="4" t="s">
        <v>354</v>
      </c>
      <c r="D553" s="4">
        <v>8</v>
      </c>
      <c r="E553" s="4" t="s">
        <v>1305</v>
      </c>
      <c r="F553" s="4" t="s">
        <v>281</v>
      </c>
    </row>
    <row r="554" spans="1:6">
      <c r="A554" s="4" t="s">
        <v>1371</v>
      </c>
      <c r="B554" s="6" t="s">
        <v>1366</v>
      </c>
      <c r="C554" s="4" t="s">
        <v>995</v>
      </c>
      <c r="D554" s="4">
        <v>18</v>
      </c>
      <c r="E554" s="4" t="s">
        <v>1305</v>
      </c>
    </row>
    <row r="555" spans="1:6">
      <c r="A555" s="4" t="s">
        <v>1372</v>
      </c>
      <c r="B555" s="6" t="s">
        <v>1373</v>
      </c>
      <c r="C555" s="4" t="s">
        <v>223</v>
      </c>
      <c r="D555" s="4">
        <v>11</v>
      </c>
      <c r="E555" s="4" t="s">
        <v>972</v>
      </c>
    </row>
    <row r="556" spans="1:6">
      <c r="A556" s="4" t="s">
        <v>1374</v>
      </c>
      <c r="B556" s="6" t="s">
        <v>1375</v>
      </c>
      <c r="C556" s="4" t="s">
        <v>317</v>
      </c>
      <c r="D556" s="4">
        <v>6</v>
      </c>
      <c r="E556" s="4" t="s">
        <v>908</v>
      </c>
      <c r="F556" s="4" t="s">
        <v>481</v>
      </c>
    </row>
    <row r="557" spans="1:6">
      <c r="A557" s="4" t="s">
        <v>1376</v>
      </c>
      <c r="B557" s="6" t="s">
        <v>1377</v>
      </c>
      <c r="C557" s="4" t="s">
        <v>354</v>
      </c>
      <c r="D557" s="4">
        <v>6</v>
      </c>
      <c r="E557" s="4" t="s">
        <v>1378</v>
      </c>
      <c r="F557" s="4" t="s">
        <v>1379</v>
      </c>
    </row>
    <row r="558" spans="1:6">
      <c r="A558" s="4" t="s">
        <v>1380</v>
      </c>
      <c r="B558" s="6" t="s">
        <v>1377</v>
      </c>
      <c r="C558" s="4" t="s">
        <v>195</v>
      </c>
      <c r="D558" s="4">
        <v>10</v>
      </c>
      <c r="E558" s="4" t="s">
        <v>1378</v>
      </c>
      <c r="F558" s="4" t="s">
        <v>1381</v>
      </c>
    </row>
    <row r="559" spans="1:6">
      <c r="A559" s="4" t="s">
        <v>1382</v>
      </c>
      <c r="B559" s="6" t="s">
        <v>1377</v>
      </c>
      <c r="C559" s="4" t="s">
        <v>27</v>
      </c>
      <c r="D559" s="4">
        <v>11</v>
      </c>
      <c r="E559" s="4" t="s">
        <v>1378</v>
      </c>
      <c r="F559" s="4" t="s">
        <v>1383</v>
      </c>
    </row>
    <row r="560" spans="1:6">
      <c r="A560" s="4" t="s">
        <v>1384</v>
      </c>
      <c r="B560" s="6" t="s">
        <v>1377</v>
      </c>
      <c r="C560" s="4" t="s">
        <v>14</v>
      </c>
      <c r="D560" s="4">
        <v>10</v>
      </c>
      <c r="E560" s="4" t="s">
        <v>1378</v>
      </c>
      <c r="F560" s="4" t="s">
        <v>1385</v>
      </c>
    </row>
    <row r="561" spans="1:6">
      <c r="A561" s="4" t="s">
        <v>1386</v>
      </c>
      <c r="B561" s="6" t="s">
        <v>1377</v>
      </c>
      <c r="C561" s="4" t="s">
        <v>195</v>
      </c>
      <c r="D561" s="4">
        <v>21</v>
      </c>
      <c r="E561" s="4" t="s">
        <v>1378</v>
      </c>
    </row>
    <row r="562" spans="1:6">
      <c r="A562" s="4" t="s">
        <v>1387</v>
      </c>
      <c r="B562" s="6" t="s">
        <v>1377</v>
      </c>
      <c r="C562" s="4" t="s">
        <v>37</v>
      </c>
      <c r="D562" s="4">
        <v>19</v>
      </c>
      <c r="E562" s="4" t="s">
        <v>1388</v>
      </c>
    </row>
    <row r="563" spans="1:6">
      <c r="A563" s="4" t="s">
        <v>1389</v>
      </c>
      <c r="B563" s="6" t="s">
        <v>1390</v>
      </c>
      <c r="C563" s="4" t="s">
        <v>53</v>
      </c>
      <c r="D563" s="4">
        <v>16</v>
      </c>
      <c r="E563" s="4" t="s">
        <v>1378</v>
      </c>
      <c r="F563" s="4" t="s">
        <v>1391</v>
      </c>
    </row>
    <row r="564" spans="1:6">
      <c r="A564" s="4" t="s">
        <v>1392</v>
      </c>
      <c r="B564" s="6" t="s">
        <v>1393</v>
      </c>
      <c r="C564" s="4" t="s">
        <v>254</v>
      </c>
      <c r="D564" s="4">
        <v>8</v>
      </c>
      <c r="E564" s="4" t="s">
        <v>1394</v>
      </c>
      <c r="F564" s="4" t="s">
        <v>1395</v>
      </c>
    </row>
    <row r="565" spans="1:6">
      <c r="A565" s="4" t="s">
        <v>1396</v>
      </c>
      <c r="B565" s="6" t="s">
        <v>1393</v>
      </c>
      <c r="C565" s="4" t="s">
        <v>45</v>
      </c>
      <c r="D565" s="4">
        <v>10</v>
      </c>
      <c r="E565" s="4" t="s">
        <v>1397</v>
      </c>
      <c r="F565" s="4" t="s">
        <v>1398</v>
      </c>
    </row>
    <row r="566" spans="1:6">
      <c r="A566" s="4" t="s">
        <v>464</v>
      </c>
      <c r="B566" s="6" t="s">
        <v>1393</v>
      </c>
      <c r="C566" s="4" t="s">
        <v>464</v>
      </c>
      <c r="D566" s="4">
        <v>3</v>
      </c>
      <c r="E566" s="4" t="s">
        <v>900</v>
      </c>
      <c r="F566" s="4" t="s">
        <v>1399</v>
      </c>
    </row>
    <row r="567" spans="1:6">
      <c r="A567" s="4" t="s">
        <v>1400</v>
      </c>
      <c r="B567" s="6" t="s">
        <v>1393</v>
      </c>
      <c r="C567" s="4" t="s">
        <v>81</v>
      </c>
      <c r="D567" s="4">
        <v>10</v>
      </c>
      <c r="E567" s="4" t="s">
        <v>908</v>
      </c>
      <c r="F567" s="4" t="s">
        <v>1401</v>
      </c>
    </row>
    <row r="568" spans="1:6">
      <c r="A568" s="4" t="s">
        <v>1402</v>
      </c>
      <c r="B568" s="6" t="s">
        <v>1393</v>
      </c>
      <c r="C568" s="4" t="s">
        <v>1403</v>
      </c>
      <c r="D568" s="4">
        <v>10</v>
      </c>
      <c r="E568" s="4" t="s">
        <v>900</v>
      </c>
    </row>
    <row r="569" spans="1:6">
      <c r="A569" s="4" t="s">
        <v>1404</v>
      </c>
      <c r="B569" s="6" t="s">
        <v>1393</v>
      </c>
      <c r="C569" s="4" t="s">
        <v>427</v>
      </c>
      <c r="D569" s="4">
        <v>12</v>
      </c>
      <c r="E569" s="4" t="s">
        <v>908</v>
      </c>
    </row>
    <row r="570" spans="1:6">
      <c r="A570" s="4" t="s">
        <v>1405</v>
      </c>
      <c r="B570" s="6" t="s">
        <v>1406</v>
      </c>
      <c r="C570" s="4" t="s">
        <v>1248</v>
      </c>
      <c r="D570" s="4">
        <v>7</v>
      </c>
      <c r="E570" s="4" t="s">
        <v>908</v>
      </c>
      <c r="F570" s="4" t="s">
        <v>1407</v>
      </c>
    </row>
    <row r="571" spans="1:6">
      <c r="A571" s="4" t="s">
        <v>1408</v>
      </c>
      <c r="B571" s="6" t="s">
        <v>1409</v>
      </c>
    </row>
    <row r="572" spans="1:6">
      <c r="A572" s="4" t="s">
        <v>1410</v>
      </c>
      <c r="B572" s="6" t="s">
        <v>1411</v>
      </c>
      <c r="C572" s="4" t="s">
        <v>23</v>
      </c>
      <c r="D572" s="4">
        <v>5</v>
      </c>
      <c r="E572" s="4" t="s">
        <v>883</v>
      </c>
    </row>
    <row r="573" spans="1:6">
      <c r="A573" s="4" t="s">
        <v>1412</v>
      </c>
      <c r="B573" s="6" t="s">
        <v>1413</v>
      </c>
      <c r="C573" s="4" t="s">
        <v>49</v>
      </c>
      <c r="D573" s="4">
        <v>11</v>
      </c>
      <c r="E573" s="4" t="s">
        <v>1414</v>
      </c>
    </row>
    <row r="574" spans="1:6">
      <c r="A574" s="4" t="s">
        <v>1415</v>
      </c>
      <c r="B574" s="6" t="s">
        <v>1413</v>
      </c>
      <c r="C574" s="4" t="s">
        <v>53</v>
      </c>
      <c r="D574" s="4">
        <v>12</v>
      </c>
      <c r="E574" s="4" t="s">
        <v>1414</v>
      </c>
    </row>
    <row r="575" spans="1:6">
      <c r="A575" s="4" t="s">
        <v>1416</v>
      </c>
      <c r="B575" s="6" t="s">
        <v>1413</v>
      </c>
      <c r="C575" s="4" t="s">
        <v>34</v>
      </c>
      <c r="D575" s="4">
        <v>11</v>
      </c>
      <c r="E575" s="4" t="s">
        <v>1414</v>
      </c>
      <c r="F575" s="4" t="s">
        <v>1417</v>
      </c>
    </row>
    <row r="576" spans="1:6">
      <c r="A576" s="4" t="s">
        <v>1418</v>
      </c>
      <c r="B576" s="6" t="s">
        <v>1419</v>
      </c>
      <c r="C576" s="4" t="s">
        <v>1420</v>
      </c>
      <c r="D576" s="4">
        <v>24</v>
      </c>
      <c r="E576" s="4" t="s">
        <v>883</v>
      </c>
    </row>
    <row r="577" spans="1:6">
      <c r="A577" s="4" t="s">
        <v>1421</v>
      </c>
      <c r="B577" s="6" t="s">
        <v>1419</v>
      </c>
      <c r="C577" s="4" t="s">
        <v>53</v>
      </c>
      <c r="D577" s="4">
        <v>15</v>
      </c>
      <c r="E577" s="4" t="s">
        <v>900</v>
      </c>
    </row>
    <row r="578" spans="1:6">
      <c r="A578" s="4" t="s">
        <v>1422</v>
      </c>
      <c r="B578" s="6" t="s">
        <v>1419</v>
      </c>
      <c r="C578" s="4" t="s">
        <v>705</v>
      </c>
      <c r="D578" s="4">
        <v>7</v>
      </c>
      <c r="E578" s="4" t="s">
        <v>888</v>
      </c>
    </row>
    <row r="579" spans="1:6">
      <c r="A579" s="4" t="s">
        <v>1423</v>
      </c>
      <c r="B579" s="6" t="s">
        <v>1424</v>
      </c>
      <c r="C579" s="4" t="s">
        <v>1425</v>
      </c>
      <c r="D579" s="4">
        <v>15</v>
      </c>
      <c r="E579" s="4" t="s">
        <v>900</v>
      </c>
      <c r="F579" s="4" t="s">
        <v>1426</v>
      </c>
    </row>
    <row r="580" spans="1:6">
      <c r="A580" s="4" t="s">
        <v>1427</v>
      </c>
      <c r="B580" s="6" t="s">
        <v>1428</v>
      </c>
      <c r="C580" s="4" t="s">
        <v>301</v>
      </c>
      <c r="D580" s="4">
        <v>9</v>
      </c>
      <c r="E580" s="4" t="s">
        <v>900</v>
      </c>
      <c r="F580" s="4" t="s">
        <v>1429</v>
      </c>
    </row>
    <row r="581" spans="1:6">
      <c r="A581" s="4" t="s">
        <v>1430</v>
      </c>
      <c r="B581" s="6" t="s">
        <v>1428</v>
      </c>
      <c r="C581" s="4" t="s">
        <v>1431</v>
      </c>
      <c r="D581" s="4">
        <v>10</v>
      </c>
      <c r="E581" s="4" t="s">
        <v>900</v>
      </c>
    </row>
    <row r="582" spans="1:6">
      <c r="A582" s="4" t="s">
        <v>1432</v>
      </c>
      <c r="B582" s="6" t="s">
        <v>1428</v>
      </c>
      <c r="C582" s="4" t="s">
        <v>1433</v>
      </c>
      <c r="D582" s="4">
        <v>10</v>
      </c>
      <c r="E582" s="4" t="s">
        <v>883</v>
      </c>
      <c r="F582" s="4" t="s">
        <v>1434</v>
      </c>
    </row>
    <row r="583" spans="1:6">
      <c r="A583" s="4" t="s">
        <v>1435</v>
      </c>
      <c r="B583" s="6" t="s">
        <v>1436</v>
      </c>
      <c r="C583" s="4" t="s">
        <v>34</v>
      </c>
      <c r="D583" s="4">
        <v>9</v>
      </c>
      <c r="E583" s="4" t="s">
        <v>908</v>
      </c>
    </row>
    <row r="584" spans="1:6">
      <c r="A584" s="4" t="s">
        <v>558</v>
      </c>
      <c r="B584" s="6" t="s">
        <v>1436</v>
      </c>
      <c r="C584" s="4" t="s">
        <v>558</v>
      </c>
      <c r="D584" s="4">
        <v>3</v>
      </c>
      <c r="E584" s="4" t="s">
        <v>908</v>
      </c>
    </row>
    <row r="585" spans="1:6">
      <c r="A585" s="4" t="s">
        <v>1437</v>
      </c>
      <c r="B585" s="6" t="s">
        <v>1438</v>
      </c>
      <c r="C585" s="4" t="s">
        <v>1425</v>
      </c>
      <c r="D585" s="4">
        <v>16</v>
      </c>
      <c r="E585" s="4" t="s">
        <v>1439</v>
      </c>
    </row>
    <row r="586" spans="1:6">
      <c r="A586" s="4" t="s">
        <v>1440</v>
      </c>
      <c r="B586" s="6" t="s">
        <v>1441</v>
      </c>
      <c r="C586" s="4" t="s">
        <v>317</v>
      </c>
      <c r="D586" s="4">
        <v>8</v>
      </c>
      <c r="E586" s="4" t="s">
        <v>1442</v>
      </c>
      <c r="F586" s="4" t="s">
        <v>1443</v>
      </c>
    </row>
    <row r="587" spans="1:6">
      <c r="A587" s="4" t="s">
        <v>1444</v>
      </c>
      <c r="B587" s="6" t="s">
        <v>1441</v>
      </c>
      <c r="C587" s="4" t="s">
        <v>81</v>
      </c>
      <c r="D587" s="4">
        <v>11</v>
      </c>
      <c r="E587" s="4" t="s">
        <v>1442</v>
      </c>
    </row>
    <row r="588" spans="1:6">
      <c r="A588" s="4" t="s">
        <v>1445</v>
      </c>
      <c r="B588" s="6" t="s">
        <v>1441</v>
      </c>
      <c r="C588" s="4" t="s">
        <v>81</v>
      </c>
      <c r="D588" s="4">
        <v>21</v>
      </c>
      <c r="E588" s="4" t="s">
        <v>883</v>
      </c>
      <c r="F588" s="4" t="s">
        <v>1446</v>
      </c>
    </row>
    <row r="589" spans="1:6">
      <c r="A589" s="4" t="s">
        <v>1447</v>
      </c>
      <c r="B589" s="6" t="s">
        <v>1448</v>
      </c>
      <c r="C589" s="4" t="s">
        <v>605</v>
      </c>
      <c r="D589" s="4">
        <v>7</v>
      </c>
      <c r="E589" s="4" t="s">
        <v>1449</v>
      </c>
      <c r="F589" s="4" t="s">
        <v>1450</v>
      </c>
    </row>
    <row r="590" spans="1:6">
      <c r="A590" s="4" t="s">
        <v>1451</v>
      </c>
      <c r="B590" s="6" t="s">
        <v>1452</v>
      </c>
      <c r="C590" s="4" t="s">
        <v>605</v>
      </c>
      <c r="D590" s="4">
        <v>8</v>
      </c>
      <c r="E590" s="4" t="s">
        <v>1453</v>
      </c>
      <c r="F590" s="4" t="s">
        <v>1454</v>
      </c>
    </row>
    <row r="591" spans="1:6">
      <c r="A591" s="4" t="s">
        <v>1455</v>
      </c>
      <c r="B591" s="6" t="s">
        <v>1452</v>
      </c>
      <c r="C591" s="4" t="s">
        <v>315</v>
      </c>
      <c r="D591" s="4">
        <v>16</v>
      </c>
      <c r="E591" s="4" t="s">
        <v>1453</v>
      </c>
      <c r="F591" s="4" t="s">
        <v>1456</v>
      </c>
    </row>
    <row r="592" spans="1:6">
      <c r="A592" s="4" t="s">
        <v>1457</v>
      </c>
      <c r="B592" s="6" t="s">
        <v>1458</v>
      </c>
      <c r="C592" s="4" t="s">
        <v>34</v>
      </c>
      <c r="D592" s="4">
        <v>11</v>
      </c>
      <c r="E592" s="4" t="s">
        <v>1459</v>
      </c>
      <c r="F592" s="4" t="s">
        <v>1460</v>
      </c>
    </row>
    <row r="593" spans="1:6">
      <c r="A593" s="4" t="s">
        <v>1461</v>
      </c>
      <c r="B593" s="6" t="s">
        <v>1458</v>
      </c>
      <c r="C593" s="4" t="s">
        <v>223</v>
      </c>
      <c r="D593" s="4">
        <v>13</v>
      </c>
      <c r="E593" s="4" t="s">
        <v>1459</v>
      </c>
      <c r="F593" s="4" t="s">
        <v>1462</v>
      </c>
    </row>
    <row r="594" spans="1:6">
      <c r="A594" s="4" t="s">
        <v>1463</v>
      </c>
      <c r="B594" s="6" t="s">
        <v>1464</v>
      </c>
      <c r="C594" s="4" t="s">
        <v>301</v>
      </c>
      <c r="D594" s="4">
        <v>14</v>
      </c>
      <c r="E594" s="4" t="s">
        <v>752</v>
      </c>
      <c r="F594" s="4" t="s">
        <v>1465</v>
      </c>
    </row>
    <row r="595" spans="1:6">
      <c r="A595" s="4" t="s">
        <v>1466</v>
      </c>
      <c r="B595" s="6" t="s">
        <v>1464</v>
      </c>
      <c r="C595" s="4" t="s">
        <v>315</v>
      </c>
      <c r="D595" s="4">
        <v>16</v>
      </c>
      <c r="E595" s="4" t="s">
        <v>752</v>
      </c>
      <c r="F595" s="4" t="s">
        <v>1467</v>
      </c>
    </row>
    <row r="596" spans="1:6">
      <c r="A596" s="4" t="s">
        <v>1468</v>
      </c>
      <c r="B596" s="6" t="s">
        <v>1464</v>
      </c>
      <c r="C596" s="4" t="s">
        <v>271</v>
      </c>
      <c r="D596" s="4">
        <v>10</v>
      </c>
      <c r="E596" s="4" t="s">
        <v>1469</v>
      </c>
    </row>
    <row r="597" spans="1:6">
      <c r="A597" s="4" t="s">
        <v>1470</v>
      </c>
      <c r="B597" s="6" t="s">
        <v>1464</v>
      </c>
      <c r="C597" s="4" t="s">
        <v>285</v>
      </c>
      <c r="D597" s="4">
        <v>8</v>
      </c>
      <c r="E597" s="4" t="s">
        <v>752</v>
      </c>
      <c r="F597" s="4" t="s">
        <v>1471</v>
      </c>
    </row>
    <row r="598" spans="1:6">
      <c r="A598" s="4" t="s">
        <v>1472</v>
      </c>
      <c r="B598" s="6" t="s">
        <v>1464</v>
      </c>
      <c r="C598" s="4" t="s">
        <v>53</v>
      </c>
      <c r="D598" s="4">
        <v>12</v>
      </c>
      <c r="E598" s="4" t="s">
        <v>1473</v>
      </c>
    </row>
    <row r="599" spans="1:6">
      <c r="A599" s="4" t="s">
        <v>1474</v>
      </c>
      <c r="B599" s="6" t="s">
        <v>1464</v>
      </c>
      <c r="C599" s="4" t="s">
        <v>420</v>
      </c>
      <c r="D599" s="4">
        <v>19</v>
      </c>
      <c r="E599" s="4" t="s">
        <v>908</v>
      </c>
    </row>
    <row r="600" spans="1:6">
      <c r="A600" s="4" t="s">
        <v>1475</v>
      </c>
      <c r="B600" s="6" t="s">
        <v>1464</v>
      </c>
      <c r="C600" s="4" t="s">
        <v>254</v>
      </c>
      <c r="D600" s="4">
        <v>15</v>
      </c>
      <c r="E600" s="4" t="s">
        <v>908</v>
      </c>
    </row>
    <row r="601" spans="1:6">
      <c r="A601" s="4" t="s">
        <v>1476</v>
      </c>
      <c r="B601" s="6" t="s">
        <v>1464</v>
      </c>
      <c r="C601" s="4" t="s">
        <v>285</v>
      </c>
      <c r="D601" s="4">
        <v>11</v>
      </c>
      <c r="E601" s="4" t="s">
        <v>752</v>
      </c>
      <c r="F601" s="4" t="s">
        <v>1471</v>
      </c>
    </row>
    <row r="602" spans="1:6">
      <c r="A602" s="4" t="s">
        <v>1477</v>
      </c>
      <c r="B602" s="6" t="s">
        <v>1478</v>
      </c>
      <c r="C602" s="4" t="s">
        <v>354</v>
      </c>
      <c r="D602" s="4">
        <v>11</v>
      </c>
      <c r="E602" s="4" t="s">
        <v>1479</v>
      </c>
      <c r="F602" s="4" t="s">
        <v>1480</v>
      </c>
    </row>
    <row r="603" spans="1:6">
      <c r="A603" s="4" t="s">
        <v>1481</v>
      </c>
      <c r="B603" s="6" t="s">
        <v>1482</v>
      </c>
      <c r="C603" s="4" t="s">
        <v>464</v>
      </c>
      <c r="D603" s="4">
        <v>11</v>
      </c>
      <c r="E603" s="4" t="s">
        <v>1483</v>
      </c>
      <c r="F603" s="4" t="s">
        <v>1484</v>
      </c>
    </row>
    <row r="604" spans="1:6">
      <c r="A604" s="4" t="s">
        <v>1485</v>
      </c>
      <c r="B604" s="6" t="s">
        <v>1482</v>
      </c>
      <c r="C604" s="4" t="s">
        <v>464</v>
      </c>
      <c r="D604" s="4">
        <v>16</v>
      </c>
      <c r="E604" s="4" t="s">
        <v>908</v>
      </c>
    </row>
    <row r="605" spans="1:6">
      <c r="A605" s="4" t="s">
        <v>1486</v>
      </c>
      <c r="B605" s="6" t="s">
        <v>1487</v>
      </c>
      <c r="C605" s="4" t="s">
        <v>223</v>
      </c>
      <c r="D605" s="4">
        <v>16</v>
      </c>
      <c r="E605" s="4" t="s">
        <v>908</v>
      </c>
    </row>
    <row r="606" spans="1:6">
      <c r="A606" s="4" t="s">
        <v>1488</v>
      </c>
      <c r="B606" s="6" t="s">
        <v>1489</v>
      </c>
      <c r="C606" s="4" t="s">
        <v>132</v>
      </c>
      <c r="D606" s="4">
        <v>13</v>
      </c>
      <c r="E606" s="4" t="s">
        <v>939</v>
      </c>
      <c r="F606" s="4" t="s">
        <v>1490</v>
      </c>
    </row>
    <row r="607" spans="1:6">
      <c r="A607" s="4" t="s">
        <v>1491</v>
      </c>
      <c r="B607" s="6" t="s">
        <v>1492</v>
      </c>
      <c r="C607" s="4" t="s">
        <v>34</v>
      </c>
      <c r="D607" s="4">
        <v>8</v>
      </c>
      <c r="E607" s="4" t="s">
        <v>1453</v>
      </c>
      <c r="F607" s="4" t="s">
        <v>1493</v>
      </c>
    </row>
    <row r="608" spans="1:6">
      <c r="A608" s="4" t="s">
        <v>1494</v>
      </c>
      <c r="B608" s="6" t="s">
        <v>1492</v>
      </c>
      <c r="C608" s="4" t="s">
        <v>34</v>
      </c>
      <c r="D608" s="4">
        <v>16</v>
      </c>
      <c r="E608" s="4" t="s">
        <v>1453</v>
      </c>
      <c r="F608" s="4" t="s">
        <v>1493</v>
      </c>
    </row>
    <row r="609" spans="1:6">
      <c r="A609" s="4" t="s">
        <v>1495</v>
      </c>
      <c r="B609" s="6" t="s">
        <v>1492</v>
      </c>
      <c r="C609" s="4" t="s">
        <v>254</v>
      </c>
      <c r="D609" s="4">
        <v>10</v>
      </c>
      <c r="E609" s="4" t="s">
        <v>1459</v>
      </c>
    </row>
    <row r="610" spans="1:6">
      <c r="A610" s="4" t="s">
        <v>1496</v>
      </c>
      <c r="B610" s="6" t="s">
        <v>1497</v>
      </c>
      <c r="C610" s="4" t="s">
        <v>74</v>
      </c>
      <c r="D610" s="4">
        <v>9</v>
      </c>
      <c r="E610" s="4" t="s">
        <v>1498</v>
      </c>
    </row>
    <row r="611" spans="1:6">
      <c r="A611" s="4" t="s">
        <v>1499</v>
      </c>
      <c r="B611" s="6" t="s">
        <v>1497</v>
      </c>
      <c r="C611" s="4" t="s">
        <v>53</v>
      </c>
      <c r="D611" s="4">
        <v>12</v>
      </c>
      <c r="E611" s="4" t="s">
        <v>1449</v>
      </c>
      <c r="F611" s="4" t="s">
        <v>1500</v>
      </c>
    </row>
    <row r="612" spans="1:6">
      <c r="A612" s="4" t="s">
        <v>1501</v>
      </c>
      <c r="B612" s="6" t="s">
        <v>1502</v>
      </c>
      <c r="C612" s="4" t="s">
        <v>1425</v>
      </c>
      <c r="D612" s="4">
        <v>7</v>
      </c>
      <c r="E612" s="4" t="s">
        <v>900</v>
      </c>
      <c r="F612" s="4" t="s">
        <v>1426</v>
      </c>
    </row>
    <row r="613" spans="1:6">
      <c r="A613" s="4" t="s">
        <v>1503</v>
      </c>
      <c r="B613" s="6" t="s">
        <v>1502</v>
      </c>
      <c r="C613" s="4" t="s">
        <v>414</v>
      </c>
      <c r="D613" s="4">
        <v>11</v>
      </c>
      <c r="E613" s="4" t="s">
        <v>900</v>
      </c>
      <c r="F613" s="4" t="s">
        <v>1417</v>
      </c>
    </row>
    <row r="614" spans="1:6">
      <c r="A614" s="4" t="s">
        <v>1504</v>
      </c>
      <c r="B614" s="6" t="s">
        <v>1502</v>
      </c>
      <c r="C614" s="4" t="s">
        <v>95</v>
      </c>
      <c r="D614" s="4">
        <v>12</v>
      </c>
      <c r="E614" s="4" t="s">
        <v>900</v>
      </c>
      <c r="F614" s="4" t="s">
        <v>1505</v>
      </c>
    </row>
    <row r="615" spans="1:6">
      <c r="A615" s="4" t="s">
        <v>1506</v>
      </c>
      <c r="B615" s="6" t="s">
        <v>1502</v>
      </c>
      <c r="C615" s="4" t="s">
        <v>41</v>
      </c>
      <c r="D615" s="4">
        <v>14</v>
      </c>
      <c r="E615" s="4" t="s">
        <v>900</v>
      </c>
      <c r="F615" s="4" t="s">
        <v>1505</v>
      </c>
    </row>
    <row r="616" spans="1:6">
      <c r="A616" s="4" t="s">
        <v>1507</v>
      </c>
      <c r="B616" s="6" t="s">
        <v>1502</v>
      </c>
      <c r="C616" s="4" t="s">
        <v>41</v>
      </c>
      <c r="D616" s="4">
        <v>14</v>
      </c>
      <c r="E616" s="4" t="s">
        <v>900</v>
      </c>
      <c r="F616" s="4" t="s">
        <v>1505</v>
      </c>
    </row>
    <row r="617" spans="1:6">
      <c r="A617" s="4" t="s">
        <v>1508</v>
      </c>
      <c r="B617" s="6" t="s">
        <v>1509</v>
      </c>
      <c r="C617" s="4" t="s">
        <v>87</v>
      </c>
      <c r="D617" s="4">
        <v>12</v>
      </c>
      <c r="E617" s="4" t="s">
        <v>1459</v>
      </c>
    </row>
    <row r="618" spans="1:6">
      <c r="A618" s="4" t="s">
        <v>1510</v>
      </c>
      <c r="B618" s="6" t="s">
        <v>1511</v>
      </c>
      <c r="C618" s="4" t="s">
        <v>254</v>
      </c>
      <c r="D618" s="4">
        <v>4</v>
      </c>
      <c r="E618" s="4" t="s">
        <v>1512</v>
      </c>
      <c r="F618" s="4" t="s">
        <v>1513</v>
      </c>
    </row>
    <row r="619" spans="1:6">
      <c r="A619" s="4" t="s">
        <v>1514</v>
      </c>
      <c r="B619" s="6" t="s">
        <v>1515</v>
      </c>
      <c r="C619" s="4" t="s">
        <v>34</v>
      </c>
      <c r="D619" s="4">
        <v>10</v>
      </c>
      <c r="E619" s="4" t="s">
        <v>1459</v>
      </c>
      <c r="F619" s="4" t="s">
        <v>1516</v>
      </c>
    </row>
    <row r="620" spans="1:6">
      <c r="A620" s="4" t="s">
        <v>1517</v>
      </c>
      <c r="B620" s="6" t="s">
        <v>1515</v>
      </c>
      <c r="C620" s="4" t="s">
        <v>34</v>
      </c>
      <c r="D620" s="4">
        <v>18</v>
      </c>
      <c r="E620" s="4" t="s">
        <v>1459</v>
      </c>
      <c r="F620" s="4" t="s">
        <v>1516</v>
      </c>
    </row>
    <row r="621" spans="1:6">
      <c r="A621" s="4" t="s">
        <v>1518</v>
      </c>
      <c r="B621" s="6" t="s">
        <v>1519</v>
      </c>
      <c r="C621" s="4" t="s">
        <v>53</v>
      </c>
      <c r="D621" s="4">
        <v>9</v>
      </c>
      <c r="E621" s="4" t="s">
        <v>883</v>
      </c>
    </row>
    <row r="622" spans="1:6">
      <c r="A622" s="4" t="s">
        <v>1520</v>
      </c>
      <c r="B622" s="6" t="s">
        <v>1521</v>
      </c>
      <c r="C622" s="4" t="s">
        <v>182</v>
      </c>
      <c r="D622" s="4">
        <v>2</v>
      </c>
      <c r="E622" s="4" t="s">
        <v>939</v>
      </c>
      <c r="F622" s="4" t="s">
        <v>1522</v>
      </c>
    </row>
    <row r="623" spans="1:6">
      <c r="A623" s="4" t="s">
        <v>1523</v>
      </c>
      <c r="B623" s="6" t="s">
        <v>1521</v>
      </c>
      <c r="C623" s="4" t="s">
        <v>963</v>
      </c>
      <c r="D623" s="4">
        <v>3</v>
      </c>
      <c r="E623" s="4" t="s">
        <v>939</v>
      </c>
      <c r="F623" s="4" t="s">
        <v>1524</v>
      </c>
    </row>
    <row r="624" spans="1:6">
      <c r="A624" s="4" t="s">
        <v>1525</v>
      </c>
      <c r="B624" s="6" t="s">
        <v>1521</v>
      </c>
      <c r="C624" s="4" t="s">
        <v>76</v>
      </c>
      <c r="D624" s="4">
        <v>8</v>
      </c>
      <c r="E624" s="4" t="s">
        <v>900</v>
      </c>
      <c r="F624" s="4" t="s">
        <v>1526</v>
      </c>
    </row>
    <row r="625" spans="1:6">
      <c r="A625" s="4" t="s">
        <v>1527</v>
      </c>
      <c r="B625" s="6" t="s">
        <v>1528</v>
      </c>
      <c r="C625" s="4" t="s">
        <v>53</v>
      </c>
      <c r="D625" s="4">
        <v>9</v>
      </c>
      <c r="E625" s="4" t="s">
        <v>900</v>
      </c>
      <c r="F625" s="4" t="s">
        <v>1529</v>
      </c>
    </row>
    <row r="626" spans="1:6">
      <c r="A626" s="4" t="s">
        <v>1530</v>
      </c>
      <c r="B626" s="6" t="s">
        <v>1528</v>
      </c>
      <c r="C626" s="4" t="s">
        <v>1530</v>
      </c>
      <c r="D626" s="4">
        <v>6</v>
      </c>
      <c r="E626" s="4" t="s">
        <v>1512</v>
      </c>
      <c r="F626" s="4" t="s">
        <v>1531</v>
      </c>
    </row>
    <row r="627" spans="1:6">
      <c r="A627" s="4" t="s">
        <v>1532</v>
      </c>
      <c r="B627" s="6" t="s">
        <v>1528</v>
      </c>
      <c r="C627" s="4" t="s">
        <v>23</v>
      </c>
      <c r="D627" s="4">
        <v>8</v>
      </c>
      <c r="E627" s="4" t="s">
        <v>900</v>
      </c>
      <c r="F627" s="4" t="s">
        <v>1533</v>
      </c>
    </row>
    <row r="628" spans="1:6">
      <c r="A628" s="4" t="s">
        <v>1534</v>
      </c>
      <c r="B628" s="6" t="s">
        <v>1535</v>
      </c>
      <c r="C628" s="4" t="s">
        <v>439</v>
      </c>
      <c r="D628" s="4">
        <v>12</v>
      </c>
      <c r="E628" s="4" t="s">
        <v>1459</v>
      </c>
    </row>
    <row r="629" spans="1:6">
      <c r="A629" s="4" t="s">
        <v>1536</v>
      </c>
      <c r="B629" s="6" t="s">
        <v>1535</v>
      </c>
      <c r="C629" s="4" t="s">
        <v>74</v>
      </c>
      <c r="D629" s="4">
        <v>5</v>
      </c>
      <c r="E629" s="4" t="s">
        <v>1453</v>
      </c>
    </row>
    <row r="630" spans="1:6">
      <c r="A630" s="4" t="s">
        <v>1537</v>
      </c>
      <c r="B630" s="6" t="s">
        <v>1535</v>
      </c>
      <c r="C630" s="4" t="s">
        <v>34</v>
      </c>
      <c r="D630" s="4">
        <v>8</v>
      </c>
      <c r="E630" s="4" t="s">
        <v>1459</v>
      </c>
      <c r="F630" s="4" t="s">
        <v>1538</v>
      </c>
    </row>
    <row r="631" spans="1:6">
      <c r="A631" s="4" t="s">
        <v>1539</v>
      </c>
      <c r="B631" s="6" t="s">
        <v>1540</v>
      </c>
      <c r="C631" s="4" t="s">
        <v>53</v>
      </c>
      <c r="D631" s="4">
        <v>12</v>
      </c>
      <c r="E631" s="4" t="s">
        <v>1449</v>
      </c>
      <c r="F631" s="4" t="s">
        <v>1541</v>
      </c>
    </row>
    <row r="632" spans="1:6">
      <c r="A632" s="4" t="s">
        <v>1542</v>
      </c>
      <c r="B632" s="6" t="s">
        <v>1543</v>
      </c>
      <c r="C632" s="4" t="s">
        <v>104</v>
      </c>
      <c r="D632" s="4">
        <v>5</v>
      </c>
      <c r="E632" s="4" t="s">
        <v>1544</v>
      </c>
      <c r="F632" s="4" t="s">
        <v>1369</v>
      </c>
    </row>
    <row r="633" spans="1:6">
      <c r="A633" s="4" t="s">
        <v>1545</v>
      </c>
      <c r="B633" s="6" t="s">
        <v>1546</v>
      </c>
      <c r="C633" s="4" t="s">
        <v>23</v>
      </c>
      <c r="D633" s="4">
        <v>6</v>
      </c>
      <c r="E633" s="4" t="s">
        <v>1547</v>
      </c>
      <c r="F633" s="4" t="s">
        <v>1548</v>
      </c>
    </row>
    <row r="634" spans="1:6">
      <c r="A634" s="4" t="s">
        <v>1549</v>
      </c>
      <c r="B634" s="6" t="s">
        <v>1550</v>
      </c>
      <c r="C634" s="4" t="s">
        <v>37</v>
      </c>
      <c r="D634" s="4">
        <v>16</v>
      </c>
      <c r="E634" s="4" t="s">
        <v>188</v>
      </c>
      <c r="F634" s="4" t="s">
        <v>1551</v>
      </c>
    </row>
    <row r="635" spans="1:6">
      <c r="A635" s="4" t="s">
        <v>1552</v>
      </c>
      <c r="B635" s="6" t="s">
        <v>1550</v>
      </c>
      <c r="C635" s="4" t="s">
        <v>34</v>
      </c>
      <c r="D635" s="4">
        <v>12</v>
      </c>
      <c r="E635" s="4" t="s">
        <v>188</v>
      </c>
      <c r="F635" s="4" t="s">
        <v>1553</v>
      </c>
    </row>
    <row r="636" spans="1:6">
      <c r="A636" s="4" t="s">
        <v>1554</v>
      </c>
      <c r="B636" s="6" t="s">
        <v>1550</v>
      </c>
      <c r="C636" s="4" t="s">
        <v>57</v>
      </c>
      <c r="D636" s="4">
        <v>14</v>
      </c>
      <c r="E636" s="4" t="s">
        <v>188</v>
      </c>
      <c r="F636" s="4" t="s">
        <v>940</v>
      </c>
    </row>
    <row r="637" spans="1:6">
      <c r="A637" s="4" t="s">
        <v>1555</v>
      </c>
      <c r="B637" s="6" t="s">
        <v>1550</v>
      </c>
      <c r="C637" s="4" t="s">
        <v>351</v>
      </c>
      <c r="D637" s="4">
        <v>13</v>
      </c>
      <c r="E637" s="4" t="s">
        <v>188</v>
      </c>
    </row>
    <row r="638" spans="1:6">
      <c r="A638" s="4" t="s">
        <v>1556</v>
      </c>
      <c r="B638" s="6" t="s">
        <v>1557</v>
      </c>
      <c r="C638" s="4" t="s">
        <v>34</v>
      </c>
      <c r="D638" s="4">
        <v>13</v>
      </c>
      <c r="E638" s="4" t="s">
        <v>188</v>
      </c>
      <c r="F638" s="4" t="s">
        <v>1553</v>
      </c>
    </row>
    <row r="639" spans="1:6">
      <c r="A639" s="4" t="s">
        <v>1558</v>
      </c>
      <c r="B639" s="6" t="s">
        <v>1559</v>
      </c>
      <c r="C639" s="4" t="s">
        <v>1560</v>
      </c>
      <c r="D639" s="4">
        <v>12</v>
      </c>
      <c r="E639" s="4" t="s">
        <v>1561</v>
      </c>
      <c r="F639" s="4" t="s">
        <v>1058</v>
      </c>
    </row>
    <row r="640" spans="1:6">
      <c r="A640" s="4" t="s">
        <v>1562</v>
      </c>
      <c r="B640" s="6" t="s">
        <v>1559</v>
      </c>
      <c r="C640" s="4" t="s">
        <v>182</v>
      </c>
      <c r="D640" s="4">
        <v>3</v>
      </c>
      <c r="E640" s="4" t="s">
        <v>1561</v>
      </c>
      <c r="F640" s="4" t="s">
        <v>1563</v>
      </c>
    </row>
    <row r="641" spans="1:6">
      <c r="A641" s="4" t="s">
        <v>1564</v>
      </c>
      <c r="B641" s="6" t="s">
        <v>1559</v>
      </c>
      <c r="C641" s="4" t="s">
        <v>470</v>
      </c>
      <c r="D641" s="4">
        <v>7</v>
      </c>
      <c r="E641" s="4" t="s">
        <v>1137</v>
      </c>
    </row>
    <row r="642" spans="1:6">
      <c r="A642" s="4" t="s">
        <v>1565</v>
      </c>
      <c r="B642" s="6" t="s">
        <v>1559</v>
      </c>
      <c r="C642" s="4" t="s">
        <v>27</v>
      </c>
      <c r="D642" s="4">
        <v>11</v>
      </c>
      <c r="E642" s="4" t="s">
        <v>1566</v>
      </c>
      <c r="F642" s="4" t="s">
        <v>1058</v>
      </c>
    </row>
    <row r="643" spans="1:6">
      <c r="A643" s="4" t="s">
        <v>1567</v>
      </c>
      <c r="B643" s="6" t="s">
        <v>1568</v>
      </c>
      <c r="C643" s="4" t="s">
        <v>1569</v>
      </c>
      <c r="D643" s="4">
        <v>8</v>
      </c>
      <c r="E643" s="4" t="s">
        <v>1561</v>
      </c>
      <c r="F643" s="4" t="s">
        <v>1570</v>
      </c>
    </row>
    <row r="644" spans="1:6">
      <c r="A644" s="4" t="s">
        <v>1571</v>
      </c>
      <c r="B644" s="6" t="s">
        <v>1572</v>
      </c>
      <c r="C644" s="4" t="s">
        <v>53</v>
      </c>
      <c r="D644" s="4">
        <v>14</v>
      </c>
      <c r="E644" s="4" t="s">
        <v>188</v>
      </c>
      <c r="F644" s="4" t="s">
        <v>1573</v>
      </c>
    </row>
    <row r="645" spans="1:6">
      <c r="A645" s="4" t="s">
        <v>1574</v>
      </c>
      <c r="B645" s="6" t="s">
        <v>1572</v>
      </c>
      <c r="C645" s="4" t="s">
        <v>53</v>
      </c>
      <c r="D645" s="4">
        <v>15</v>
      </c>
      <c r="E645" s="4" t="s">
        <v>188</v>
      </c>
      <c r="F645" s="4" t="s">
        <v>1573</v>
      </c>
    </row>
    <row r="646" spans="1:6">
      <c r="A646" s="4" t="s">
        <v>1575</v>
      </c>
      <c r="B646" s="6" t="s">
        <v>1576</v>
      </c>
      <c r="C646" s="4" t="s">
        <v>87</v>
      </c>
      <c r="D646" s="4">
        <v>11</v>
      </c>
      <c r="E646" s="4" t="s">
        <v>164</v>
      </c>
      <c r="F646" s="4" t="s">
        <v>1577</v>
      </c>
    </row>
    <row r="647" spans="1:6">
      <c r="A647" s="4" t="s">
        <v>1578</v>
      </c>
      <c r="B647" s="6" t="s">
        <v>1576</v>
      </c>
      <c r="C647" s="4" t="s">
        <v>14</v>
      </c>
      <c r="D647" s="4">
        <v>11</v>
      </c>
      <c r="E647" s="4" t="s">
        <v>164</v>
      </c>
    </row>
    <row r="648" spans="1:6">
      <c r="A648" s="4" t="s">
        <v>1579</v>
      </c>
      <c r="B648" s="6" t="s">
        <v>1580</v>
      </c>
      <c r="C648" s="4" t="s">
        <v>1581</v>
      </c>
      <c r="D648" s="4">
        <v>5</v>
      </c>
      <c r="E648" s="4" t="s">
        <v>1582</v>
      </c>
      <c r="F648" s="4" t="s">
        <v>1583</v>
      </c>
    </row>
    <row r="649" spans="1:6">
      <c r="A649" s="4" t="s">
        <v>1584</v>
      </c>
      <c r="B649" s="6" t="s">
        <v>1585</v>
      </c>
      <c r="C649" s="4" t="s">
        <v>45</v>
      </c>
      <c r="D649" s="4">
        <v>11</v>
      </c>
      <c r="E649" s="4" t="s">
        <v>164</v>
      </c>
      <c r="F649" s="4" t="s">
        <v>1586</v>
      </c>
    </row>
    <row r="650" spans="1:6">
      <c r="A650" s="4" t="s">
        <v>1587</v>
      </c>
      <c r="B650" s="6" t="s">
        <v>1588</v>
      </c>
      <c r="C650" s="4" t="s">
        <v>464</v>
      </c>
      <c r="D650" s="4">
        <v>4</v>
      </c>
      <c r="E650" s="4" t="s">
        <v>164</v>
      </c>
      <c r="F650" s="4" t="s">
        <v>1589</v>
      </c>
    </row>
    <row r="651" spans="1:6">
      <c r="A651" s="4" t="s">
        <v>1590</v>
      </c>
      <c r="B651" s="6" t="s">
        <v>1588</v>
      </c>
      <c r="C651" s="4" t="s">
        <v>427</v>
      </c>
      <c r="D651" s="4">
        <v>10</v>
      </c>
      <c r="E651" s="4" t="s">
        <v>164</v>
      </c>
    </row>
    <row r="652" spans="1:6">
      <c r="A652" s="4" t="s">
        <v>1591</v>
      </c>
      <c r="B652" s="6" t="s">
        <v>1588</v>
      </c>
      <c r="C652" s="4" t="s">
        <v>1591</v>
      </c>
      <c r="D652" s="4">
        <v>4</v>
      </c>
    </row>
    <row r="653" spans="1:6">
      <c r="A653" s="4" t="s">
        <v>1592</v>
      </c>
      <c r="B653" s="6" t="s">
        <v>1593</v>
      </c>
      <c r="C653" s="4" t="s">
        <v>354</v>
      </c>
      <c r="D653" s="4">
        <v>9</v>
      </c>
      <c r="E653" s="4" t="s">
        <v>164</v>
      </c>
      <c r="F653" s="4" t="s">
        <v>1235</v>
      </c>
    </row>
    <row r="654" spans="1:6">
      <c r="A654" s="4" t="s">
        <v>1594</v>
      </c>
      <c r="B654" s="6" t="s">
        <v>1595</v>
      </c>
      <c r="C654" s="4" t="s">
        <v>275</v>
      </c>
      <c r="D654" s="4">
        <v>11</v>
      </c>
      <c r="E654" s="4" t="s">
        <v>1596</v>
      </c>
    </row>
    <row r="655" spans="1:6">
      <c r="A655" s="4" t="s">
        <v>1597</v>
      </c>
      <c r="B655" s="6" t="s">
        <v>1595</v>
      </c>
      <c r="C655" s="4" t="s">
        <v>254</v>
      </c>
      <c r="D655" s="4">
        <v>7</v>
      </c>
      <c r="E655" s="4" t="s">
        <v>1596</v>
      </c>
    </row>
    <row r="656" spans="1:6">
      <c r="A656" s="4" t="s">
        <v>1262</v>
      </c>
      <c r="B656" s="6" t="s">
        <v>1598</v>
      </c>
      <c r="C656" s="4" t="s">
        <v>1262</v>
      </c>
      <c r="D656" s="4">
        <v>7</v>
      </c>
      <c r="E656" s="4" t="s">
        <v>177</v>
      </c>
      <c r="F656" s="4" t="s">
        <v>931</v>
      </c>
    </row>
    <row r="657" spans="1:6">
      <c r="A657" s="4" t="s">
        <v>1599</v>
      </c>
      <c r="B657" s="6" t="s">
        <v>1600</v>
      </c>
      <c r="C657" s="4" t="s">
        <v>53</v>
      </c>
      <c r="D657" s="4">
        <v>7</v>
      </c>
      <c r="E657" s="4" t="s">
        <v>1601</v>
      </c>
      <c r="F657" s="4" t="s">
        <v>1602</v>
      </c>
    </row>
    <row r="658" spans="1:6">
      <c r="A658" s="4" t="s">
        <v>1603</v>
      </c>
      <c r="B658" s="6" t="s">
        <v>1600</v>
      </c>
      <c r="C658" s="4" t="s">
        <v>1603</v>
      </c>
      <c r="D658" s="4">
        <v>3</v>
      </c>
      <c r="E658" s="4" t="s">
        <v>1601</v>
      </c>
    </row>
    <row r="659" spans="1:6">
      <c r="A659" s="4" t="s">
        <v>1604</v>
      </c>
      <c r="B659" s="6" t="s">
        <v>1605</v>
      </c>
      <c r="C659" s="4" t="s">
        <v>53</v>
      </c>
      <c r="D659" s="4">
        <v>9</v>
      </c>
      <c r="F659" s="4" t="s">
        <v>1606</v>
      </c>
    </row>
    <row r="660" spans="1:6">
      <c r="A660" s="4" t="s">
        <v>1607</v>
      </c>
      <c r="B660" s="6" t="s">
        <v>1608</v>
      </c>
      <c r="C660" s="4" t="s">
        <v>458</v>
      </c>
      <c r="D660" s="4">
        <v>11</v>
      </c>
      <c r="E660" s="4" t="s">
        <v>1609</v>
      </c>
      <c r="F660" s="4" t="s">
        <v>1610</v>
      </c>
    </row>
    <row r="661" spans="1:6">
      <c r="A661" s="4" t="s">
        <v>1611</v>
      </c>
      <c r="B661" s="6" t="s">
        <v>1608</v>
      </c>
      <c r="C661" s="4" t="s">
        <v>275</v>
      </c>
      <c r="D661" s="4">
        <v>15</v>
      </c>
      <c r="E661" s="4" t="s">
        <v>1612</v>
      </c>
      <c r="F661" s="4" t="s">
        <v>1613</v>
      </c>
    </row>
    <row r="662" spans="1:6">
      <c r="A662" s="4" t="s">
        <v>1614</v>
      </c>
      <c r="B662" s="6" t="s">
        <v>1608</v>
      </c>
      <c r="C662" s="4" t="s">
        <v>464</v>
      </c>
      <c r="D662" s="4">
        <v>8</v>
      </c>
      <c r="E662" s="4" t="s">
        <v>1615</v>
      </c>
      <c r="F662" s="4" t="s">
        <v>1616</v>
      </c>
    </row>
    <row r="663" spans="1:6">
      <c r="A663" s="4" t="s">
        <v>1617</v>
      </c>
      <c r="B663" s="6" t="s">
        <v>1608</v>
      </c>
      <c r="C663" s="4" t="s">
        <v>81</v>
      </c>
      <c r="D663" s="4">
        <v>8</v>
      </c>
      <c r="E663" s="4" t="s">
        <v>1609</v>
      </c>
    </row>
    <row r="664" spans="1:6">
      <c r="A664" s="4" t="s">
        <v>1618</v>
      </c>
      <c r="B664" s="6" t="s">
        <v>1608</v>
      </c>
      <c r="C664" s="4" t="s">
        <v>76</v>
      </c>
      <c r="D664" s="4">
        <v>11</v>
      </c>
      <c r="E664" s="4" t="s">
        <v>1609</v>
      </c>
    </row>
    <row r="665" spans="1:6">
      <c r="A665" s="4" t="s">
        <v>1619</v>
      </c>
      <c r="B665" s="6" t="s">
        <v>1608</v>
      </c>
      <c r="C665" s="4" t="s">
        <v>121</v>
      </c>
      <c r="D665" s="4">
        <v>6</v>
      </c>
      <c r="E665" s="4" t="s">
        <v>1609</v>
      </c>
      <c r="F665" s="4" t="s">
        <v>1620</v>
      </c>
    </row>
    <row r="666" spans="1:6">
      <c r="A666" s="4" t="s">
        <v>1621</v>
      </c>
      <c r="B666" s="6" t="s">
        <v>1608</v>
      </c>
      <c r="C666" s="4" t="s">
        <v>14</v>
      </c>
      <c r="D666" s="4">
        <v>9</v>
      </c>
      <c r="E666" s="4" t="s">
        <v>1609</v>
      </c>
    </row>
    <row r="667" spans="1:6">
      <c r="A667" s="4" t="s">
        <v>1622</v>
      </c>
      <c r="B667" s="6" t="s">
        <v>1608</v>
      </c>
      <c r="C667" s="4" t="s">
        <v>464</v>
      </c>
      <c r="D667" s="4">
        <v>17</v>
      </c>
      <c r="E667" s="4" t="s">
        <v>1615</v>
      </c>
      <c r="F667" s="4" t="s">
        <v>1616</v>
      </c>
    </row>
    <row r="668" spans="1:6">
      <c r="A668" s="4" t="s">
        <v>1623</v>
      </c>
      <c r="B668" s="6" t="s">
        <v>1608</v>
      </c>
      <c r="C668" s="4" t="s">
        <v>1624</v>
      </c>
      <c r="D668" s="4">
        <v>16</v>
      </c>
      <c r="E668" s="4" t="s">
        <v>1609</v>
      </c>
    </row>
    <row r="669" spans="1:6">
      <c r="A669" s="4" t="s">
        <v>1625</v>
      </c>
      <c r="B669" s="6" t="s">
        <v>1608</v>
      </c>
      <c r="C669" s="4" t="s">
        <v>1624</v>
      </c>
      <c r="D669" s="4">
        <v>18</v>
      </c>
      <c r="E669" s="4" t="s">
        <v>1609</v>
      </c>
    </row>
    <row r="670" spans="1:6">
      <c r="A670" s="4" t="s">
        <v>1626</v>
      </c>
      <c r="B670" s="6" t="s">
        <v>1627</v>
      </c>
      <c r="C670" s="4" t="s">
        <v>87</v>
      </c>
      <c r="D670" s="4">
        <v>9</v>
      </c>
      <c r="E670" s="4" t="s">
        <v>1628</v>
      </c>
    </row>
    <row r="671" spans="1:6">
      <c r="A671" s="4" t="s">
        <v>1629</v>
      </c>
      <c r="B671" s="6" t="s">
        <v>1630</v>
      </c>
      <c r="C671" s="4" t="s">
        <v>49</v>
      </c>
      <c r="D671" s="4">
        <v>12</v>
      </c>
      <c r="E671" s="4" t="s">
        <v>188</v>
      </c>
      <c r="F671" s="4" t="s">
        <v>1631</v>
      </c>
    </row>
    <row r="672" spans="1:6">
      <c r="A672" s="4" t="s">
        <v>1632</v>
      </c>
      <c r="B672" s="6" t="s">
        <v>1633</v>
      </c>
      <c r="C672" s="4" t="s">
        <v>27</v>
      </c>
      <c r="D672" s="4">
        <v>13</v>
      </c>
      <c r="E672" s="4" t="s">
        <v>1634</v>
      </c>
      <c r="F672" s="4" t="s">
        <v>1635</v>
      </c>
    </row>
    <row r="673" spans="1:6">
      <c r="A673" s="4" t="s">
        <v>1636</v>
      </c>
      <c r="B673" s="6" t="s">
        <v>1633</v>
      </c>
      <c r="C673" s="4" t="s">
        <v>53</v>
      </c>
      <c r="D673" s="4">
        <v>17</v>
      </c>
      <c r="E673" s="4" t="s">
        <v>1634</v>
      </c>
    </row>
    <row r="674" spans="1:6">
      <c r="A674" s="4" t="s">
        <v>1637</v>
      </c>
      <c r="B674" s="6" t="s">
        <v>1638</v>
      </c>
      <c r="C674" s="4" t="s">
        <v>1591</v>
      </c>
      <c r="D674" s="4">
        <v>8</v>
      </c>
      <c r="E674" s="4" t="s">
        <v>1634</v>
      </c>
      <c r="F674" s="4" t="s">
        <v>1639</v>
      </c>
    </row>
    <row r="675" spans="1:6">
      <c r="A675" s="4" t="s">
        <v>1640</v>
      </c>
      <c r="B675" s="6" t="s">
        <v>1638</v>
      </c>
      <c r="C675" s="4" t="s">
        <v>132</v>
      </c>
      <c r="D675" s="4">
        <v>14</v>
      </c>
      <c r="E675" s="4" t="s">
        <v>1634</v>
      </c>
      <c r="F675" s="4" t="s">
        <v>1641</v>
      </c>
    </row>
    <row r="676" spans="1:6">
      <c r="A676" s="4" t="s">
        <v>1642</v>
      </c>
      <c r="B676" s="6" t="s">
        <v>1638</v>
      </c>
      <c r="C676" s="4" t="s">
        <v>427</v>
      </c>
      <c r="D676" s="4">
        <v>13</v>
      </c>
      <c r="E676" s="4" t="s">
        <v>1634</v>
      </c>
    </row>
    <row r="677" spans="1:6">
      <c r="A677" s="4" t="s">
        <v>1643</v>
      </c>
      <c r="B677" s="6" t="s">
        <v>1644</v>
      </c>
      <c r="C677" s="4" t="s">
        <v>1425</v>
      </c>
      <c r="D677" s="4">
        <v>15</v>
      </c>
      <c r="E677" s="4" t="s">
        <v>188</v>
      </c>
      <c r="F677" s="4" t="s">
        <v>1645</v>
      </c>
    </row>
    <row r="678" spans="1:6">
      <c r="A678" s="4" t="s">
        <v>1646</v>
      </c>
      <c r="B678" s="6" t="s">
        <v>1644</v>
      </c>
      <c r="C678" s="4" t="s">
        <v>520</v>
      </c>
      <c r="D678" s="4">
        <v>14</v>
      </c>
      <c r="E678" s="4" t="s">
        <v>188</v>
      </c>
      <c r="F678" s="4" t="s">
        <v>1647</v>
      </c>
    </row>
    <row r="679" spans="1:6">
      <c r="A679" s="4" t="s">
        <v>1648</v>
      </c>
      <c r="B679" s="6" t="s">
        <v>1644</v>
      </c>
      <c r="C679" s="4" t="s">
        <v>14</v>
      </c>
      <c r="D679" s="4">
        <v>9</v>
      </c>
      <c r="E679" s="4" t="s">
        <v>188</v>
      </c>
    </row>
    <row r="680" spans="1:6">
      <c r="A680" s="4" t="s">
        <v>1649</v>
      </c>
      <c r="B680" s="6" t="s">
        <v>1644</v>
      </c>
      <c r="C680" s="4" t="s">
        <v>275</v>
      </c>
      <c r="D680" s="4">
        <v>12</v>
      </c>
      <c r="E680" s="4" t="s">
        <v>188</v>
      </c>
      <c r="F680" s="4" t="s">
        <v>1647</v>
      </c>
    </row>
    <row r="681" spans="1:6">
      <c r="A681" s="4" t="s">
        <v>1650</v>
      </c>
      <c r="B681" s="6" t="s">
        <v>1651</v>
      </c>
      <c r="C681" s="4" t="s">
        <v>487</v>
      </c>
      <c r="D681" s="4">
        <v>5</v>
      </c>
      <c r="F681" s="4" t="s">
        <v>1652</v>
      </c>
    </row>
    <row r="682" spans="1:6">
      <c r="A682" s="4" t="s">
        <v>1653</v>
      </c>
      <c r="B682" s="6" t="s">
        <v>1654</v>
      </c>
      <c r="C682" s="4" t="s">
        <v>1655</v>
      </c>
      <c r="D682" s="4">
        <v>19</v>
      </c>
      <c r="E682" s="4" t="s">
        <v>1634</v>
      </c>
      <c r="F682" s="4" t="s">
        <v>1656</v>
      </c>
    </row>
    <row r="683" spans="1:6">
      <c r="A683" s="4" t="s">
        <v>1657</v>
      </c>
      <c r="B683" s="6" t="s">
        <v>1654</v>
      </c>
      <c r="C683" s="4" t="s">
        <v>686</v>
      </c>
      <c r="D683" s="4">
        <v>11</v>
      </c>
      <c r="E683" s="4" t="s">
        <v>1634</v>
      </c>
    </row>
    <row r="684" spans="1:6">
      <c r="A684" s="4" t="s">
        <v>1658</v>
      </c>
      <c r="B684" s="6" t="s">
        <v>1659</v>
      </c>
      <c r="C684" s="4" t="s">
        <v>87</v>
      </c>
      <c r="D684" s="4">
        <v>14</v>
      </c>
      <c r="E684" s="4" t="s">
        <v>1634</v>
      </c>
    </row>
    <row r="685" spans="1:6">
      <c r="A685" s="4" t="s">
        <v>1660</v>
      </c>
      <c r="B685" s="6" t="s">
        <v>1659</v>
      </c>
      <c r="C685" s="4" t="s">
        <v>1420</v>
      </c>
      <c r="D685" s="4">
        <v>9</v>
      </c>
      <c r="E685" s="4" t="s">
        <v>1634</v>
      </c>
    </row>
    <row r="686" spans="1:6">
      <c r="A686" s="4" t="s">
        <v>1661</v>
      </c>
      <c r="B686" s="6" t="s">
        <v>1662</v>
      </c>
      <c r="C686" s="4" t="s">
        <v>405</v>
      </c>
      <c r="D686" s="4">
        <v>6</v>
      </c>
      <c r="E686" s="4" t="s">
        <v>1663</v>
      </c>
      <c r="F686" s="4" t="s">
        <v>1664</v>
      </c>
    </row>
    <row r="687" spans="1:6">
      <c r="A687" s="4" t="s">
        <v>1665</v>
      </c>
      <c r="B687" s="6" t="s">
        <v>1666</v>
      </c>
      <c r="C687" s="4" t="s">
        <v>1665</v>
      </c>
      <c r="D687" s="4">
        <v>9</v>
      </c>
      <c r="E687" s="4" t="s">
        <v>1667</v>
      </c>
      <c r="F687" s="4" t="s">
        <v>1668</v>
      </c>
    </row>
    <row r="688" spans="1:6">
      <c r="A688" s="4" t="s">
        <v>1669</v>
      </c>
      <c r="B688" s="6" t="s">
        <v>1670</v>
      </c>
      <c r="C688" s="4" t="s">
        <v>87</v>
      </c>
      <c r="D688" s="4">
        <v>13</v>
      </c>
      <c r="E688" s="4" t="s">
        <v>1671</v>
      </c>
      <c r="F688" s="4" t="s">
        <v>1672</v>
      </c>
    </row>
    <row r="689" spans="1:6">
      <c r="A689" s="4" t="s">
        <v>1673</v>
      </c>
      <c r="B689" s="6" t="s">
        <v>1674</v>
      </c>
      <c r="C689" s="4" t="s">
        <v>14</v>
      </c>
      <c r="D689" s="4">
        <v>7</v>
      </c>
      <c r="E689" s="4" t="s">
        <v>1675</v>
      </c>
      <c r="F689" s="4" t="s">
        <v>1676</v>
      </c>
    </row>
    <row r="690" spans="1:6">
      <c r="A690" s="4" t="s">
        <v>1677</v>
      </c>
      <c r="B690" s="6" t="s">
        <v>1674</v>
      </c>
      <c r="C690" s="4" t="s">
        <v>104</v>
      </c>
      <c r="D690" s="4">
        <v>18</v>
      </c>
      <c r="E690" s="4" t="s">
        <v>188</v>
      </c>
    </row>
    <row r="691" spans="1:6">
      <c r="A691" s="4" t="s">
        <v>1678</v>
      </c>
      <c r="B691" s="6" t="s">
        <v>1674</v>
      </c>
      <c r="C691" s="4" t="s">
        <v>1679</v>
      </c>
      <c r="D691" s="4">
        <v>20</v>
      </c>
      <c r="E691" s="4" t="s">
        <v>188</v>
      </c>
      <c r="F691" s="4" t="s">
        <v>1680</v>
      </c>
    </row>
    <row r="692" spans="1:6">
      <c r="A692" s="4" t="s">
        <v>1681</v>
      </c>
      <c r="B692" s="6" t="s">
        <v>1682</v>
      </c>
      <c r="C692" s="4" t="s">
        <v>254</v>
      </c>
      <c r="D692" s="4">
        <v>5</v>
      </c>
      <c r="E692" s="4" t="s">
        <v>1609</v>
      </c>
      <c r="F692" s="4" t="s">
        <v>1683</v>
      </c>
    </row>
    <row r="693" spans="1:6">
      <c r="A693" s="4" t="s">
        <v>1684</v>
      </c>
      <c r="B693" s="6" t="s">
        <v>1682</v>
      </c>
      <c r="C693" s="4" t="s">
        <v>214</v>
      </c>
      <c r="D693" s="4">
        <v>3</v>
      </c>
      <c r="E693" s="4" t="s">
        <v>1609</v>
      </c>
      <c r="F693" s="4" t="s">
        <v>1685</v>
      </c>
    </row>
    <row r="694" spans="1:6">
      <c r="A694" s="4" t="s">
        <v>1686</v>
      </c>
      <c r="B694" s="6" t="s">
        <v>1687</v>
      </c>
      <c r="C694" s="4" t="s">
        <v>458</v>
      </c>
      <c r="D694" s="4">
        <v>16</v>
      </c>
      <c r="E694" s="4" t="s">
        <v>50</v>
      </c>
    </row>
    <row r="695" spans="1:6">
      <c r="A695" s="4" t="s">
        <v>1688</v>
      </c>
      <c r="B695" s="6" t="s">
        <v>1689</v>
      </c>
      <c r="C695" s="4" t="s">
        <v>420</v>
      </c>
      <c r="D695" s="4">
        <v>11</v>
      </c>
      <c r="E695" s="4" t="s">
        <v>1609</v>
      </c>
      <c r="F695" s="4" t="s">
        <v>1690</v>
      </c>
    </row>
    <row r="696" spans="1:6">
      <c r="A696" s="4" t="s">
        <v>1691</v>
      </c>
      <c r="B696" s="6" t="s">
        <v>1692</v>
      </c>
      <c r="C696" s="4" t="s">
        <v>104</v>
      </c>
      <c r="D696" s="4">
        <v>8</v>
      </c>
      <c r="E696" s="4" t="s">
        <v>1663</v>
      </c>
      <c r="F696" s="4" t="s">
        <v>46</v>
      </c>
    </row>
    <row r="697" spans="1:6">
      <c r="A697" s="4" t="s">
        <v>1693</v>
      </c>
      <c r="B697" s="6" t="s">
        <v>1694</v>
      </c>
      <c r="C697" s="4" t="s">
        <v>87</v>
      </c>
      <c r="D697" s="4">
        <v>11</v>
      </c>
      <c r="E697" s="4" t="s">
        <v>1663</v>
      </c>
    </row>
    <row r="698" spans="1:6">
      <c r="A698" s="4" t="s">
        <v>1695</v>
      </c>
      <c r="B698" s="6" t="s">
        <v>1694</v>
      </c>
      <c r="C698" s="4" t="s">
        <v>76</v>
      </c>
      <c r="D698" s="4">
        <v>9</v>
      </c>
      <c r="E698" s="4" t="s">
        <v>1696</v>
      </c>
    </row>
    <row r="699" spans="1:6">
      <c r="A699" s="4" t="s">
        <v>1697</v>
      </c>
      <c r="B699" s="6" t="s">
        <v>1694</v>
      </c>
      <c r="C699" s="4" t="s">
        <v>37</v>
      </c>
      <c r="D699" s="4">
        <v>11</v>
      </c>
      <c r="E699" s="4" t="s">
        <v>1698</v>
      </c>
      <c r="F699" s="4" t="s">
        <v>1699</v>
      </c>
    </row>
    <row r="700" spans="1:6">
      <c r="A700" s="4" t="s">
        <v>1700</v>
      </c>
      <c r="B700" s="6" t="s">
        <v>1694</v>
      </c>
      <c r="C700" s="4" t="s">
        <v>268</v>
      </c>
      <c r="D700" s="4">
        <v>14</v>
      </c>
      <c r="E700" s="4" t="s">
        <v>1663</v>
      </c>
    </row>
    <row r="701" spans="1:6">
      <c r="A701" s="4" t="s">
        <v>1701</v>
      </c>
      <c r="B701" s="6" t="s">
        <v>1694</v>
      </c>
      <c r="C701" s="4" t="s">
        <v>351</v>
      </c>
      <c r="D701" s="4">
        <v>7</v>
      </c>
      <c r="E701" s="4" t="s">
        <v>1696</v>
      </c>
    </row>
    <row r="702" spans="1:6">
      <c r="A702" s="4" t="s">
        <v>1702</v>
      </c>
      <c r="B702" s="6" t="s">
        <v>1694</v>
      </c>
      <c r="C702" s="4" t="s">
        <v>81</v>
      </c>
      <c r="D702" s="4">
        <v>16</v>
      </c>
      <c r="E702" s="4" t="s">
        <v>1663</v>
      </c>
    </row>
    <row r="703" spans="1:6">
      <c r="A703" s="4" t="s">
        <v>1703</v>
      </c>
      <c r="B703" s="6" t="s">
        <v>1694</v>
      </c>
      <c r="C703" s="4" t="s">
        <v>34</v>
      </c>
      <c r="D703" s="4">
        <v>11</v>
      </c>
      <c r="E703" s="4" t="s">
        <v>1663</v>
      </c>
    </row>
    <row r="704" spans="1:6">
      <c r="A704" s="4" t="s">
        <v>1704</v>
      </c>
      <c r="B704" s="6" t="s">
        <v>1694</v>
      </c>
      <c r="C704" s="4" t="s">
        <v>271</v>
      </c>
      <c r="D704" s="4">
        <v>10</v>
      </c>
      <c r="E704" s="4" t="s">
        <v>1705</v>
      </c>
    </row>
    <row r="705" spans="1:6">
      <c r="A705" s="4" t="s">
        <v>1706</v>
      </c>
      <c r="B705" s="6" t="s">
        <v>1694</v>
      </c>
      <c r="C705" s="4" t="s">
        <v>427</v>
      </c>
      <c r="D705" s="4">
        <v>14</v>
      </c>
      <c r="E705" s="4" t="s">
        <v>1696</v>
      </c>
    </row>
    <row r="706" spans="1:6">
      <c r="A706" s="4" t="s">
        <v>1707</v>
      </c>
      <c r="B706" s="6" t="s">
        <v>1694</v>
      </c>
      <c r="C706" s="4" t="s">
        <v>121</v>
      </c>
      <c r="D706" s="4">
        <v>9</v>
      </c>
      <c r="E706" s="4" t="s">
        <v>1663</v>
      </c>
    </row>
    <row r="707" spans="1:6">
      <c r="A707" s="4" t="s">
        <v>1708</v>
      </c>
      <c r="B707" s="6" t="s">
        <v>1709</v>
      </c>
      <c r="C707" s="4" t="s">
        <v>1248</v>
      </c>
      <c r="D707" s="4">
        <v>13</v>
      </c>
      <c r="E707" s="4" t="s">
        <v>1710</v>
      </c>
    </row>
    <row r="708" spans="1:6">
      <c r="A708" s="4" t="s">
        <v>1711</v>
      </c>
      <c r="B708" s="6" t="s">
        <v>1709</v>
      </c>
      <c r="C708" s="4" t="s">
        <v>420</v>
      </c>
      <c r="D708" s="4">
        <v>5</v>
      </c>
      <c r="E708" s="4" t="s">
        <v>1712</v>
      </c>
      <c r="F708" s="4" t="s">
        <v>1713</v>
      </c>
    </row>
    <row r="709" spans="1:6">
      <c r="A709" s="4" t="s">
        <v>1714</v>
      </c>
      <c r="B709" s="6" t="s">
        <v>1709</v>
      </c>
      <c r="C709" s="4" t="s">
        <v>53</v>
      </c>
      <c r="D709" s="4">
        <v>13</v>
      </c>
      <c r="E709" s="4" t="s">
        <v>1710</v>
      </c>
      <c r="F709" s="4" t="s">
        <v>1715</v>
      </c>
    </row>
    <row r="710" spans="1:6">
      <c r="A710" s="4" t="s">
        <v>1716</v>
      </c>
      <c r="B710" s="6" t="s">
        <v>1709</v>
      </c>
      <c r="C710" s="4" t="s">
        <v>1248</v>
      </c>
      <c r="D710" s="4">
        <v>12</v>
      </c>
      <c r="E710" s="4" t="s">
        <v>177</v>
      </c>
      <c r="F710" s="4" t="s">
        <v>1717</v>
      </c>
    </row>
    <row r="711" spans="1:6">
      <c r="A711" s="4" t="s">
        <v>1718</v>
      </c>
      <c r="B711" s="6" t="s">
        <v>1719</v>
      </c>
      <c r="C711" s="4" t="s">
        <v>27</v>
      </c>
      <c r="D711" s="4">
        <v>13</v>
      </c>
      <c r="E711" s="4" t="s">
        <v>50</v>
      </c>
    </row>
    <row r="712" spans="1:6">
      <c r="A712" s="4" t="s">
        <v>1720</v>
      </c>
      <c r="B712" s="6" t="s">
        <v>1719</v>
      </c>
      <c r="C712" s="4" t="s">
        <v>53</v>
      </c>
      <c r="D712" s="4">
        <v>13</v>
      </c>
      <c r="E712" s="4" t="s">
        <v>50</v>
      </c>
    </row>
    <row r="713" spans="1:6">
      <c r="A713" s="4" t="s">
        <v>1721</v>
      </c>
      <c r="B713" s="6" t="s">
        <v>1719</v>
      </c>
      <c r="C713" s="4" t="s">
        <v>453</v>
      </c>
      <c r="D713" s="4">
        <v>20</v>
      </c>
      <c r="E713" s="4" t="s">
        <v>50</v>
      </c>
    </row>
    <row r="714" spans="1:6">
      <c r="A714" s="4" t="s">
        <v>1722</v>
      </c>
      <c r="B714" s="6" t="s">
        <v>1719</v>
      </c>
      <c r="C714" s="4" t="s">
        <v>686</v>
      </c>
      <c r="D714" s="4">
        <v>17</v>
      </c>
      <c r="E714" s="4" t="s">
        <v>50</v>
      </c>
      <c r="F714" s="4" t="s">
        <v>1723</v>
      </c>
    </row>
    <row r="715" spans="1:6">
      <c r="A715" s="4" t="s">
        <v>1724</v>
      </c>
      <c r="B715" s="6" t="s">
        <v>1725</v>
      </c>
      <c r="C715" s="4" t="s">
        <v>1726</v>
      </c>
      <c r="D715" s="4">
        <v>12</v>
      </c>
      <c r="E715" s="4" t="s">
        <v>50</v>
      </c>
      <c r="F715" s="4" t="s">
        <v>1723</v>
      </c>
    </row>
    <row r="716" spans="1:6">
      <c r="A716" s="4" t="s">
        <v>1727</v>
      </c>
      <c r="B716" s="6" t="s">
        <v>1728</v>
      </c>
      <c r="C716" s="4" t="s">
        <v>976</v>
      </c>
      <c r="D716" s="4">
        <v>4</v>
      </c>
      <c r="E716" s="4" t="s">
        <v>164</v>
      </c>
    </row>
    <row r="717" spans="1:6">
      <c r="A717" s="4" t="s">
        <v>1729</v>
      </c>
      <c r="B717" s="6" t="s">
        <v>1728</v>
      </c>
      <c r="C717" s="4" t="s">
        <v>605</v>
      </c>
      <c r="D717" s="4">
        <v>4</v>
      </c>
      <c r="E717" s="4" t="s">
        <v>164</v>
      </c>
    </row>
    <row r="718" spans="1:6">
      <c r="A718" s="4" t="s">
        <v>1730</v>
      </c>
      <c r="B718" s="6" t="s">
        <v>1731</v>
      </c>
      <c r="C718" s="4" t="s">
        <v>87</v>
      </c>
      <c r="D718" s="4">
        <v>8</v>
      </c>
      <c r="E718" s="4" t="s">
        <v>1710</v>
      </c>
      <c r="F718" s="4" t="s">
        <v>1049</v>
      </c>
    </row>
    <row r="719" spans="1:6">
      <c r="A719" s="4" t="s">
        <v>1732</v>
      </c>
      <c r="B719" s="6" t="s">
        <v>1731</v>
      </c>
      <c r="C719" s="4" t="s">
        <v>275</v>
      </c>
      <c r="D719" s="4">
        <v>12</v>
      </c>
      <c r="E719" s="4" t="s">
        <v>1710</v>
      </c>
      <c r="F719" s="4" t="s">
        <v>1733</v>
      </c>
    </row>
    <row r="720" spans="1:6">
      <c r="A720" s="4" t="s">
        <v>1734</v>
      </c>
      <c r="B720" s="6" t="s">
        <v>1731</v>
      </c>
      <c r="C720" s="4" t="s">
        <v>81</v>
      </c>
      <c r="D720" s="4">
        <v>11</v>
      </c>
      <c r="E720" s="4" t="s">
        <v>177</v>
      </c>
    </row>
    <row r="721" spans="1:6">
      <c r="A721" s="4" t="s">
        <v>1735</v>
      </c>
      <c r="B721" s="6" t="s">
        <v>1731</v>
      </c>
      <c r="C721" s="4" t="s">
        <v>81</v>
      </c>
      <c r="D721" s="4">
        <v>12</v>
      </c>
      <c r="E721" s="4" t="s">
        <v>1736</v>
      </c>
    </row>
    <row r="722" spans="1:6">
      <c r="A722" s="4" t="s">
        <v>1737</v>
      </c>
      <c r="B722" s="6" t="s">
        <v>1731</v>
      </c>
      <c r="C722" s="4" t="s">
        <v>34</v>
      </c>
      <c r="D722" s="4">
        <v>12</v>
      </c>
      <c r="E722" s="4" t="s">
        <v>1736</v>
      </c>
    </row>
    <row r="723" spans="1:6">
      <c r="A723" s="4" t="s">
        <v>1738</v>
      </c>
      <c r="B723" s="6" t="s">
        <v>1731</v>
      </c>
      <c r="C723" s="4" t="s">
        <v>414</v>
      </c>
      <c r="D723" s="4">
        <v>7</v>
      </c>
      <c r="E723" s="4" t="s">
        <v>177</v>
      </c>
    </row>
    <row r="724" spans="1:6">
      <c r="A724" s="4" t="s">
        <v>1739</v>
      </c>
      <c r="B724" s="6" t="s">
        <v>1731</v>
      </c>
      <c r="C724" s="4" t="s">
        <v>37</v>
      </c>
      <c r="D724" s="4">
        <v>16</v>
      </c>
      <c r="E724" s="4" t="s">
        <v>1736</v>
      </c>
    </row>
    <row r="725" spans="1:6">
      <c r="A725" s="4" t="s">
        <v>1740</v>
      </c>
      <c r="B725" s="6" t="s">
        <v>1731</v>
      </c>
      <c r="C725" s="4" t="s">
        <v>53</v>
      </c>
      <c r="D725" s="4">
        <v>13</v>
      </c>
      <c r="E725" s="4" t="s">
        <v>1736</v>
      </c>
      <c r="F725" s="4" t="s">
        <v>1741</v>
      </c>
    </row>
    <row r="726" spans="1:6">
      <c r="A726" s="4" t="s">
        <v>1742</v>
      </c>
      <c r="B726" s="6" t="s">
        <v>1731</v>
      </c>
      <c r="C726" s="4" t="s">
        <v>1530</v>
      </c>
      <c r="D726" s="4">
        <v>9</v>
      </c>
      <c r="E726" s="4" t="s">
        <v>1736</v>
      </c>
    </row>
    <row r="727" spans="1:6">
      <c r="A727" s="4" t="s">
        <v>1743</v>
      </c>
      <c r="B727" s="6" t="s">
        <v>1731</v>
      </c>
      <c r="C727" s="4" t="s">
        <v>427</v>
      </c>
      <c r="D727" s="4">
        <v>11</v>
      </c>
      <c r="E727" s="4" t="s">
        <v>1710</v>
      </c>
    </row>
    <row r="728" spans="1:6">
      <c r="A728" s="4" t="s">
        <v>1744</v>
      </c>
      <c r="B728" s="6" t="s">
        <v>1731</v>
      </c>
      <c r="C728" s="4" t="s">
        <v>427</v>
      </c>
      <c r="D728" s="4">
        <v>15</v>
      </c>
      <c r="E728" s="4" t="s">
        <v>177</v>
      </c>
    </row>
    <row r="729" spans="1:6">
      <c r="A729" s="4" t="s">
        <v>1745</v>
      </c>
      <c r="B729" s="6" t="s">
        <v>1731</v>
      </c>
      <c r="C729" s="4" t="s">
        <v>427</v>
      </c>
      <c r="D729" s="4">
        <v>15</v>
      </c>
      <c r="E729" s="4" t="s">
        <v>1736</v>
      </c>
    </row>
    <row r="730" spans="1:6">
      <c r="A730" s="4" t="s">
        <v>1746</v>
      </c>
      <c r="B730" s="6" t="s">
        <v>1731</v>
      </c>
      <c r="C730" s="4" t="s">
        <v>254</v>
      </c>
      <c r="D730" s="4">
        <v>11</v>
      </c>
      <c r="E730" s="4" t="s">
        <v>1747</v>
      </c>
    </row>
    <row r="731" spans="1:6">
      <c r="A731" s="4" t="s">
        <v>1748</v>
      </c>
      <c r="B731" s="6" t="s">
        <v>1731</v>
      </c>
      <c r="C731" s="4" t="s">
        <v>1749</v>
      </c>
      <c r="D731" s="4">
        <v>9</v>
      </c>
      <c r="E731" s="4" t="s">
        <v>1736</v>
      </c>
    </row>
    <row r="732" spans="1:6">
      <c r="A732" s="4" t="s">
        <v>1750</v>
      </c>
      <c r="B732" s="6" t="s">
        <v>1731</v>
      </c>
      <c r="C732" s="4" t="s">
        <v>285</v>
      </c>
      <c r="D732" s="4">
        <v>8</v>
      </c>
      <c r="E732" s="4" t="s">
        <v>1004</v>
      </c>
    </row>
    <row r="733" spans="1:6">
      <c r="A733" s="4" t="s">
        <v>1751</v>
      </c>
      <c r="B733" s="6" t="s">
        <v>1752</v>
      </c>
      <c r="C733" s="4" t="s">
        <v>766</v>
      </c>
      <c r="D733" s="4">
        <v>7</v>
      </c>
      <c r="E733" s="4" t="s">
        <v>50</v>
      </c>
      <c r="F733" s="4" t="s">
        <v>1589</v>
      </c>
    </row>
    <row r="734" spans="1:6">
      <c r="A734" s="4" t="s">
        <v>1753</v>
      </c>
      <c r="B734" s="6" t="s">
        <v>1752</v>
      </c>
      <c r="C734" s="4" t="s">
        <v>766</v>
      </c>
      <c r="D734" s="4">
        <v>6</v>
      </c>
      <c r="E734" s="4" t="s">
        <v>50</v>
      </c>
      <c r="F734" s="4" t="s">
        <v>1589</v>
      </c>
    </row>
    <row r="735" spans="1:6">
      <c r="A735" s="4" t="s">
        <v>1754</v>
      </c>
      <c r="B735" s="6" t="s">
        <v>1752</v>
      </c>
      <c r="C735" s="4" t="s">
        <v>995</v>
      </c>
      <c r="D735" s="4">
        <v>14</v>
      </c>
      <c r="E735" s="4" t="s">
        <v>50</v>
      </c>
    </row>
    <row r="736" spans="1:6">
      <c r="A736" s="4" t="s">
        <v>1755</v>
      </c>
      <c r="B736" s="6" t="s">
        <v>1752</v>
      </c>
      <c r="C736" s="4" t="s">
        <v>1756</v>
      </c>
      <c r="D736" s="4">
        <v>16</v>
      </c>
      <c r="E736" s="4" t="s">
        <v>50</v>
      </c>
    </row>
    <row r="737" spans="1:6">
      <c r="A737" s="4" t="s">
        <v>1757</v>
      </c>
      <c r="B737" s="6" t="s">
        <v>1758</v>
      </c>
      <c r="C737" s="4" t="s">
        <v>427</v>
      </c>
      <c r="D737" s="4">
        <v>16</v>
      </c>
      <c r="E737" s="4" t="s">
        <v>1759</v>
      </c>
      <c r="F737" s="4" t="s">
        <v>1760</v>
      </c>
    </row>
    <row r="738" spans="1:6">
      <c r="A738" s="4" t="s">
        <v>1761</v>
      </c>
      <c r="B738" s="6" t="s">
        <v>1758</v>
      </c>
      <c r="C738" s="4" t="s">
        <v>41</v>
      </c>
      <c r="D738" s="4">
        <v>11</v>
      </c>
      <c r="E738" s="4" t="s">
        <v>1762</v>
      </c>
    </row>
    <row r="739" spans="1:6">
      <c r="A739" s="4" t="s">
        <v>1763</v>
      </c>
      <c r="B739" s="6" t="s">
        <v>1758</v>
      </c>
      <c r="C739" s="4" t="s">
        <v>49</v>
      </c>
      <c r="D739" s="4">
        <v>13</v>
      </c>
      <c r="E739" s="4" t="s">
        <v>1764</v>
      </c>
    </row>
    <row r="740" spans="1:6">
      <c r="A740" s="4" t="s">
        <v>1765</v>
      </c>
      <c r="B740" s="6" t="s">
        <v>1758</v>
      </c>
      <c r="C740" s="4" t="s">
        <v>81</v>
      </c>
      <c r="D740" s="4">
        <v>14</v>
      </c>
      <c r="E740" s="4" t="s">
        <v>1766</v>
      </c>
    </row>
    <row r="741" spans="1:6">
      <c r="A741" s="4" t="s">
        <v>1767</v>
      </c>
      <c r="B741" s="6" t="s">
        <v>1768</v>
      </c>
      <c r="C741" s="4" t="s">
        <v>87</v>
      </c>
      <c r="D741" s="4">
        <v>13</v>
      </c>
      <c r="E741" s="4" t="s">
        <v>188</v>
      </c>
      <c r="F741" s="4" t="s">
        <v>1769</v>
      </c>
    </row>
    <row r="742" spans="1:6">
      <c r="A742" s="4" t="s">
        <v>1770</v>
      </c>
      <c r="B742" s="6" t="s">
        <v>1768</v>
      </c>
      <c r="C742" s="4" t="s">
        <v>45</v>
      </c>
      <c r="D742" s="4">
        <v>10</v>
      </c>
      <c r="E742" s="4" t="s">
        <v>188</v>
      </c>
      <c r="F742" s="4" t="s">
        <v>1771</v>
      </c>
    </row>
    <row r="743" spans="1:6">
      <c r="A743" s="4" t="s">
        <v>1772</v>
      </c>
      <c r="B743" s="6" t="s">
        <v>1768</v>
      </c>
      <c r="C743" s="4" t="s">
        <v>53</v>
      </c>
      <c r="D743" s="4">
        <v>14</v>
      </c>
      <c r="E743" s="4" t="s">
        <v>188</v>
      </c>
    </row>
    <row r="744" spans="1:6">
      <c r="A744" s="4" t="s">
        <v>1773</v>
      </c>
      <c r="B744" s="6" t="s">
        <v>1774</v>
      </c>
      <c r="C744" s="4" t="s">
        <v>301</v>
      </c>
      <c r="D744" s="4">
        <v>14</v>
      </c>
      <c r="E744" s="4" t="s">
        <v>1612</v>
      </c>
    </row>
    <row r="745" spans="1:6">
      <c r="A745" s="4" t="s">
        <v>1775</v>
      </c>
      <c r="B745" s="6" t="s">
        <v>1774</v>
      </c>
      <c r="C745" s="4" t="s">
        <v>23</v>
      </c>
      <c r="D745" s="4">
        <v>11</v>
      </c>
      <c r="E745" s="4" t="s">
        <v>1776</v>
      </c>
      <c r="F745" s="4" t="s">
        <v>1127</v>
      </c>
    </row>
    <row r="746" spans="1:6">
      <c r="A746" s="4" t="s">
        <v>1777</v>
      </c>
      <c r="B746" s="6" t="s">
        <v>1774</v>
      </c>
      <c r="C746" s="4" t="s">
        <v>81</v>
      </c>
      <c r="D746" s="4">
        <v>11</v>
      </c>
      <c r="E746" s="4" t="s">
        <v>1612</v>
      </c>
      <c r="F746" s="4" t="s">
        <v>1778</v>
      </c>
    </row>
    <row r="747" spans="1:6">
      <c r="A747" s="4" t="s">
        <v>1779</v>
      </c>
      <c r="B747" s="6" t="s">
        <v>1774</v>
      </c>
      <c r="C747" s="4" t="s">
        <v>238</v>
      </c>
      <c r="D747" s="4">
        <v>11</v>
      </c>
      <c r="E747" s="4" t="s">
        <v>1609</v>
      </c>
      <c r="F747" s="4" t="s">
        <v>1780</v>
      </c>
    </row>
    <row r="748" spans="1:6">
      <c r="A748" s="4" t="s">
        <v>1781</v>
      </c>
      <c r="B748" s="6" t="s">
        <v>1782</v>
      </c>
      <c r="C748" s="4" t="s">
        <v>87</v>
      </c>
      <c r="D748" s="4">
        <v>8</v>
      </c>
      <c r="E748" s="4" t="s">
        <v>1634</v>
      </c>
      <c r="F748" s="4" t="s">
        <v>1783</v>
      </c>
    </row>
    <row r="749" spans="1:6">
      <c r="A749" s="4" t="s">
        <v>1784</v>
      </c>
      <c r="B749" s="6" t="s">
        <v>1782</v>
      </c>
      <c r="C749" s="4" t="s">
        <v>301</v>
      </c>
      <c r="D749" s="4">
        <v>15</v>
      </c>
      <c r="E749" s="4" t="s">
        <v>1634</v>
      </c>
      <c r="F749" s="4" t="s">
        <v>1785</v>
      </c>
    </row>
    <row r="750" spans="1:6">
      <c r="A750" s="4" t="s">
        <v>1786</v>
      </c>
      <c r="B750" s="6" t="s">
        <v>1782</v>
      </c>
      <c r="C750" s="4" t="s">
        <v>315</v>
      </c>
      <c r="D750" s="4">
        <v>13</v>
      </c>
      <c r="E750" s="4" t="s">
        <v>1634</v>
      </c>
      <c r="F750" s="4" t="s">
        <v>1787</v>
      </c>
    </row>
    <row r="751" spans="1:6">
      <c r="A751" s="4" t="s">
        <v>1788</v>
      </c>
      <c r="B751" s="6" t="s">
        <v>1782</v>
      </c>
      <c r="C751" s="4" t="s">
        <v>53</v>
      </c>
      <c r="D751" s="4">
        <v>19</v>
      </c>
      <c r="E751" s="4" t="s">
        <v>1634</v>
      </c>
    </row>
    <row r="752" spans="1:6">
      <c r="A752" s="4" t="s">
        <v>1789</v>
      </c>
      <c r="B752" s="6" t="s">
        <v>1790</v>
      </c>
      <c r="C752" s="4" t="s">
        <v>34</v>
      </c>
      <c r="D752" s="4">
        <v>12</v>
      </c>
      <c r="E752" s="4" t="s">
        <v>1634</v>
      </c>
    </row>
    <row r="753" spans="1:6">
      <c r="A753" s="4" t="s">
        <v>1791</v>
      </c>
      <c r="B753" s="6" t="s">
        <v>1790</v>
      </c>
      <c r="C753" s="4" t="s">
        <v>23</v>
      </c>
      <c r="D753" s="4">
        <v>7</v>
      </c>
      <c r="E753" s="4" t="s">
        <v>1792</v>
      </c>
    </row>
    <row r="754" spans="1:6">
      <c r="A754" s="4" t="s">
        <v>1793</v>
      </c>
      <c r="B754" s="6" t="s">
        <v>1794</v>
      </c>
      <c r="C754" s="4" t="s">
        <v>110</v>
      </c>
      <c r="D754" s="4">
        <v>15</v>
      </c>
      <c r="E754" s="4" t="s">
        <v>1795</v>
      </c>
    </row>
    <row r="755" spans="1:6">
      <c r="A755" s="4" t="s">
        <v>1796</v>
      </c>
      <c r="B755" s="6" t="s">
        <v>1794</v>
      </c>
      <c r="C755" s="4" t="s">
        <v>81</v>
      </c>
      <c r="D755" s="4">
        <v>10</v>
      </c>
      <c r="E755" s="4" t="s">
        <v>1795</v>
      </c>
      <c r="F755" s="4" t="s">
        <v>1797</v>
      </c>
    </row>
    <row r="756" spans="1:6">
      <c r="A756" s="4" t="s">
        <v>1798</v>
      </c>
      <c r="B756" s="6" t="s">
        <v>1799</v>
      </c>
      <c r="C756" s="4" t="s">
        <v>76</v>
      </c>
      <c r="D756" s="4">
        <v>18</v>
      </c>
      <c r="E756" s="4" t="s">
        <v>1736</v>
      </c>
      <c r="F756" s="4" t="s">
        <v>1800</v>
      </c>
    </row>
    <row r="757" spans="1:6">
      <c r="A757" s="4" t="s">
        <v>1801</v>
      </c>
      <c r="B757" s="6" t="s">
        <v>1799</v>
      </c>
      <c r="C757" s="4" t="s">
        <v>76</v>
      </c>
      <c r="D757" s="4">
        <v>14</v>
      </c>
      <c r="E757" s="4" t="s">
        <v>1736</v>
      </c>
    </row>
    <row r="758" spans="1:6">
      <c r="A758" s="4" t="s">
        <v>1802</v>
      </c>
      <c r="B758" s="6" t="s">
        <v>1799</v>
      </c>
      <c r="C758" s="4" t="s">
        <v>81</v>
      </c>
      <c r="D758" s="4">
        <v>13</v>
      </c>
      <c r="E758" s="4" t="s">
        <v>1736</v>
      </c>
    </row>
    <row r="759" spans="1:6">
      <c r="A759" s="4" t="s">
        <v>1803</v>
      </c>
      <c r="B759" s="6" t="s">
        <v>1804</v>
      </c>
      <c r="C759" s="4" t="s">
        <v>439</v>
      </c>
      <c r="D759" s="4">
        <v>21</v>
      </c>
      <c r="E759" s="4" t="s">
        <v>96</v>
      </c>
      <c r="F759" s="4" t="s">
        <v>1805</v>
      </c>
    </row>
    <row r="760" spans="1:6">
      <c r="A760" s="4" t="s">
        <v>1806</v>
      </c>
      <c r="B760" s="6" t="s">
        <v>1804</v>
      </c>
      <c r="C760" s="4" t="s">
        <v>705</v>
      </c>
      <c r="D760" s="4">
        <v>9</v>
      </c>
      <c r="E760" s="4" t="s">
        <v>177</v>
      </c>
      <c r="F760" s="4" t="s">
        <v>1807</v>
      </c>
    </row>
    <row r="761" spans="1:6">
      <c r="A761" s="4" t="s">
        <v>1808</v>
      </c>
      <c r="B761" s="6" t="s">
        <v>1804</v>
      </c>
      <c r="C761" s="4" t="s">
        <v>81</v>
      </c>
      <c r="D761" s="4">
        <v>14</v>
      </c>
      <c r="E761" s="4" t="s">
        <v>188</v>
      </c>
    </row>
    <row r="762" spans="1:6">
      <c r="A762" s="4" t="s">
        <v>1809</v>
      </c>
      <c r="B762" s="6" t="s">
        <v>1804</v>
      </c>
      <c r="C762" s="4" t="s">
        <v>53</v>
      </c>
      <c r="D762" s="4">
        <v>11</v>
      </c>
      <c r="E762" s="4" t="s">
        <v>979</v>
      </c>
      <c r="F762" s="4" t="s">
        <v>1810</v>
      </c>
    </row>
    <row r="763" spans="1:6">
      <c r="A763" s="4" t="s">
        <v>1811</v>
      </c>
      <c r="B763" s="6" t="s">
        <v>1804</v>
      </c>
      <c r="C763" s="4" t="s">
        <v>87</v>
      </c>
      <c r="D763" s="4">
        <v>10</v>
      </c>
      <c r="E763" s="4" t="s">
        <v>177</v>
      </c>
      <c r="F763" s="4" t="s">
        <v>1812</v>
      </c>
    </row>
    <row r="764" spans="1:6">
      <c r="A764" s="4" t="s">
        <v>1813</v>
      </c>
      <c r="B764" s="6" t="s">
        <v>1804</v>
      </c>
      <c r="C764" s="4" t="s">
        <v>427</v>
      </c>
      <c r="D764" s="4">
        <v>13</v>
      </c>
      <c r="E764" s="4" t="s">
        <v>188</v>
      </c>
      <c r="F764" s="4" t="s">
        <v>1814</v>
      </c>
    </row>
    <row r="765" spans="1:6">
      <c r="A765" s="4" t="s">
        <v>1815</v>
      </c>
      <c r="B765" s="6" t="s">
        <v>1804</v>
      </c>
      <c r="C765" s="4" t="s">
        <v>254</v>
      </c>
      <c r="D765" s="4">
        <v>9</v>
      </c>
      <c r="E765" s="4" t="s">
        <v>188</v>
      </c>
    </row>
    <row r="766" spans="1:6">
      <c r="A766" s="4" t="s">
        <v>1816</v>
      </c>
      <c r="B766" s="6" t="s">
        <v>1817</v>
      </c>
      <c r="C766" s="4" t="s">
        <v>49</v>
      </c>
      <c r="D766" s="4">
        <v>6</v>
      </c>
      <c r="E766" s="4" t="s">
        <v>208</v>
      </c>
      <c r="F766" s="4" t="s">
        <v>1818</v>
      </c>
    </row>
    <row r="767" spans="1:6">
      <c r="A767" s="4" t="s">
        <v>1819</v>
      </c>
      <c r="B767" s="6" t="s">
        <v>1817</v>
      </c>
      <c r="C767" s="4" t="s">
        <v>223</v>
      </c>
      <c r="D767" s="4">
        <v>12</v>
      </c>
      <c r="E767" s="4" t="s">
        <v>177</v>
      </c>
    </row>
    <row r="768" spans="1:6">
      <c r="A768" s="4" t="s">
        <v>1820</v>
      </c>
      <c r="B768" s="6" t="s">
        <v>1817</v>
      </c>
      <c r="C768" s="4" t="s">
        <v>37</v>
      </c>
      <c r="D768" s="4">
        <v>14</v>
      </c>
      <c r="E768" s="4" t="s">
        <v>177</v>
      </c>
      <c r="F768" s="4" t="s">
        <v>1821</v>
      </c>
    </row>
    <row r="769" spans="1:6">
      <c r="A769" s="4" t="s">
        <v>1822</v>
      </c>
      <c r="B769" s="6" t="s">
        <v>1817</v>
      </c>
      <c r="C769" s="4" t="s">
        <v>37</v>
      </c>
      <c r="D769" s="4">
        <v>16</v>
      </c>
      <c r="E769" s="4" t="s">
        <v>1736</v>
      </c>
      <c r="F769" s="4" t="s">
        <v>1823</v>
      </c>
    </row>
    <row r="770" spans="1:6">
      <c r="A770" s="4" t="s">
        <v>1824</v>
      </c>
      <c r="B770" s="6" t="s">
        <v>1817</v>
      </c>
      <c r="C770" s="4" t="s">
        <v>23</v>
      </c>
      <c r="D770" s="4">
        <v>12</v>
      </c>
      <c r="E770" s="4" t="s">
        <v>1736</v>
      </c>
    </row>
    <row r="771" spans="1:6">
      <c r="A771" s="4" t="s">
        <v>1825</v>
      </c>
      <c r="B771" s="6" t="s">
        <v>1817</v>
      </c>
      <c r="C771" s="4" t="s">
        <v>285</v>
      </c>
      <c r="D771" s="4">
        <v>10</v>
      </c>
      <c r="E771" s="4" t="s">
        <v>1601</v>
      </c>
    </row>
    <row r="772" spans="1:6">
      <c r="A772" s="4" t="s">
        <v>1826</v>
      </c>
      <c r="B772" s="6" t="s">
        <v>1827</v>
      </c>
      <c r="C772" s="4" t="s">
        <v>87</v>
      </c>
      <c r="D772" s="4">
        <v>10</v>
      </c>
      <c r="E772" s="4" t="s">
        <v>1601</v>
      </c>
      <c r="F772" s="4" t="s">
        <v>1828</v>
      </c>
    </row>
    <row r="773" spans="1:6">
      <c r="A773" s="4" t="s">
        <v>1829</v>
      </c>
      <c r="B773" s="6" t="s">
        <v>1827</v>
      </c>
      <c r="C773" s="4" t="s">
        <v>860</v>
      </c>
      <c r="D773" s="4">
        <v>8</v>
      </c>
      <c r="E773" s="4" t="s">
        <v>1830</v>
      </c>
      <c r="F773" s="4" t="s">
        <v>1831</v>
      </c>
    </row>
    <row r="774" spans="1:6">
      <c r="A774" s="4" t="s">
        <v>1832</v>
      </c>
      <c r="B774" s="6" t="s">
        <v>1827</v>
      </c>
      <c r="C774" s="4" t="s">
        <v>31</v>
      </c>
      <c r="D774" s="4">
        <v>11</v>
      </c>
      <c r="E774" s="4" t="s">
        <v>1601</v>
      </c>
      <c r="F774" s="4" t="s">
        <v>1833</v>
      </c>
    </row>
    <row r="775" spans="1:6">
      <c r="A775" s="4" t="s">
        <v>1834</v>
      </c>
      <c r="B775" s="6" t="s">
        <v>1827</v>
      </c>
      <c r="C775" s="4" t="s">
        <v>1835</v>
      </c>
      <c r="D775" s="4">
        <v>14</v>
      </c>
      <c r="E775" s="4" t="s">
        <v>1830</v>
      </c>
      <c r="F775" s="4" t="s">
        <v>1831</v>
      </c>
    </row>
    <row r="776" spans="1:6">
      <c r="A776" s="4" t="s">
        <v>1836</v>
      </c>
      <c r="B776" s="6" t="s">
        <v>1827</v>
      </c>
      <c r="C776" s="4" t="s">
        <v>81</v>
      </c>
      <c r="D776" s="4">
        <v>15</v>
      </c>
      <c r="E776" s="4" t="s">
        <v>1601</v>
      </c>
    </row>
    <row r="777" spans="1:6">
      <c r="A777" s="4" t="s">
        <v>1837</v>
      </c>
      <c r="B777" s="6" t="s">
        <v>1838</v>
      </c>
      <c r="C777" s="4" t="s">
        <v>1837</v>
      </c>
      <c r="D777" s="4">
        <v>5</v>
      </c>
      <c r="E777" s="4" t="s">
        <v>1762</v>
      </c>
      <c r="F777" s="4" t="s">
        <v>1839</v>
      </c>
    </row>
    <row r="778" spans="1:6">
      <c r="A778" s="4" t="s">
        <v>1840</v>
      </c>
      <c r="B778" s="6" t="s">
        <v>1838</v>
      </c>
      <c r="C778" s="4" t="s">
        <v>254</v>
      </c>
      <c r="D778" s="4">
        <v>13</v>
      </c>
      <c r="E778" s="4" t="s">
        <v>1841</v>
      </c>
    </row>
    <row r="779" spans="1:6">
      <c r="A779" s="4" t="s">
        <v>1842</v>
      </c>
      <c r="B779" s="6" t="s">
        <v>1843</v>
      </c>
      <c r="C779" s="4" t="s">
        <v>254</v>
      </c>
      <c r="D779" s="4">
        <v>7</v>
      </c>
      <c r="E779" s="4" t="s">
        <v>1844</v>
      </c>
      <c r="F779" s="4" t="s">
        <v>1845</v>
      </c>
    </row>
    <row r="780" spans="1:6">
      <c r="A780" s="4" t="s">
        <v>1846</v>
      </c>
      <c r="B780" s="6" t="s">
        <v>1843</v>
      </c>
      <c r="C780" s="4" t="s">
        <v>31</v>
      </c>
      <c r="D780" s="4">
        <v>18</v>
      </c>
      <c r="E780" s="4" t="s">
        <v>1844</v>
      </c>
    </row>
    <row r="781" spans="1:6">
      <c r="A781" s="4" t="s">
        <v>1847</v>
      </c>
      <c r="B781" s="6" t="s">
        <v>1843</v>
      </c>
      <c r="C781" s="4" t="s">
        <v>574</v>
      </c>
      <c r="D781" s="4">
        <v>17</v>
      </c>
      <c r="E781" s="4" t="s">
        <v>1844</v>
      </c>
      <c r="F781" s="4" t="s">
        <v>1848</v>
      </c>
    </row>
    <row r="782" spans="1:6">
      <c r="A782" s="4" t="s">
        <v>1849</v>
      </c>
      <c r="B782" s="6" t="s">
        <v>1850</v>
      </c>
      <c r="C782" s="4" t="s">
        <v>87</v>
      </c>
      <c r="D782" s="4">
        <v>9</v>
      </c>
      <c r="E782" s="4" t="s">
        <v>188</v>
      </c>
    </row>
    <row r="783" spans="1:6">
      <c r="A783" s="4" t="s">
        <v>1851</v>
      </c>
      <c r="B783" s="6" t="s">
        <v>1850</v>
      </c>
      <c r="C783" s="4" t="s">
        <v>1851</v>
      </c>
      <c r="D783" s="4">
        <v>6</v>
      </c>
      <c r="E783" s="4" t="s">
        <v>188</v>
      </c>
      <c r="F783" s="4" t="s">
        <v>1852</v>
      </c>
    </row>
    <row r="784" spans="1:6">
      <c r="A784" s="4" t="s">
        <v>1853</v>
      </c>
      <c r="B784" s="6" t="s">
        <v>1850</v>
      </c>
      <c r="C784" s="4" t="s">
        <v>19</v>
      </c>
      <c r="D784" s="4">
        <v>12</v>
      </c>
      <c r="E784" s="4" t="s">
        <v>188</v>
      </c>
      <c r="F784" s="4" t="s">
        <v>1854</v>
      </c>
    </row>
    <row r="785" spans="1:6">
      <c r="A785" s="4" t="s">
        <v>1855</v>
      </c>
      <c r="B785" s="6" t="s">
        <v>1850</v>
      </c>
      <c r="C785" s="4" t="s">
        <v>34</v>
      </c>
      <c r="D785" s="4">
        <v>12</v>
      </c>
      <c r="E785" s="4" t="s">
        <v>188</v>
      </c>
      <c r="F785" s="4" t="s">
        <v>1856</v>
      </c>
    </row>
    <row r="786" spans="1:6">
      <c r="A786" s="4" t="s">
        <v>1857</v>
      </c>
      <c r="B786" s="6" t="s">
        <v>1850</v>
      </c>
      <c r="C786" s="4" t="s">
        <v>53</v>
      </c>
      <c r="D786" s="4">
        <v>13</v>
      </c>
      <c r="E786" s="4" t="s">
        <v>188</v>
      </c>
    </row>
    <row r="787" spans="1:6">
      <c r="A787" s="4" t="s">
        <v>1858</v>
      </c>
      <c r="B787" s="6" t="s">
        <v>1850</v>
      </c>
      <c r="C787" s="4" t="s">
        <v>104</v>
      </c>
      <c r="D787" s="4">
        <v>9</v>
      </c>
      <c r="E787" s="4" t="s">
        <v>188</v>
      </c>
    </row>
    <row r="788" spans="1:6">
      <c r="A788" s="4" t="s">
        <v>1859</v>
      </c>
      <c r="B788" s="6" t="s">
        <v>1850</v>
      </c>
      <c r="C788" s="4" t="s">
        <v>104</v>
      </c>
      <c r="D788" s="4">
        <v>13</v>
      </c>
      <c r="E788" s="4" t="s">
        <v>188</v>
      </c>
    </row>
    <row r="789" spans="1:6">
      <c r="A789" s="4" t="s">
        <v>1860</v>
      </c>
      <c r="B789" s="6" t="s">
        <v>1850</v>
      </c>
      <c r="C789" s="4" t="s">
        <v>254</v>
      </c>
      <c r="D789" s="4">
        <v>8</v>
      </c>
      <c r="E789" s="4" t="s">
        <v>188</v>
      </c>
    </row>
    <row r="790" spans="1:6">
      <c r="A790" s="4" t="s">
        <v>1861</v>
      </c>
      <c r="B790" s="6" t="s">
        <v>1850</v>
      </c>
      <c r="C790" s="4" t="s">
        <v>76</v>
      </c>
      <c r="D790" s="4">
        <v>14</v>
      </c>
      <c r="E790" s="4" t="s">
        <v>188</v>
      </c>
    </row>
    <row r="791" spans="1:6">
      <c r="A791" s="4" t="s">
        <v>1862</v>
      </c>
      <c r="B791" s="6" t="s">
        <v>1863</v>
      </c>
      <c r="C791" s="4" t="s">
        <v>195</v>
      </c>
      <c r="D791" s="4">
        <v>15</v>
      </c>
      <c r="E791" s="4" t="s">
        <v>188</v>
      </c>
      <c r="F791" s="4" t="s">
        <v>1864</v>
      </c>
    </row>
    <row r="792" spans="1:6">
      <c r="A792" s="4" t="s">
        <v>1865</v>
      </c>
      <c r="B792" s="6" t="s">
        <v>1863</v>
      </c>
      <c r="C792" s="4" t="s">
        <v>76</v>
      </c>
      <c r="D792" s="4">
        <v>11</v>
      </c>
      <c r="E792" s="4" t="s">
        <v>188</v>
      </c>
      <c r="F792" s="4" t="s">
        <v>1866</v>
      </c>
    </row>
    <row r="793" spans="1:6">
      <c r="A793" s="4" t="s">
        <v>1867</v>
      </c>
      <c r="B793" s="6" t="s">
        <v>1863</v>
      </c>
      <c r="C793" s="4" t="s">
        <v>76</v>
      </c>
      <c r="D793" s="4">
        <v>20</v>
      </c>
      <c r="E793" s="4" t="s">
        <v>188</v>
      </c>
    </row>
    <row r="794" spans="1:6">
      <c r="A794" s="4" t="s">
        <v>1868</v>
      </c>
      <c r="B794" s="6" t="s">
        <v>1869</v>
      </c>
      <c r="C794" s="4" t="s">
        <v>49</v>
      </c>
      <c r="D794" s="4">
        <v>16</v>
      </c>
      <c r="E794" s="4" t="s">
        <v>96</v>
      </c>
      <c r="F794" s="4" t="s">
        <v>1870</v>
      </c>
    </row>
    <row r="795" spans="1:6">
      <c r="A795" s="4" t="s">
        <v>1871</v>
      </c>
      <c r="B795" s="6" t="s">
        <v>1869</v>
      </c>
      <c r="C795" s="4" t="s">
        <v>439</v>
      </c>
      <c r="D795" s="4">
        <v>14</v>
      </c>
      <c r="E795" s="4" t="s">
        <v>188</v>
      </c>
      <c r="F795" s="4" t="s">
        <v>1805</v>
      </c>
    </row>
    <row r="796" spans="1:6">
      <c r="A796" s="4" t="s">
        <v>1872</v>
      </c>
      <c r="B796" s="6" t="s">
        <v>1873</v>
      </c>
      <c r="C796" s="4" t="s">
        <v>1872</v>
      </c>
      <c r="D796" s="4">
        <v>17</v>
      </c>
      <c r="E796" s="4" t="s">
        <v>96</v>
      </c>
    </row>
    <row r="797" spans="1:6">
      <c r="A797" s="4" t="s">
        <v>1874</v>
      </c>
      <c r="B797" s="6" t="s">
        <v>1875</v>
      </c>
      <c r="C797" s="4" t="s">
        <v>1876</v>
      </c>
      <c r="D797" s="4">
        <v>18</v>
      </c>
      <c r="E797" s="4" t="s">
        <v>177</v>
      </c>
      <c r="F797" s="4" t="s">
        <v>1877</v>
      </c>
    </row>
    <row r="798" spans="1:6">
      <c r="A798" s="4" t="s">
        <v>1878</v>
      </c>
      <c r="B798" s="6" t="s">
        <v>1879</v>
      </c>
      <c r="C798" s="4" t="s">
        <v>285</v>
      </c>
      <c r="D798" s="4">
        <v>17</v>
      </c>
      <c r="E798" s="4" t="s">
        <v>1244</v>
      </c>
    </row>
    <row r="799" spans="1:6">
      <c r="A799" s="4" t="s">
        <v>1880</v>
      </c>
      <c r="B799" s="6" t="s">
        <v>1881</v>
      </c>
      <c r="C799" s="4" t="s">
        <v>53</v>
      </c>
      <c r="D799" s="4">
        <v>9</v>
      </c>
      <c r="E799" s="4" t="s">
        <v>1710</v>
      </c>
      <c r="F799" s="4" t="s">
        <v>1882</v>
      </c>
    </row>
    <row r="800" spans="1:6">
      <c r="A800" s="4" t="s">
        <v>1883</v>
      </c>
      <c r="B800" s="6" t="s">
        <v>1884</v>
      </c>
      <c r="C800" s="4" t="s">
        <v>1885</v>
      </c>
      <c r="D800" s="4">
        <v>4</v>
      </c>
      <c r="E800" s="4" t="s">
        <v>1844</v>
      </c>
      <c r="F800" s="4" t="s">
        <v>1886</v>
      </c>
    </row>
    <row r="801" spans="1:6">
      <c r="A801" s="4" t="s">
        <v>1887</v>
      </c>
      <c r="B801" s="6" t="s">
        <v>1884</v>
      </c>
      <c r="C801" s="4" t="s">
        <v>37</v>
      </c>
      <c r="D801" s="4">
        <v>13</v>
      </c>
      <c r="E801" s="4" t="s">
        <v>1844</v>
      </c>
      <c r="F801" s="4" t="s">
        <v>1888</v>
      </c>
    </row>
    <row r="802" spans="1:6">
      <c r="A802" s="4" t="s">
        <v>1889</v>
      </c>
      <c r="B802" s="6" t="s">
        <v>1884</v>
      </c>
      <c r="C802" s="4" t="s">
        <v>221</v>
      </c>
      <c r="D802" s="4">
        <v>13</v>
      </c>
      <c r="E802" s="4" t="s">
        <v>1844</v>
      </c>
      <c r="F802" s="4" t="s">
        <v>1890</v>
      </c>
    </row>
    <row r="803" spans="1:6">
      <c r="A803" s="4" t="s">
        <v>1891</v>
      </c>
      <c r="B803" s="6" t="s">
        <v>1892</v>
      </c>
      <c r="C803" s="4" t="s">
        <v>448</v>
      </c>
      <c r="D803" s="4">
        <v>3</v>
      </c>
      <c r="E803" s="4" t="s">
        <v>1844</v>
      </c>
      <c r="F803" s="4" t="s">
        <v>1893</v>
      </c>
    </row>
    <row r="804" spans="1:6">
      <c r="A804" s="4" t="s">
        <v>1894</v>
      </c>
      <c r="B804" s="6" t="s">
        <v>1892</v>
      </c>
      <c r="C804" s="4" t="s">
        <v>1530</v>
      </c>
      <c r="D804" s="4">
        <v>14</v>
      </c>
      <c r="E804" s="4" t="s">
        <v>1844</v>
      </c>
      <c r="F804" s="4" t="s">
        <v>1893</v>
      </c>
    </row>
    <row r="805" spans="1:6">
      <c r="A805" s="4" t="s">
        <v>1895</v>
      </c>
      <c r="B805" s="6" t="s">
        <v>1896</v>
      </c>
      <c r="C805" s="4" t="s">
        <v>1679</v>
      </c>
      <c r="D805" s="4">
        <v>11</v>
      </c>
      <c r="E805" s="4" t="s">
        <v>1601</v>
      </c>
    </row>
    <row r="806" spans="1:6">
      <c r="A806" s="4" t="s">
        <v>1897</v>
      </c>
      <c r="B806" s="6" t="s">
        <v>1896</v>
      </c>
      <c r="C806" s="4" t="s">
        <v>1679</v>
      </c>
      <c r="D806" s="4">
        <v>17</v>
      </c>
      <c r="E806" s="4" t="s">
        <v>1601</v>
      </c>
      <c r="F806" s="4" t="s">
        <v>1898</v>
      </c>
    </row>
    <row r="807" spans="1:6">
      <c r="A807" s="4" t="s">
        <v>1899</v>
      </c>
      <c r="B807" s="6" t="s">
        <v>1900</v>
      </c>
      <c r="C807" s="4" t="s">
        <v>708</v>
      </c>
      <c r="D807" s="4">
        <v>5</v>
      </c>
      <c r="E807" s="4" t="s">
        <v>188</v>
      </c>
      <c r="F807" s="4" t="s">
        <v>1901</v>
      </c>
    </row>
    <row r="808" spans="1:6">
      <c r="A808" s="4" t="s">
        <v>1902</v>
      </c>
      <c r="B808" s="6" t="s">
        <v>1903</v>
      </c>
      <c r="C808" s="4" t="s">
        <v>1569</v>
      </c>
      <c r="D808" s="4">
        <v>6</v>
      </c>
      <c r="E808" s="4" t="s">
        <v>1904</v>
      </c>
      <c r="F808" s="4" t="s">
        <v>1905</v>
      </c>
    </row>
    <row r="809" spans="1:6">
      <c r="A809" s="4" t="s">
        <v>1906</v>
      </c>
      <c r="B809" s="6" t="s">
        <v>1907</v>
      </c>
      <c r="C809" s="4" t="s">
        <v>1282</v>
      </c>
      <c r="D809" s="4">
        <v>10</v>
      </c>
      <c r="E809" s="4" t="s">
        <v>1908</v>
      </c>
      <c r="F809" s="4" t="s">
        <v>1909</v>
      </c>
    </row>
    <row r="810" spans="1:6">
      <c r="A810" s="4" t="s">
        <v>1910</v>
      </c>
      <c r="B810" s="6" t="s">
        <v>1911</v>
      </c>
      <c r="C810" s="4" t="s">
        <v>23</v>
      </c>
      <c r="D810" s="4">
        <v>12</v>
      </c>
      <c r="E810" s="4" t="s">
        <v>1908</v>
      </c>
    </row>
    <row r="811" spans="1:6">
      <c r="A811" s="4" t="s">
        <v>1912</v>
      </c>
      <c r="B811" s="6" t="s">
        <v>1913</v>
      </c>
      <c r="C811" s="4" t="s">
        <v>917</v>
      </c>
      <c r="D811" s="4">
        <v>4</v>
      </c>
      <c r="E811" s="4" t="s">
        <v>1908</v>
      </c>
      <c r="F811" s="4" t="s">
        <v>1914</v>
      </c>
    </row>
    <row r="812" spans="1:6">
      <c r="A812" s="4" t="s">
        <v>1915</v>
      </c>
      <c r="B812" s="6" t="s">
        <v>1916</v>
      </c>
      <c r="C812" s="4" t="s">
        <v>254</v>
      </c>
      <c r="D812" s="4">
        <v>22</v>
      </c>
      <c r="E812" s="4" t="s">
        <v>979</v>
      </c>
    </row>
    <row r="813" spans="1:6">
      <c r="A813" s="4" t="s">
        <v>271</v>
      </c>
      <c r="B813" s="6" t="s">
        <v>1917</v>
      </c>
      <c r="C813" s="4" t="s">
        <v>271</v>
      </c>
      <c r="D813" s="4">
        <v>2</v>
      </c>
      <c r="E813" s="4" t="s">
        <v>1918</v>
      </c>
      <c r="F813" s="4" t="s">
        <v>1919</v>
      </c>
    </row>
    <row r="814" spans="1:6">
      <c r="A814" s="4" t="s">
        <v>1920</v>
      </c>
      <c r="B814" s="6" t="s">
        <v>1921</v>
      </c>
      <c r="C814" s="4" t="s">
        <v>1078</v>
      </c>
      <c r="D814" s="4">
        <v>17</v>
      </c>
      <c r="E814" s="4" t="s">
        <v>1922</v>
      </c>
      <c r="F814" s="4" t="s">
        <v>1923</v>
      </c>
    </row>
    <row r="815" spans="1:6">
      <c r="A815" s="4" t="s">
        <v>1924</v>
      </c>
      <c r="B815" s="6" t="s">
        <v>1925</v>
      </c>
      <c r="C815" s="4" t="s">
        <v>104</v>
      </c>
      <c r="D815" s="4">
        <v>5</v>
      </c>
      <c r="E815" s="4" t="s">
        <v>1908</v>
      </c>
    </row>
    <row r="816" spans="1:6">
      <c r="A816" s="4" t="s">
        <v>1926</v>
      </c>
      <c r="B816" s="6" t="s">
        <v>1927</v>
      </c>
      <c r="C816" s="4" t="s">
        <v>271</v>
      </c>
      <c r="D816" s="4">
        <v>8</v>
      </c>
      <c r="E816" s="4" t="s">
        <v>979</v>
      </c>
      <c r="F816" s="4" t="s">
        <v>1093</v>
      </c>
    </row>
    <row r="817" spans="1:6">
      <c r="A817" s="4" t="s">
        <v>1928</v>
      </c>
      <c r="B817" s="6" t="s">
        <v>1929</v>
      </c>
      <c r="C817" s="4" t="s">
        <v>403</v>
      </c>
      <c r="D817" s="4">
        <v>12</v>
      </c>
      <c r="E817" s="4" t="s">
        <v>979</v>
      </c>
      <c r="F817" s="4" t="s">
        <v>1930</v>
      </c>
    </row>
    <row r="818" spans="1:6">
      <c r="A818" s="4" t="s">
        <v>1931</v>
      </c>
      <c r="B818" s="6" t="s">
        <v>1929</v>
      </c>
      <c r="C818" s="4" t="s">
        <v>34</v>
      </c>
      <c r="D818" s="4">
        <v>12</v>
      </c>
      <c r="E818" s="4" t="s">
        <v>979</v>
      </c>
    </row>
    <row r="819" spans="1:6">
      <c r="A819" s="4" t="s">
        <v>1932</v>
      </c>
      <c r="B819" s="6" t="s">
        <v>1933</v>
      </c>
      <c r="C819" s="4" t="s">
        <v>81</v>
      </c>
      <c r="D819" s="4">
        <v>8</v>
      </c>
      <c r="E819" s="4" t="s">
        <v>1908</v>
      </c>
    </row>
    <row r="820" spans="1:6">
      <c r="A820" s="4" t="s">
        <v>1934</v>
      </c>
      <c r="B820" s="6" t="s">
        <v>1933</v>
      </c>
      <c r="C820" s="4" t="s">
        <v>14</v>
      </c>
      <c r="D820" s="4">
        <v>8</v>
      </c>
      <c r="E820" s="4" t="s">
        <v>1935</v>
      </c>
    </row>
    <row r="821" spans="1:6">
      <c r="A821" s="4" t="s">
        <v>1936</v>
      </c>
      <c r="B821" s="6" t="s">
        <v>1937</v>
      </c>
      <c r="C821" s="4" t="s">
        <v>268</v>
      </c>
      <c r="D821" s="4">
        <v>14</v>
      </c>
      <c r="E821" s="4" t="s">
        <v>1938</v>
      </c>
    </row>
    <row r="822" spans="1:6">
      <c r="A822" s="4" t="s">
        <v>1939</v>
      </c>
      <c r="B822" s="6" t="s">
        <v>1937</v>
      </c>
      <c r="C822" s="4" t="s">
        <v>19</v>
      </c>
      <c r="D822" s="4">
        <v>8</v>
      </c>
      <c r="E822" s="4" t="s">
        <v>1940</v>
      </c>
    </row>
    <row r="823" spans="1:6">
      <c r="A823" s="4" t="s">
        <v>1941</v>
      </c>
      <c r="B823" s="6" t="s">
        <v>1937</v>
      </c>
      <c r="C823" s="4" t="s">
        <v>87</v>
      </c>
      <c r="D823" s="4">
        <v>8</v>
      </c>
      <c r="E823" s="4" t="s">
        <v>1942</v>
      </c>
    </row>
    <row r="824" spans="1:6">
      <c r="A824" s="4" t="s">
        <v>1943</v>
      </c>
      <c r="B824" s="6" t="s">
        <v>1937</v>
      </c>
      <c r="C824" s="4" t="s">
        <v>254</v>
      </c>
      <c r="D824" s="4">
        <v>7</v>
      </c>
      <c r="E824" s="4" t="s">
        <v>1904</v>
      </c>
    </row>
    <row r="825" spans="1:6">
      <c r="A825" s="4" t="s">
        <v>1944</v>
      </c>
      <c r="B825" s="6" t="s">
        <v>1945</v>
      </c>
      <c r="C825" s="4" t="s">
        <v>23</v>
      </c>
      <c r="D825" s="4">
        <v>5</v>
      </c>
      <c r="E825" s="4" t="s">
        <v>1946</v>
      </c>
      <c r="F825" s="4" t="s">
        <v>1947</v>
      </c>
    </row>
    <row r="826" spans="1:6">
      <c r="A826" s="4" t="s">
        <v>1948</v>
      </c>
      <c r="B826" s="6" t="s">
        <v>1945</v>
      </c>
      <c r="C826" s="4" t="s">
        <v>34</v>
      </c>
      <c r="D826" s="4">
        <v>8</v>
      </c>
      <c r="E826" s="4" t="s">
        <v>1946</v>
      </c>
      <c r="F826" s="4" t="s">
        <v>1949</v>
      </c>
    </row>
    <row r="827" spans="1:6">
      <c r="A827" s="4" t="s">
        <v>1950</v>
      </c>
      <c r="B827" s="6" t="s">
        <v>1945</v>
      </c>
      <c r="C827" s="4" t="s">
        <v>34</v>
      </c>
      <c r="D827" s="4">
        <v>17</v>
      </c>
      <c r="E827" s="4" t="s">
        <v>1946</v>
      </c>
      <c r="F827" s="4" t="s">
        <v>1949</v>
      </c>
    </row>
    <row r="828" spans="1:6">
      <c r="A828" s="4" t="s">
        <v>1951</v>
      </c>
      <c r="B828" s="6" t="s">
        <v>1945</v>
      </c>
      <c r="C828" s="4" t="s">
        <v>49</v>
      </c>
      <c r="D828" s="4">
        <v>8</v>
      </c>
      <c r="E828" s="4" t="s">
        <v>1922</v>
      </c>
      <c r="F828" s="4" t="s">
        <v>1952</v>
      </c>
    </row>
    <row r="829" spans="1:6">
      <c r="A829" s="4" t="s">
        <v>1953</v>
      </c>
      <c r="B829" s="6" t="s">
        <v>1945</v>
      </c>
      <c r="C829" s="4" t="s">
        <v>1091</v>
      </c>
      <c r="D829" s="4">
        <v>14</v>
      </c>
      <c r="E829" s="4" t="s">
        <v>1946</v>
      </c>
      <c r="F829" s="4" t="s">
        <v>1947</v>
      </c>
    </row>
    <row r="830" spans="1:6">
      <c r="A830" s="4" t="s">
        <v>1954</v>
      </c>
      <c r="B830" s="6" t="s">
        <v>1955</v>
      </c>
      <c r="C830" s="4" t="s">
        <v>37</v>
      </c>
      <c r="D830" s="4">
        <v>15</v>
      </c>
      <c r="E830" s="4" t="s">
        <v>1956</v>
      </c>
    </row>
    <row r="831" spans="1:6">
      <c r="A831" s="4" t="s">
        <v>1957</v>
      </c>
      <c r="B831" s="6" t="s">
        <v>1955</v>
      </c>
      <c r="C831" s="4" t="s">
        <v>104</v>
      </c>
      <c r="D831" s="4">
        <v>16</v>
      </c>
      <c r="E831" s="4" t="s">
        <v>1958</v>
      </c>
      <c r="F831" s="4" t="s">
        <v>1959</v>
      </c>
    </row>
    <row r="832" spans="1:6">
      <c r="A832" s="4" t="s">
        <v>1960</v>
      </c>
      <c r="B832" s="6" t="s">
        <v>1955</v>
      </c>
      <c r="C832" s="4" t="s">
        <v>76</v>
      </c>
      <c r="D832" s="4">
        <v>13</v>
      </c>
      <c r="E832" s="4" t="s">
        <v>1908</v>
      </c>
    </row>
    <row r="833" spans="1:6">
      <c r="A833" s="4" t="s">
        <v>1961</v>
      </c>
      <c r="B833" s="6" t="s">
        <v>1955</v>
      </c>
      <c r="C833" s="4" t="s">
        <v>27</v>
      </c>
      <c r="D833" s="4">
        <v>19</v>
      </c>
      <c r="E833" s="4" t="s">
        <v>1908</v>
      </c>
      <c r="F833" s="4" t="s">
        <v>1962</v>
      </c>
    </row>
    <row r="834" spans="1:6">
      <c r="A834" s="4" t="s">
        <v>1963</v>
      </c>
      <c r="B834" s="6" t="s">
        <v>1964</v>
      </c>
      <c r="C834" s="4" t="s">
        <v>27</v>
      </c>
      <c r="D834" s="4">
        <v>16</v>
      </c>
      <c r="E834" s="4" t="s">
        <v>1956</v>
      </c>
    </row>
    <row r="835" spans="1:6">
      <c r="A835" s="4" t="s">
        <v>1965</v>
      </c>
      <c r="B835" s="6" t="s">
        <v>1964</v>
      </c>
      <c r="C835" s="4" t="s">
        <v>53</v>
      </c>
      <c r="D835" s="4">
        <v>17</v>
      </c>
      <c r="E835" s="4" t="s">
        <v>1966</v>
      </c>
    </row>
    <row r="836" spans="1:6">
      <c r="A836" s="4" t="s">
        <v>1967</v>
      </c>
      <c r="B836" s="6" t="s">
        <v>1964</v>
      </c>
      <c r="C836" s="4" t="s">
        <v>405</v>
      </c>
      <c r="D836" s="4">
        <v>13</v>
      </c>
      <c r="E836" s="4" t="s">
        <v>1968</v>
      </c>
    </row>
    <row r="837" spans="1:6">
      <c r="A837" s="4" t="s">
        <v>1969</v>
      </c>
      <c r="B837" s="6" t="s">
        <v>1970</v>
      </c>
      <c r="C837" s="4" t="s">
        <v>464</v>
      </c>
      <c r="D837" s="4">
        <v>12</v>
      </c>
      <c r="E837" s="4" t="s">
        <v>1956</v>
      </c>
      <c r="F837" s="4" t="s">
        <v>1971</v>
      </c>
    </row>
    <row r="838" spans="1:6">
      <c r="A838" s="4" t="s">
        <v>1972</v>
      </c>
      <c r="B838" s="6" t="s">
        <v>1970</v>
      </c>
      <c r="C838" s="4" t="s">
        <v>544</v>
      </c>
      <c r="D838" s="4">
        <v>16</v>
      </c>
      <c r="E838" s="4" t="s">
        <v>1908</v>
      </c>
    </row>
    <row r="839" spans="1:6">
      <c r="A839" s="4" t="s">
        <v>1973</v>
      </c>
      <c r="B839" s="6" t="s">
        <v>1970</v>
      </c>
      <c r="C839" s="4" t="s">
        <v>464</v>
      </c>
      <c r="D839" s="4">
        <v>15</v>
      </c>
      <c r="E839" s="4" t="s">
        <v>1956</v>
      </c>
      <c r="F839" s="4" t="s">
        <v>1971</v>
      </c>
    </row>
    <row r="840" spans="1:6">
      <c r="A840" s="4" t="s">
        <v>1974</v>
      </c>
      <c r="B840" s="6" t="s">
        <v>1975</v>
      </c>
      <c r="C840" s="4" t="s">
        <v>275</v>
      </c>
      <c r="D840" s="4">
        <v>9</v>
      </c>
      <c r="E840" s="4" t="s">
        <v>1976</v>
      </c>
      <c r="F840" s="4" t="s">
        <v>1977</v>
      </c>
    </row>
    <row r="841" spans="1:6">
      <c r="A841" s="4" t="s">
        <v>1978</v>
      </c>
      <c r="B841" s="6" t="s">
        <v>1975</v>
      </c>
      <c r="C841" s="4" t="s">
        <v>19</v>
      </c>
      <c r="D841" s="4">
        <v>11</v>
      </c>
      <c r="E841" s="4" t="s">
        <v>979</v>
      </c>
      <c r="F841" s="4" t="s">
        <v>1979</v>
      </c>
    </row>
    <row r="842" spans="1:6">
      <c r="A842" s="4" t="s">
        <v>1980</v>
      </c>
      <c r="B842" s="6" t="s">
        <v>1975</v>
      </c>
      <c r="C842" s="4" t="s">
        <v>53</v>
      </c>
      <c r="D842" s="4">
        <v>10</v>
      </c>
      <c r="E842" s="4" t="s">
        <v>1976</v>
      </c>
      <c r="F842" s="4" t="s">
        <v>281</v>
      </c>
    </row>
    <row r="843" spans="1:6">
      <c r="A843" s="4" t="s">
        <v>1981</v>
      </c>
      <c r="B843" s="6" t="s">
        <v>1975</v>
      </c>
      <c r="C843" s="4" t="s">
        <v>53</v>
      </c>
      <c r="D843" s="4">
        <v>18</v>
      </c>
      <c r="E843" s="4" t="s">
        <v>979</v>
      </c>
    </row>
    <row r="844" spans="1:6">
      <c r="A844" s="4" t="s">
        <v>1982</v>
      </c>
      <c r="B844" s="6" t="s">
        <v>1975</v>
      </c>
      <c r="C844" s="4" t="s">
        <v>34</v>
      </c>
      <c r="D844" s="4">
        <v>11</v>
      </c>
      <c r="E844" s="4" t="s">
        <v>979</v>
      </c>
    </row>
    <row r="845" spans="1:6">
      <c r="A845" s="4" t="s">
        <v>1983</v>
      </c>
      <c r="B845" s="6" t="s">
        <v>1984</v>
      </c>
      <c r="C845" s="4" t="s">
        <v>34</v>
      </c>
      <c r="D845" s="4">
        <v>5</v>
      </c>
      <c r="E845" s="4" t="s">
        <v>1985</v>
      </c>
      <c r="F845" s="4" t="s">
        <v>1986</v>
      </c>
    </row>
    <row r="846" spans="1:6">
      <c r="A846" s="4" t="s">
        <v>1987</v>
      </c>
      <c r="B846" s="6" t="s">
        <v>1988</v>
      </c>
      <c r="C846" s="4" t="s">
        <v>53</v>
      </c>
      <c r="D846" s="4">
        <v>9</v>
      </c>
      <c r="E846" s="4" t="s">
        <v>1989</v>
      </c>
    </row>
    <row r="847" spans="1:6">
      <c r="A847" s="4" t="s">
        <v>1990</v>
      </c>
      <c r="B847" s="6" t="s">
        <v>1991</v>
      </c>
      <c r="C847" s="4" t="s">
        <v>354</v>
      </c>
      <c r="D847" s="4">
        <v>9</v>
      </c>
      <c r="E847" s="4" t="s">
        <v>1908</v>
      </c>
      <c r="F847" s="4" t="s">
        <v>740</v>
      </c>
    </row>
    <row r="848" spans="1:6">
      <c r="A848" s="4" t="s">
        <v>1992</v>
      </c>
      <c r="B848" s="6" t="s">
        <v>1991</v>
      </c>
      <c r="C848" s="4" t="s">
        <v>34</v>
      </c>
      <c r="D848" s="4">
        <v>8</v>
      </c>
      <c r="E848" s="4" t="s">
        <v>1908</v>
      </c>
      <c r="F848" s="4" t="s">
        <v>1993</v>
      </c>
    </row>
    <row r="849" spans="1:6">
      <c r="A849" s="4" t="s">
        <v>1994</v>
      </c>
      <c r="B849" s="6" t="s">
        <v>1991</v>
      </c>
      <c r="C849" s="4" t="s">
        <v>34</v>
      </c>
      <c r="D849" s="4">
        <v>16</v>
      </c>
      <c r="E849" s="4" t="s">
        <v>1908</v>
      </c>
      <c r="F849" s="4" t="s">
        <v>1993</v>
      </c>
    </row>
    <row r="850" spans="1:6">
      <c r="A850" s="4" t="s">
        <v>1995</v>
      </c>
      <c r="B850" s="6" t="s">
        <v>1991</v>
      </c>
      <c r="C850" s="4" t="s">
        <v>81</v>
      </c>
      <c r="D850" s="4">
        <v>16</v>
      </c>
      <c r="E850" s="4" t="s">
        <v>1908</v>
      </c>
    </row>
    <row r="851" spans="1:6">
      <c r="A851" s="4" t="s">
        <v>1996</v>
      </c>
      <c r="B851" s="6" t="s">
        <v>1991</v>
      </c>
      <c r="C851" s="4" t="s">
        <v>76</v>
      </c>
      <c r="D851" s="4">
        <v>10</v>
      </c>
      <c r="E851" s="4" t="s">
        <v>1908</v>
      </c>
    </row>
    <row r="852" spans="1:6">
      <c r="A852" s="4" t="s">
        <v>1997</v>
      </c>
      <c r="B852" s="6" t="s">
        <v>1998</v>
      </c>
      <c r="C852" s="4" t="s">
        <v>37</v>
      </c>
      <c r="D852" s="4">
        <v>15</v>
      </c>
      <c r="E852" s="4" t="s">
        <v>1908</v>
      </c>
    </row>
    <row r="853" spans="1:6">
      <c r="A853" s="4" t="s">
        <v>1999</v>
      </c>
      <c r="B853" s="6" t="s">
        <v>1998</v>
      </c>
      <c r="C853" s="4" t="s">
        <v>254</v>
      </c>
      <c r="D853" s="4">
        <v>7</v>
      </c>
      <c r="E853" s="4" t="s">
        <v>2000</v>
      </c>
      <c r="F853" s="4" t="s">
        <v>2001</v>
      </c>
    </row>
    <row r="854" spans="1:6">
      <c r="A854" s="4" t="s">
        <v>2002</v>
      </c>
      <c r="B854" s="6" t="s">
        <v>1998</v>
      </c>
      <c r="C854" s="4" t="s">
        <v>427</v>
      </c>
      <c r="D854" s="4">
        <v>13</v>
      </c>
      <c r="E854" s="4" t="s">
        <v>2000</v>
      </c>
      <c r="F854" s="4" t="s">
        <v>2003</v>
      </c>
    </row>
    <row r="855" spans="1:6">
      <c r="A855" s="4" t="s">
        <v>2004</v>
      </c>
      <c r="B855" s="6" t="s">
        <v>2005</v>
      </c>
      <c r="C855" s="4" t="s">
        <v>976</v>
      </c>
      <c r="D855" s="4">
        <v>10</v>
      </c>
      <c r="E855" s="4" t="s">
        <v>979</v>
      </c>
    </row>
    <row r="856" spans="1:6">
      <c r="A856" s="4" t="s">
        <v>2006</v>
      </c>
      <c r="B856" s="6" t="s">
        <v>2005</v>
      </c>
      <c r="C856" s="4" t="s">
        <v>140</v>
      </c>
      <c r="D856" s="4">
        <v>20</v>
      </c>
      <c r="E856" s="4" t="s">
        <v>979</v>
      </c>
    </row>
    <row r="857" spans="1:6">
      <c r="A857" s="4" t="s">
        <v>2007</v>
      </c>
      <c r="B857" s="6" t="s">
        <v>2008</v>
      </c>
      <c r="C857" s="4" t="s">
        <v>285</v>
      </c>
      <c r="D857" s="4">
        <v>10</v>
      </c>
      <c r="E857" s="4" t="s">
        <v>979</v>
      </c>
      <c r="F857" s="4" t="s">
        <v>2009</v>
      </c>
    </row>
    <row r="858" spans="1:6">
      <c r="A858" s="4" t="s">
        <v>2010</v>
      </c>
      <c r="B858" s="6" t="s">
        <v>2008</v>
      </c>
      <c r="C858" s="4" t="s">
        <v>254</v>
      </c>
      <c r="D858" s="4">
        <v>10</v>
      </c>
      <c r="E858" s="4" t="s">
        <v>979</v>
      </c>
      <c r="F858" s="4" t="s">
        <v>2011</v>
      </c>
    </row>
    <row r="859" spans="1:6">
      <c r="A859" s="4" t="s">
        <v>2012</v>
      </c>
      <c r="B859" s="6" t="s">
        <v>2008</v>
      </c>
      <c r="C859" s="4" t="s">
        <v>34</v>
      </c>
      <c r="D859" s="4">
        <v>13</v>
      </c>
      <c r="E859" s="4" t="s">
        <v>979</v>
      </c>
      <c r="F859" s="4" t="s">
        <v>483</v>
      </c>
    </row>
    <row r="860" spans="1:6">
      <c r="A860" s="4" t="s">
        <v>2013</v>
      </c>
      <c r="B860" s="6" t="s">
        <v>2008</v>
      </c>
      <c r="C860" s="4" t="s">
        <v>34</v>
      </c>
      <c r="D860" s="4">
        <v>17</v>
      </c>
      <c r="E860" s="4" t="s">
        <v>979</v>
      </c>
    </row>
    <row r="861" spans="1:6">
      <c r="A861" s="4" t="s">
        <v>2014</v>
      </c>
      <c r="B861" s="6" t="s">
        <v>2008</v>
      </c>
      <c r="C861" s="4" t="s">
        <v>285</v>
      </c>
      <c r="D861" s="4">
        <v>14</v>
      </c>
      <c r="E861" s="4" t="s">
        <v>979</v>
      </c>
      <c r="F861" s="4" t="s">
        <v>2009</v>
      </c>
    </row>
    <row r="862" spans="1:6">
      <c r="A862" s="4" t="s">
        <v>2015</v>
      </c>
      <c r="B862" s="6" t="s">
        <v>2008</v>
      </c>
      <c r="C862" s="4" t="s">
        <v>285</v>
      </c>
      <c r="D862" s="4">
        <v>14</v>
      </c>
      <c r="E862" s="4" t="s">
        <v>979</v>
      </c>
      <c r="F862" s="4" t="s">
        <v>2009</v>
      </c>
    </row>
    <row r="863" spans="1:6">
      <c r="A863" s="4" t="s">
        <v>2016</v>
      </c>
      <c r="B863" s="6" t="s">
        <v>2017</v>
      </c>
      <c r="C863" s="4" t="s">
        <v>275</v>
      </c>
      <c r="D863" s="4">
        <v>11</v>
      </c>
      <c r="E863" s="4" t="s">
        <v>2018</v>
      </c>
    </row>
    <row r="864" spans="1:6">
      <c r="A864" s="4" t="s">
        <v>2019</v>
      </c>
      <c r="B864" s="6" t="s">
        <v>2017</v>
      </c>
      <c r="C864" s="4" t="s">
        <v>81</v>
      </c>
      <c r="D864" s="4">
        <v>9</v>
      </c>
      <c r="E864" s="4" t="s">
        <v>1922</v>
      </c>
      <c r="F864" s="4" t="s">
        <v>2020</v>
      </c>
    </row>
    <row r="865" spans="1:6">
      <c r="A865" s="4" t="s">
        <v>2021</v>
      </c>
      <c r="B865" s="6" t="s">
        <v>2017</v>
      </c>
      <c r="C865" s="4" t="s">
        <v>351</v>
      </c>
      <c r="D865" s="4">
        <v>9</v>
      </c>
      <c r="E865" s="4" t="s">
        <v>1922</v>
      </c>
      <c r="F865" s="4" t="s">
        <v>2022</v>
      </c>
    </row>
    <row r="866" spans="1:6">
      <c r="A866" s="4" t="s">
        <v>2023</v>
      </c>
      <c r="B866" s="6" t="s">
        <v>2017</v>
      </c>
      <c r="C866" s="4" t="s">
        <v>544</v>
      </c>
      <c r="D866" s="4">
        <v>9</v>
      </c>
      <c r="E866" s="4" t="s">
        <v>2024</v>
      </c>
      <c r="F866" s="4" t="s">
        <v>2025</v>
      </c>
    </row>
    <row r="867" spans="1:6">
      <c r="A867" s="4" t="s">
        <v>2026</v>
      </c>
      <c r="B867" s="6" t="s">
        <v>2027</v>
      </c>
      <c r="C867" s="4" t="s">
        <v>45</v>
      </c>
      <c r="D867" s="4">
        <v>8</v>
      </c>
      <c r="E867" s="4" t="s">
        <v>979</v>
      </c>
    </row>
    <row r="868" spans="1:6">
      <c r="A868" s="4" t="s">
        <v>2028</v>
      </c>
      <c r="B868" s="6" t="s">
        <v>2027</v>
      </c>
      <c r="C868" s="4" t="s">
        <v>49</v>
      </c>
      <c r="D868" s="4">
        <v>15</v>
      </c>
      <c r="E868" s="4" t="s">
        <v>979</v>
      </c>
    </row>
    <row r="869" spans="1:6">
      <c r="A869" s="4" t="s">
        <v>2029</v>
      </c>
      <c r="B869" s="6" t="s">
        <v>2030</v>
      </c>
      <c r="C869" s="4" t="s">
        <v>223</v>
      </c>
      <c r="D869" s="4">
        <v>12</v>
      </c>
      <c r="E869" s="4" t="s">
        <v>1922</v>
      </c>
      <c r="F869" s="4" t="s">
        <v>2031</v>
      </c>
    </row>
    <row r="870" spans="1:6">
      <c r="A870" s="4" t="s">
        <v>2032</v>
      </c>
      <c r="B870" s="6" t="s">
        <v>2030</v>
      </c>
      <c r="C870" s="4" t="s">
        <v>254</v>
      </c>
      <c r="D870" s="4">
        <v>5</v>
      </c>
      <c r="E870" s="4" t="s">
        <v>2033</v>
      </c>
      <c r="F870" s="4" t="s">
        <v>2034</v>
      </c>
    </row>
    <row r="871" spans="1:6">
      <c r="A871" s="4" t="s">
        <v>121</v>
      </c>
      <c r="B871" s="6" t="s">
        <v>2030</v>
      </c>
      <c r="C871" s="4" t="s">
        <v>121</v>
      </c>
      <c r="D871" s="4">
        <v>3</v>
      </c>
      <c r="E871" s="4" t="s">
        <v>1946</v>
      </c>
      <c r="F871" s="4" t="s">
        <v>2035</v>
      </c>
    </row>
    <row r="872" spans="1:6">
      <c r="A872" s="4" t="s">
        <v>2036</v>
      </c>
      <c r="B872" s="6" t="s">
        <v>2030</v>
      </c>
      <c r="C872" s="4" t="s">
        <v>140</v>
      </c>
      <c r="D872" s="4">
        <v>16</v>
      </c>
      <c r="E872" s="4" t="s">
        <v>1922</v>
      </c>
      <c r="F872" s="4" t="s">
        <v>2037</v>
      </c>
    </row>
    <row r="873" spans="1:6">
      <c r="A873" s="4" t="s">
        <v>2038</v>
      </c>
      <c r="B873" s="6" t="s">
        <v>2039</v>
      </c>
      <c r="C873" s="4" t="s">
        <v>87</v>
      </c>
      <c r="D873" s="4">
        <v>11</v>
      </c>
      <c r="E873" s="4" t="s">
        <v>1908</v>
      </c>
      <c r="F873" s="4" t="s">
        <v>2040</v>
      </c>
    </row>
    <row r="874" spans="1:6">
      <c r="A874" s="4" t="s">
        <v>2041</v>
      </c>
      <c r="B874" s="6" t="s">
        <v>2039</v>
      </c>
      <c r="C874" s="4" t="s">
        <v>23</v>
      </c>
      <c r="D874" s="4">
        <v>11</v>
      </c>
      <c r="E874" s="4" t="s">
        <v>1908</v>
      </c>
    </row>
    <row r="875" spans="1:6">
      <c r="A875" s="4" t="s">
        <v>2042</v>
      </c>
      <c r="B875" s="6" t="s">
        <v>2039</v>
      </c>
      <c r="C875" s="4" t="s">
        <v>87</v>
      </c>
      <c r="D875" s="4">
        <v>16</v>
      </c>
      <c r="E875" s="4" t="s">
        <v>1908</v>
      </c>
    </row>
    <row r="876" spans="1:6">
      <c r="A876" s="4" t="s">
        <v>2043</v>
      </c>
      <c r="B876" s="6" t="s">
        <v>2044</v>
      </c>
      <c r="C876" s="4" t="s">
        <v>81</v>
      </c>
      <c r="D876" s="4">
        <v>15</v>
      </c>
      <c r="E876" s="4" t="s">
        <v>1908</v>
      </c>
      <c r="F876" s="4" t="s">
        <v>2045</v>
      </c>
    </row>
    <row r="877" spans="1:6">
      <c r="A877" s="4" t="s">
        <v>2046</v>
      </c>
      <c r="B877" s="6" t="s">
        <v>2047</v>
      </c>
      <c r="C877" s="4" t="s">
        <v>342</v>
      </c>
      <c r="D877" s="4">
        <v>11</v>
      </c>
      <c r="E877" s="4" t="s">
        <v>979</v>
      </c>
      <c r="F877" s="4" t="s">
        <v>2048</v>
      </c>
    </row>
    <row r="878" spans="1:6">
      <c r="A878" s="4" t="s">
        <v>2049</v>
      </c>
      <c r="B878" s="6" t="s">
        <v>2047</v>
      </c>
      <c r="C878" s="4" t="s">
        <v>458</v>
      </c>
      <c r="D878" s="4">
        <v>14</v>
      </c>
      <c r="E878" s="4" t="s">
        <v>979</v>
      </c>
      <c r="F878" s="4" t="s">
        <v>2050</v>
      </c>
    </row>
    <row r="879" spans="1:6">
      <c r="A879" s="4" t="s">
        <v>2051</v>
      </c>
      <c r="B879" s="6" t="s">
        <v>2047</v>
      </c>
      <c r="C879" s="4" t="s">
        <v>275</v>
      </c>
      <c r="D879" s="4">
        <v>12</v>
      </c>
      <c r="E879" s="4" t="s">
        <v>2052</v>
      </c>
      <c r="F879" s="4" t="s">
        <v>2053</v>
      </c>
    </row>
    <row r="880" spans="1:6">
      <c r="A880" s="4" t="s">
        <v>2054</v>
      </c>
      <c r="B880" s="6" t="s">
        <v>2047</v>
      </c>
      <c r="C880" s="4" t="s">
        <v>1180</v>
      </c>
      <c r="D880" s="4">
        <v>15</v>
      </c>
      <c r="E880" s="4" t="s">
        <v>2055</v>
      </c>
      <c r="F880" s="4" t="s">
        <v>2056</v>
      </c>
    </row>
    <row r="881" spans="1:6">
      <c r="A881" s="4" t="s">
        <v>2057</v>
      </c>
      <c r="B881" s="6" t="s">
        <v>2058</v>
      </c>
      <c r="C881" s="4" t="s">
        <v>439</v>
      </c>
      <c r="D881" s="4">
        <v>15</v>
      </c>
      <c r="E881" s="4" t="s">
        <v>979</v>
      </c>
      <c r="F881" s="4" t="s">
        <v>2059</v>
      </c>
    </row>
    <row r="882" spans="1:6">
      <c r="A882" s="4" t="s">
        <v>2060</v>
      </c>
      <c r="B882" s="6" t="s">
        <v>2058</v>
      </c>
      <c r="C882" s="4" t="s">
        <v>87</v>
      </c>
      <c r="D882" s="4">
        <v>8</v>
      </c>
      <c r="E882" s="4" t="s">
        <v>979</v>
      </c>
      <c r="F882" s="4" t="s">
        <v>2061</v>
      </c>
    </row>
    <row r="883" spans="1:6">
      <c r="A883" s="4" t="s">
        <v>2062</v>
      </c>
      <c r="B883" s="6" t="s">
        <v>2063</v>
      </c>
      <c r="C883" s="4" t="s">
        <v>275</v>
      </c>
      <c r="D883" s="4">
        <v>12</v>
      </c>
      <c r="E883" s="4" t="s">
        <v>2064</v>
      </c>
      <c r="F883" s="4" t="s">
        <v>1027</v>
      </c>
    </row>
    <row r="884" spans="1:6">
      <c r="A884" s="4" t="s">
        <v>2065</v>
      </c>
      <c r="B884" s="6" t="s">
        <v>2063</v>
      </c>
      <c r="C884" s="4" t="s">
        <v>34</v>
      </c>
      <c r="D884" s="4">
        <v>16</v>
      </c>
      <c r="E884" s="4" t="s">
        <v>2064</v>
      </c>
    </row>
    <row r="885" spans="1:6">
      <c r="A885" s="4" t="s">
        <v>2066</v>
      </c>
      <c r="B885" s="6" t="s">
        <v>2067</v>
      </c>
      <c r="C885" s="4" t="s">
        <v>976</v>
      </c>
      <c r="D885" s="4">
        <v>11</v>
      </c>
      <c r="E885" s="4" t="s">
        <v>2068</v>
      </c>
      <c r="F885" s="4" t="s">
        <v>2069</v>
      </c>
    </row>
    <row r="886" spans="1:6">
      <c r="A886" s="4" t="s">
        <v>2070</v>
      </c>
      <c r="B886" s="6" t="s">
        <v>2071</v>
      </c>
      <c r="C886" s="4" t="s">
        <v>110</v>
      </c>
      <c r="D886" s="4">
        <v>18</v>
      </c>
      <c r="E886" s="4" t="s">
        <v>979</v>
      </c>
      <c r="F886" s="4" t="s">
        <v>2072</v>
      </c>
    </row>
    <row r="887" spans="1:6">
      <c r="A887" s="4" t="s">
        <v>992</v>
      </c>
      <c r="B887" s="6" t="s">
        <v>2071</v>
      </c>
      <c r="C887" s="4" t="s">
        <v>992</v>
      </c>
      <c r="D887" s="4">
        <v>4</v>
      </c>
      <c r="E887" s="4" t="s">
        <v>2068</v>
      </c>
    </row>
    <row r="888" spans="1:6">
      <c r="A888" s="4" t="s">
        <v>2073</v>
      </c>
      <c r="B888" s="6" t="s">
        <v>2074</v>
      </c>
      <c r="C888" s="4" t="s">
        <v>221</v>
      </c>
      <c r="D888" s="4">
        <v>16</v>
      </c>
      <c r="E888" s="4" t="s">
        <v>2075</v>
      </c>
      <c r="F888" s="4" t="s">
        <v>2076</v>
      </c>
    </row>
    <row r="889" spans="1:6">
      <c r="A889" s="4" t="s">
        <v>2077</v>
      </c>
      <c r="B889" s="6" t="s">
        <v>2074</v>
      </c>
      <c r="C889" s="4" t="s">
        <v>34</v>
      </c>
      <c r="D889" s="4">
        <v>7</v>
      </c>
      <c r="E889" s="4" t="s">
        <v>2078</v>
      </c>
      <c r="F889" s="4" t="s">
        <v>2079</v>
      </c>
    </row>
    <row r="890" spans="1:6">
      <c r="A890" s="4" t="s">
        <v>405</v>
      </c>
      <c r="B890" s="6" t="s">
        <v>2074</v>
      </c>
      <c r="C890" s="4" t="s">
        <v>405</v>
      </c>
      <c r="D890" s="4">
        <v>2</v>
      </c>
      <c r="E890" s="4" t="s">
        <v>979</v>
      </c>
    </row>
    <row r="891" spans="1:6">
      <c r="A891" s="4" t="s">
        <v>2080</v>
      </c>
      <c r="B891" s="6" t="s">
        <v>2081</v>
      </c>
      <c r="C891" s="4" t="s">
        <v>34</v>
      </c>
      <c r="D891" s="4">
        <v>7</v>
      </c>
      <c r="E891" s="4" t="s">
        <v>1918</v>
      </c>
    </row>
    <row r="892" spans="1:6">
      <c r="A892" s="4" t="s">
        <v>2082</v>
      </c>
      <c r="B892" s="6" t="s">
        <v>2081</v>
      </c>
      <c r="C892" s="4" t="s">
        <v>427</v>
      </c>
      <c r="D892" s="4">
        <v>10</v>
      </c>
      <c r="E892" s="4" t="s">
        <v>2068</v>
      </c>
    </row>
    <row r="893" spans="1:6">
      <c r="A893" s="4" t="s">
        <v>2083</v>
      </c>
      <c r="B893" s="6" t="s">
        <v>2084</v>
      </c>
      <c r="C893" s="4" t="s">
        <v>76</v>
      </c>
      <c r="D893" s="4">
        <v>12</v>
      </c>
      <c r="E893" s="4" t="s">
        <v>2078</v>
      </c>
    </row>
    <row r="894" spans="1:6">
      <c r="A894" s="4" t="s">
        <v>2085</v>
      </c>
      <c r="B894" s="6" t="s">
        <v>2084</v>
      </c>
      <c r="C894" s="4" t="s">
        <v>2085</v>
      </c>
      <c r="D894" s="4">
        <v>7</v>
      </c>
      <c r="E894" s="4" t="s">
        <v>2086</v>
      </c>
      <c r="F894" s="4" t="s">
        <v>2087</v>
      </c>
    </row>
    <row r="895" spans="1:6">
      <c r="A895" s="4" t="s">
        <v>2088</v>
      </c>
      <c r="B895" s="6" t="s">
        <v>2089</v>
      </c>
      <c r="C895" s="4" t="s">
        <v>686</v>
      </c>
      <c r="D895" s="4">
        <v>6</v>
      </c>
      <c r="E895" s="4" t="s">
        <v>2090</v>
      </c>
      <c r="F895" s="4" t="s">
        <v>2091</v>
      </c>
    </row>
    <row r="896" spans="1:6">
      <c r="A896" s="4" t="s">
        <v>2092</v>
      </c>
      <c r="B896" s="6" t="s">
        <v>2089</v>
      </c>
      <c r="C896" s="4" t="s">
        <v>324</v>
      </c>
      <c r="D896" s="4">
        <v>12</v>
      </c>
      <c r="E896" s="4" t="s">
        <v>2068</v>
      </c>
      <c r="F896" s="4" t="s">
        <v>2093</v>
      </c>
    </row>
    <row r="897" spans="1:6">
      <c r="A897" s="4" t="s">
        <v>2094</v>
      </c>
      <c r="B897" s="6" t="s">
        <v>2089</v>
      </c>
      <c r="C897" s="4" t="s">
        <v>686</v>
      </c>
      <c r="D897" s="4">
        <v>16</v>
      </c>
      <c r="E897" s="4" t="s">
        <v>2095</v>
      </c>
      <c r="F897" s="4" t="s">
        <v>1854</v>
      </c>
    </row>
    <row r="898" spans="1:6">
      <c r="A898" s="4" t="s">
        <v>2096</v>
      </c>
      <c r="B898" s="6" t="s">
        <v>2089</v>
      </c>
      <c r="C898" s="4" t="s">
        <v>285</v>
      </c>
      <c r="D898" s="4">
        <v>15</v>
      </c>
      <c r="E898" s="4" t="s">
        <v>979</v>
      </c>
    </row>
    <row r="899" spans="1:6">
      <c r="A899" s="4" t="s">
        <v>2097</v>
      </c>
      <c r="B899" s="6" t="s">
        <v>2098</v>
      </c>
      <c r="C899" s="4" t="s">
        <v>351</v>
      </c>
      <c r="D899" s="4">
        <v>11</v>
      </c>
      <c r="E899" s="4" t="s">
        <v>2099</v>
      </c>
      <c r="F899" s="4" t="s">
        <v>2100</v>
      </c>
    </row>
    <row r="900" spans="1:6">
      <c r="A900" s="4" t="s">
        <v>2101</v>
      </c>
      <c r="B900" s="6" t="s">
        <v>2102</v>
      </c>
      <c r="C900" s="4" t="s">
        <v>37</v>
      </c>
      <c r="D900" s="4">
        <v>17</v>
      </c>
      <c r="E900" s="4" t="s">
        <v>979</v>
      </c>
    </row>
    <row r="901" spans="1:6">
      <c r="A901" s="4" t="s">
        <v>2103</v>
      </c>
      <c r="B901" s="6" t="s">
        <v>2102</v>
      </c>
      <c r="C901" s="4" t="s">
        <v>268</v>
      </c>
      <c r="D901" s="4">
        <v>20</v>
      </c>
      <c r="E901" s="4" t="s">
        <v>979</v>
      </c>
    </row>
    <row r="902" spans="1:6">
      <c r="A902" s="4" t="s">
        <v>2104</v>
      </c>
      <c r="B902" s="6" t="s">
        <v>2102</v>
      </c>
      <c r="C902" s="4" t="s">
        <v>49</v>
      </c>
      <c r="D902" s="4">
        <v>18</v>
      </c>
      <c r="E902" s="4" t="s">
        <v>979</v>
      </c>
      <c r="F902" s="4" t="s">
        <v>2105</v>
      </c>
    </row>
    <row r="903" spans="1:6">
      <c r="A903" s="4" t="s">
        <v>2106</v>
      </c>
      <c r="B903" s="6" t="s">
        <v>2107</v>
      </c>
      <c r="C903" s="4" t="s">
        <v>403</v>
      </c>
      <c r="D903" s="4">
        <v>12</v>
      </c>
      <c r="E903" s="4" t="s">
        <v>979</v>
      </c>
      <c r="F903" s="4" t="s">
        <v>2108</v>
      </c>
    </row>
    <row r="904" spans="1:6">
      <c r="A904" s="4" t="s">
        <v>2109</v>
      </c>
      <c r="B904" s="6" t="s">
        <v>2110</v>
      </c>
      <c r="C904" s="4" t="s">
        <v>2111</v>
      </c>
      <c r="D904" s="4">
        <v>10</v>
      </c>
      <c r="E904" s="4" t="s">
        <v>2112</v>
      </c>
    </row>
    <row r="905" spans="1:6">
      <c r="A905" s="4" t="s">
        <v>2113</v>
      </c>
      <c r="B905" s="6" t="s">
        <v>2114</v>
      </c>
    </row>
    <row r="906" spans="1:6">
      <c r="A906" s="4" t="s">
        <v>2115</v>
      </c>
      <c r="B906" s="6" t="s">
        <v>2116</v>
      </c>
      <c r="C906" s="4" t="s">
        <v>285</v>
      </c>
      <c r="D906" s="4">
        <v>9</v>
      </c>
      <c r="F906" s="4" t="s">
        <v>2117</v>
      </c>
    </row>
    <row r="907" spans="1:6">
      <c r="A907" s="4" t="s">
        <v>2118</v>
      </c>
      <c r="B907" s="6" t="s">
        <v>2116</v>
      </c>
      <c r="C907" s="4" t="s">
        <v>27</v>
      </c>
      <c r="D907" s="4">
        <v>9</v>
      </c>
      <c r="F907" s="4" t="s">
        <v>2119</v>
      </c>
    </row>
    <row r="908" spans="1:6">
      <c r="A908" s="4" t="s">
        <v>2120</v>
      </c>
      <c r="B908" s="6" t="s">
        <v>2121</v>
      </c>
      <c r="C908" s="4" t="s">
        <v>254</v>
      </c>
      <c r="D908" s="4">
        <v>7</v>
      </c>
      <c r="E908" s="4" t="s">
        <v>2122</v>
      </c>
      <c r="F908" s="4" t="s">
        <v>2123</v>
      </c>
    </row>
    <row r="909" spans="1:6">
      <c r="A909" s="4" t="s">
        <v>2124</v>
      </c>
      <c r="B909" s="6" t="s">
        <v>2121</v>
      </c>
      <c r="C909" s="4" t="s">
        <v>27</v>
      </c>
      <c r="D909" s="4">
        <v>12</v>
      </c>
      <c r="E909" s="4" t="s">
        <v>2122</v>
      </c>
      <c r="F909" s="4" t="s">
        <v>2125</v>
      </c>
    </row>
    <row r="910" spans="1:6">
      <c r="A910" s="4" t="s">
        <v>2126</v>
      </c>
      <c r="B910" s="6" t="s">
        <v>2121</v>
      </c>
      <c r="C910" s="4" t="s">
        <v>81</v>
      </c>
      <c r="D910" s="4">
        <v>10</v>
      </c>
      <c r="E910" s="4" t="s">
        <v>2127</v>
      </c>
    </row>
    <row r="911" spans="1:6">
      <c r="A911" s="4" t="s">
        <v>2128</v>
      </c>
      <c r="B911" s="6" t="s">
        <v>2129</v>
      </c>
      <c r="C911" s="4" t="s">
        <v>301</v>
      </c>
      <c r="D911" s="4">
        <v>15</v>
      </c>
      <c r="E911" s="4" t="s">
        <v>2122</v>
      </c>
      <c r="F911" s="4" t="s">
        <v>2130</v>
      </c>
    </row>
    <row r="912" spans="1:6">
      <c r="A912" s="4" t="s">
        <v>2131</v>
      </c>
      <c r="B912" s="6" t="s">
        <v>2129</v>
      </c>
      <c r="C912" s="4" t="s">
        <v>238</v>
      </c>
      <c r="D912" s="4">
        <v>9</v>
      </c>
      <c r="E912" s="4" t="s">
        <v>2122</v>
      </c>
      <c r="F912" s="4" t="s">
        <v>2132</v>
      </c>
    </row>
    <row r="913" spans="1:6">
      <c r="A913" s="4" t="s">
        <v>2133</v>
      </c>
      <c r="B913" s="6" t="s">
        <v>2129</v>
      </c>
      <c r="C913" s="4" t="s">
        <v>53</v>
      </c>
      <c r="D913" s="4">
        <v>9</v>
      </c>
      <c r="E913" s="4" t="s">
        <v>2122</v>
      </c>
    </row>
    <row r="914" spans="1:6">
      <c r="A914" s="4" t="s">
        <v>2134</v>
      </c>
      <c r="B914" s="6" t="s">
        <v>2129</v>
      </c>
      <c r="C914" s="4" t="s">
        <v>23</v>
      </c>
      <c r="D914" s="4">
        <v>18</v>
      </c>
      <c r="E914" s="4" t="s">
        <v>2122</v>
      </c>
    </row>
    <row r="915" spans="1:6">
      <c r="A915" s="4" t="s">
        <v>2135</v>
      </c>
      <c r="B915" s="6" t="s">
        <v>2129</v>
      </c>
      <c r="C915" s="4" t="s">
        <v>23</v>
      </c>
      <c r="D915" s="4">
        <v>17</v>
      </c>
      <c r="E915" s="4" t="s">
        <v>2122</v>
      </c>
    </row>
    <row r="916" spans="1:6">
      <c r="A916" s="4" t="s">
        <v>2136</v>
      </c>
      <c r="B916" s="6" t="s">
        <v>2137</v>
      </c>
      <c r="C916" s="4" t="s">
        <v>34</v>
      </c>
      <c r="D916" s="4">
        <v>12</v>
      </c>
      <c r="E916" s="4" t="s">
        <v>2127</v>
      </c>
      <c r="F916" s="4" t="s">
        <v>2138</v>
      </c>
    </row>
    <row r="917" spans="1:6">
      <c r="A917" s="4" t="s">
        <v>2139</v>
      </c>
      <c r="B917" s="6" t="s">
        <v>2137</v>
      </c>
      <c r="C917" s="4" t="s">
        <v>221</v>
      </c>
      <c r="D917" s="4">
        <v>18</v>
      </c>
      <c r="E917" s="4" t="s">
        <v>2033</v>
      </c>
    </row>
    <row r="918" spans="1:6">
      <c r="A918" s="4" t="s">
        <v>2140</v>
      </c>
      <c r="B918" s="6" t="s">
        <v>2137</v>
      </c>
      <c r="C918" s="4" t="s">
        <v>23</v>
      </c>
      <c r="D918" s="4">
        <v>12</v>
      </c>
      <c r="E918" s="4" t="s">
        <v>2122</v>
      </c>
      <c r="F918" s="4" t="s">
        <v>2141</v>
      </c>
    </row>
    <row r="919" spans="1:6">
      <c r="A919" s="4" t="s">
        <v>2142</v>
      </c>
      <c r="B919" s="6" t="s">
        <v>2143</v>
      </c>
      <c r="C919" s="4" t="s">
        <v>179</v>
      </c>
      <c r="D919" s="4">
        <v>8</v>
      </c>
      <c r="E919" s="4" t="s">
        <v>2122</v>
      </c>
      <c r="F919" s="4" t="s">
        <v>2144</v>
      </c>
    </row>
    <row r="920" spans="1:6">
      <c r="A920" s="4" t="s">
        <v>2145</v>
      </c>
      <c r="B920" s="6" t="s">
        <v>2143</v>
      </c>
      <c r="C920" s="4" t="s">
        <v>41</v>
      </c>
      <c r="D920" s="4">
        <v>8</v>
      </c>
      <c r="E920" s="4" t="s">
        <v>2122</v>
      </c>
      <c r="F920" s="4" t="s">
        <v>2146</v>
      </c>
    </row>
    <row r="921" spans="1:6">
      <c r="A921" s="4" t="s">
        <v>2147</v>
      </c>
      <c r="B921" s="6" t="s">
        <v>2143</v>
      </c>
      <c r="C921" s="4" t="s">
        <v>34</v>
      </c>
      <c r="D921" s="4">
        <v>8</v>
      </c>
      <c r="E921" s="4" t="s">
        <v>2122</v>
      </c>
    </row>
    <row r="922" spans="1:6">
      <c r="A922" s="4" t="s">
        <v>2148</v>
      </c>
      <c r="B922" s="6" t="s">
        <v>2149</v>
      </c>
      <c r="C922" s="4" t="s">
        <v>403</v>
      </c>
      <c r="D922" s="4">
        <v>11</v>
      </c>
      <c r="E922" s="4" t="s">
        <v>2033</v>
      </c>
    </row>
    <row r="923" spans="1:6">
      <c r="A923" s="4" t="s">
        <v>2150</v>
      </c>
      <c r="B923" s="6" t="s">
        <v>2149</v>
      </c>
      <c r="C923" s="4" t="s">
        <v>275</v>
      </c>
      <c r="D923" s="4">
        <v>10</v>
      </c>
      <c r="E923" s="4" t="s">
        <v>2122</v>
      </c>
    </row>
    <row r="924" spans="1:6">
      <c r="A924" s="4" t="s">
        <v>2151</v>
      </c>
      <c r="B924" s="6" t="s">
        <v>2149</v>
      </c>
      <c r="C924" s="4" t="s">
        <v>464</v>
      </c>
      <c r="D924" s="4">
        <v>7</v>
      </c>
      <c r="E924" s="4" t="s">
        <v>2127</v>
      </c>
      <c r="F924" s="4" t="s">
        <v>2152</v>
      </c>
    </row>
    <row r="925" spans="1:6">
      <c r="A925" s="4" t="s">
        <v>2153</v>
      </c>
      <c r="B925" s="6" t="s">
        <v>2154</v>
      </c>
      <c r="C925" s="4" t="s">
        <v>254</v>
      </c>
      <c r="D925" s="4">
        <v>9</v>
      </c>
      <c r="F925" s="4" t="s">
        <v>2155</v>
      </c>
    </row>
    <row r="926" spans="1:6">
      <c r="A926" s="4" t="s">
        <v>2156</v>
      </c>
      <c r="B926" s="6" t="s">
        <v>2157</v>
      </c>
      <c r="C926" s="4" t="s">
        <v>76</v>
      </c>
      <c r="D926" s="4">
        <v>24</v>
      </c>
      <c r="E926" s="4" t="s">
        <v>1183</v>
      </c>
    </row>
    <row r="927" spans="1:6">
      <c r="A927" s="4" t="s">
        <v>2158</v>
      </c>
      <c r="B927" s="6" t="s">
        <v>2157</v>
      </c>
      <c r="C927" s="4" t="s">
        <v>285</v>
      </c>
      <c r="D927" s="4">
        <v>22</v>
      </c>
      <c r="E927" s="4" t="s">
        <v>1183</v>
      </c>
    </row>
    <row r="928" spans="1:6">
      <c r="A928" s="4" t="s">
        <v>2159</v>
      </c>
      <c r="B928" s="6" t="s">
        <v>2160</v>
      </c>
      <c r="C928" s="4" t="s">
        <v>143</v>
      </c>
      <c r="D928" s="4">
        <v>11</v>
      </c>
      <c r="E928" s="4" t="s">
        <v>2161</v>
      </c>
      <c r="F928" s="4" t="s">
        <v>2162</v>
      </c>
    </row>
    <row r="929" spans="1:6">
      <c r="A929" s="4" t="s">
        <v>2163</v>
      </c>
      <c r="B929" s="6" t="s">
        <v>2160</v>
      </c>
      <c r="C929" s="4" t="s">
        <v>1129</v>
      </c>
      <c r="D929" s="4">
        <v>19</v>
      </c>
      <c r="E929" s="4" t="s">
        <v>2161</v>
      </c>
      <c r="F929" s="4" t="s">
        <v>2164</v>
      </c>
    </row>
    <row r="930" spans="1:6">
      <c r="A930" s="4" t="s">
        <v>2165</v>
      </c>
      <c r="B930" s="6" t="s">
        <v>2160</v>
      </c>
      <c r="C930" s="4" t="s">
        <v>427</v>
      </c>
      <c r="D930" s="4">
        <v>14</v>
      </c>
      <c r="E930" s="4" t="s">
        <v>2161</v>
      </c>
      <c r="F930" s="4" t="s">
        <v>2166</v>
      </c>
    </row>
    <row r="931" spans="1:6">
      <c r="A931" s="4" t="s">
        <v>2167</v>
      </c>
      <c r="B931" s="6" t="s">
        <v>2160</v>
      </c>
      <c r="C931" s="4" t="s">
        <v>254</v>
      </c>
      <c r="D931" s="4">
        <v>8</v>
      </c>
      <c r="E931" s="4" t="s">
        <v>2168</v>
      </c>
    </row>
    <row r="932" spans="1:6">
      <c r="A932" s="4" t="s">
        <v>2169</v>
      </c>
      <c r="B932" s="6" t="s">
        <v>2160</v>
      </c>
      <c r="C932" s="4" t="s">
        <v>470</v>
      </c>
      <c r="D932" s="4">
        <v>10</v>
      </c>
      <c r="E932" s="4" t="s">
        <v>2161</v>
      </c>
      <c r="F932" s="4" t="s">
        <v>2170</v>
      </c>
    </row>
    <row r="933" spans="1:6">
      <c r="A933" s="4" t="s">
        <v>2171</v>
      </c>
      <c r="B933" s="6" t="s">
        <v>2172</v>
      </c>
      <c r="C933" s="4" t="s">
        <v>41</v>
      </c>
      <c r="D933" s="4">
        <v>8</v>
      </c>
      <c r="E933" s="4" t="s">
        <v>1183</v>
      </c>
      <c r="F933" s="4" t="s">
        <v>2173</v>
      </c>
    </row>
    <row r="934" spans="1:6">
      <c r="A934" s="4" t="s">
        <v>2174</v>
      </c>
      <c r="B934" s="6" t="s">
        <v>2175</v>
      </c>
      <c r="C934" s="4" t="s">
        <v>76</v>
      </c>
      <c r="D934" s="4">
        <v>18</v>
      </c>
      <c r="E934" s="4" t="s">
        <v>2176</v>
      </c>
    </row>
    <row r="935" spans="1:6">
      <c r="A935" s="4" t="s">
        <v>2177</v>
      </c>
      <c r="B935" s="6" t="s">
        <v>2178</v>
      </c>
      <c r="C935" s="4" t="s">
        <v>315</v>
      </c>
      <c r="D935" s="4">
        <v>11</v>
      </c>
      <c r="E935" s="4" t="s">
        <v>2161</v>
      </c>
      <c r="F935" s="4" t="s">
        <v>2179</v>
      </c>
    </row>
    <row r="936" spans="1:6">
      <c r="A936" s="4" t="s">
        <v>2180</v>
      </c>
      <c r="B936" s="6" t="s">
        <v>2178</v>
      </c>
      <c r="C936" s="4" t="s">
        <v>23</v>
      </c>
      <c r="D936" s="4">
        <v>6</v>
      </c>
      <c r="E936" s="4" t="s">
        <v>2161</v>
      </c>
      <c r="F936" s="4" t="s">
        <v>2181</v>
      </c>
    </row>
    <row r="937" spans="1:6">
      <c r="A937" s="4" t="s">
        <v>2182</v>
      </c>
      <c r="B937" s="6" t="s">
        <v>2183</v>
      </c>
      <c r="C937" s="4" t="s">
        <v>464</v>
      </c>
      <c r="D937" s="4">
        <v>4</v>
      </c>
      <c r="E937" s="4" t="s">
        <v>2161</v>
      </c>
      <c r="F937" s="4" t="s">
        <v>2184</v>
      </c>
    </row>
    <row r="938" spans="1:6">
      <c r="A938" s="4" t="s">
        <v>2185</v>
      </c>
      <c r="B938" s="6" t="s">
        <v>2186</v>
      </c>
      <c r="C938" s="4" t="s">
        <v>81</v>
      </c>
      <c r="D938" s="4">
        <v>9</v>
      </c>
      <c r="E938" s="4" t="s">
        <v>1183</v>
      </c>
    </row>
    <row r="939" spans="1:6">
      <c r="A939" s="4" t="s">
        <v>420</v>
      </c>
      <c r="B939" s="6" t="s">
        <v>2187</v>
      </c>
      <c r="C939" s="4" t="s">
        <v>420</v>
      </c>
      <c r="D939" s="4">
        <v>5</v>
      </c>
      <c r="E939" s="4" t="s">
        <v>2188</v>
      </c>
      <c r="F939" s="4" t="s">
        <v>2189</v>
      </c>
    </row>
    <row r="940" spans="1:6">
      <c r="A940" s="4" t="s">
        <v>2190</v>
      </c>
      <c r="B940" s="6" t="s">
        <v>2187</v>
      </c>
      <c r="C940" s="4" t="s">
        <v>315</v>
      </c>
      <c r="D940" s="4">
        <v>13</v>
      </c>
      <c r="E940" s="4" t="s">
        <v>2191</v>
      </c>
    </row>
    <row r="941" spans="1:6">
      <c r="A941" s="4" t="s">
        <v>2192</v>
      </c>
      <c r="B941" s="6" t="s">
        <v>2187</v>
      </c>
      <c r="C941" s="4" t="s">
        <v>254</v>
      </c>
      <c r="D941" s="4">
        <v>7</v>
      </c>
      <c r="E941" s="4" t="s">
        <v>2191</v>
      </c>
    </row>
    <row r="942" spans="1:6">
      <c r="A942" s="4" t="s">
        <v>2193</v>
      </c>
      <c r="B942" s="6" t="s">
        <v>2187</v>
      </c>
      <c r="C942" s="4" t="s">
        <v>27</v>
      </c>
      <c r="D942" s="4">
        <v>13</v>
      </c>
      <c r="E942" s="4" t="s">
        <v>1183</v>
      </c>
    </row>
    <row r="943" spans="1:6">
      <c r="A943" s="4" t="s">
        <v>2194</v>
      </c>
      <c r="B943" s="6" t="s">
        <v>2195</v>
      </c>
      <c r="C943" s="4" t="s">
        <v>37</v>
      </c>
      <c r="D943" s="4">
        <v>15</v>
      </c>
      <c r="E943" s="4" t="s">
        <v>2161</v>
      </c>
      <c r="F943" s="4" t="s">
        <v>2196</v>
      </c>
    </row>
    <row r="944" spans="1:6">
      <c r="A944" s="4" t="s">
        <v>2197</v>
      </c>
      <c r="B944" s="6" t="s">
        <v>2195</v>
      </c>
      <c r="C944" s="4" t="s">
        <v>53</v>
      </c>
      <c r="D944" s="4">
        <v>7</v>
      </c>
      <c r="E944" s="4" t="s">
        <v>1253</v>
      </c>
    </row>
    <row r="945" spans="1:6">
      <c r="A945" s="4" t="s">
        <v>2198</v>
      </c>
      <c r="B945" s="6" t="s">
        <v>2195</v>
      </c>
      <c r="C945" s="4" t="s">
        <v>49</v>
      </c>
      <c r="D945" s="4">
        <v>14</v>
      </c>
      <c r="E945" s="4" t="s">
        <v>2161</v>
      </c>
      <c r="F945" s="4" t="s">
        <v>2199</v>
      </c>
    </row>
    <row r="946" spans="1:6">
      <c r="A946" s="4" t="s">
        <v>2200</v>
      </c>
      <c r="B946" s="6" t="s">
        <v>2195</v>
      </c>
      <c r="C946" s="4" t="s">
        <v>92</v>
      </c>
      <c r="D946" s="4">
        <v>20</v>
      </c>
      <c r="E946" s="4" t="s">
        <v>2168</v>
      </c>
    </row>
    <row r="947" spans="1:6">
      <c r="A947" s="4" t="s">
        <v>2201</v>
      </c>
      <c r="B947" s="6" t="s">
        <v>2195</v>
      </c>
      <c r="C947" s="4" t="s">
        <v>53</v>
      </c>
      <c r="D947" s="4">
        <v>11</v>
      </c>
      <c r="E947" s="4" t="s">
        <v>1253</v>
      </c>
    </row>
    <row r="948" spans="1:6">
      <c r="A948" s="4" t="s">
        <v>2202</v>
      </c>
      <c r="B948" s="6" t="s">
        <v>2203</v>
      </c>
      <c r="C948" s="4" t="s">
        <v>686</v>
      </c>
      <c r="D948" s="4">
        <v>9</v>
      </c>
      <c r="E948" s="4" t="s">
        <v>1183</v>
      </c>
    </row>
    <row r="949" spans="1:6">
      <c r="A949" s="4" t="s">
        <v>2204</v>
      </c>
      <c r="B949" s="6" t="s">
        <v>2203</v>
      </c>
      <c r="C949" s="4" t="s">
        <v>140</v>
      </c>
      <c r="D949" s="4">
        <v>17</v>
      </c>
      <c r="E949" s="4" t="s">
        <v>1183</v>
      </c>
    </row>
    <row r="950" spans="1:6">
      <c r="A950" s="4" t="s">
        <v>2205</v>
      </c>
      <c r="B950" s="6" t="s">
        <v>2206</v>
      </c>
      <c r="C950" s="4" t="s">
        <v>317</v>
      </c>
      <c r="D950" s="4">
        <v>8</v>
      </c>
      <c r="E950" s="4" t="s">
        <v>1183</v>
      </c>
    </row>
    <row r="951" spans="1:6">
      <c r="A951" s="4" t="s">
        <v>132</v>
      </c>
      <c r="B951" s="6" t="s">
        <v>2207</v>
      </c>
      <c r="C951" s="4" t="s">
        <v>132</v>
      </c>
      <c r="D951" s="4">
        <v>11</v>
      </c>
      <c r="E951" s="4" t="s">
        <v>2161</v>
      </c>
      <c r="F951" s="4" t="s">
        <v>931</v>
      </c>
    </row>
    <row r="952" spans="1:6">
      <c r="A952" s="4" t="s">
        <v>2208</v>
      </c>
      <c r="B952" s="6" t="s">
        <v>2209</v>
      </c>
      <c r="C952" s="4" t="s">
        <v>544</v>
      </c>
      <c r="D952" s="4">
        <v>9</v>
      </c>
      <c r="E952" s="4" t="s">
        <v>1183</v>
      </c>
    </row>
    <row r="953" spans="1:6">
      <c r="A953" s="4" t="s">
        <v>2210</v>
      </c>
      <c r="B953" s="6" t="s">
        <v>2211</v>
      </c>
      <c r="C953" s="4" t="s">
        <v>163</v>
      </c>
      <c r="D953" s="4">
        <v>13</v>
      </c>
      <c r="E953" s="4" t="s">
        <v>2188</v>
      </c>
      <c r="F953" s="4" t="s">
        <v>2212</v>
      </c>
    </row>
    <row r="954" spans="1:6">
      <c r="A954" s="4" t="s">
        <v>2213</v>
      </c>
      <c r="B954" s="6" t="s">
        <v>2211</v>
      </c>
      <c r="C954" s="4" t="s">
        <v>63</v>
      </c>
      <c r="D954" s="4">
        <v>13</v>
      </c>
      <c r="E954" s="4" t="s">
        <v>2176</v>
      </c>
    </row>
    <row r="955" spans="1:6">
      <c r="A955" s="4" t="s">
        <v>2214</v>
      </c>
      <c r="B955" s="6" t="s">
        <v>2211</v>
      </c>
      <c r="C955" s="4" t="s">
        <v>121</v>
      </c>
      <c r="D955" s="4">
        <v>12</v>
      </c>
      <c r="E955" s="4" t="s">
        <v>1183</v>
      </c>
    </row>
    <row r="956" spans="1:6">
      <c r="A956" s="4" t="s">
        <v>2215</v>
      </c>
      <c r="B956" s="6" t="s">
        <v>2216</v>
      </c>
      <c r="C956" s="4" t="s">
        <v>420</v>
      </c>
      <c r="D956" s="4">
        <v>12</v>
      </c>
      <c r="E956" s="4" t="s">
        <v>1253</v>
      </c>
      <c r="F956" s="4" t="s">
        <v>2217</v>
      </c>
    </row>
    <row r="957" spans="1:6">
      <c r="A957" s="4" t="s">
        <v>2218</v>
      </c>
      <c r="B957" s="6" t="s">
        <v>2216</v>
      </c>
      <c r="C957" s="4" t="s">
        <v>37</v>
      </c>
      <c r="D957" s="4">
        <v>16</v>
      </c>
      <c r="E957" s="4" t="s">
        <v>2161</v>
      </c>
    </row>
    <row r="958" spans="1:6">
      <c r="A958" s="4" t="s">
        <v>2219</v>
      </c>
      <c r="B958" s="6" t="s">
        <v>2216</v>
      </c>
      <c r="C958" s="4" t="s">
        <v>427</v>
      </c>
      <c r="D958" s="4">
        <v>15</v>
      </c>
      <c r="E958" s="4" t="s">
        <v>2161</v>
      </c>
    </row>
    <row r="959" spans="1:6">
      <c r="A959" s="4" t="s">
        <v>2220</v>
      </c>
      <c r="B959" s="6" t="s">
        <v>2216</v>
      </c>
      <c r="C959" s="4" t="s">
        <v>23</v>
      </c>
      <c r="D959" s="4">
        <v>12</v>
      </c>
      <c r="E959" s="4" t="s">
        <v>2161</v>
      </c>
      <c r="F959" s="4" t="s">
        <v>2221</v>
      </c>
    </row>
    <row r="960" spans="1:6">
      <c r="A960" s="4" t="s">
        <v>2222</v>
      </c>
      <c r="B960" s="6" t="s">
        <v>2223</v>
      </c>
      <c r="C960" s="4" t="s">
        <v>275</v>
      </c>
      <c r="D960" s="4">
        <v>8</v>
      </c>
      <c r="E960" s="4" t="s">
        <v>1101</v>
      </c>
    </row>
    <row r="961" spans="1:6">
      <c r="A961" s="4" t="s">
        <v>2224</v>
      </c>
      <c r="B961" s="6" t="s">
        <v>2223</v>
      </c>
      <c r="C961" s="4" t="s">
        <v>427</v>
      </c>
      <c r="D961" s="4">
        <v>12</v>
      </c>
      <c r="E961" s="4" t="s">
        <v>2225</v>
      </c>
      <c r="F961" s="4" t="s">
        <v>2226</v>
      </c>
    </row>
    <row r="962" spans="1:6">
      <c r="A962" s="4" t="s">
        <v>2227</v>
      </c>
      <c r="B962" s="6" t="s">
        <v>2223</v>
      </c>
      <c r="C962" s="4" t="s">
        <v>14</v>
      </c>
      <c r="D962" s="4">
        <v>9</v>
      </c>
      <c r="E962" s="4" t="s">
        <v>1101</v>
      </c>
      <c r="F962" s="4" t="s">
        <v>2228</v>
      </c>
    </row>
    <row r="963" spans="1:6">
      <c r="A963" s="4" t="s">
        <v>2229</v>
      </c>
      <c r="B963" s="6" t="s">
        <v>2230</v>
      </c>
      <c r="C963" s="4" t="s">
        <v>81</v>
      </c>
      <c r="D963" s="4">
        <v>11</v>
      </c>
      <c r="E963" s="4" t="s">
        <v>979</v>
      </c>
      <c r="F963" s="4" t="s">
        <v>2231</v>
      </c>
    </row>
    <row r="964" spans="1:6">
      <c r="A964" s="4" t="s">
        <v>2232</v>
      </c>
      <c r="B964" s="6" t="s">
        <v>2233</v>
      </c>
      <c r="C964" s="4" t="s">
        <v>34</v>
      </c>
      <c r="D964" s="4">
        <v>11</v>
      </c>
      <c r="E964" s="4" t="s">
        <v>2234</v>
      </c>
    </row>
    <row r="965" spans="1:6">
      <c r="A965" s="4" t="s">
        <v>2235</v>
      </c>
      <c r="B965" s="6" t="s">
        <v>2236</v>
      </c>
      <c r="C965" s="4" t="s">
        <v>420</v>
      </c>
      <c r="D965" s="4">
        <v>7</v>
      </c>
      <c r="E965" s="4" t="s">
        <v>2237</v>
      </c>
      <c r="F965" s="4" t="s">
        <v>2238</v>
      </c>
    </row>
    <row r="966" spans="1:6">
      <c r="A966" s="4" t="s">
        <v>2239</v>
      </c>
      <c r="B966" s="6" t="s">
        <v>2236</v>
      </c>
      <c r="C966" s="4" t="s">
        <v>448</v>
      </c>
      <c r="D966" s="4">
        <v>2</v>
      </c>
      <c r="E966" s="4" t="s">
        <v>2237</v>
      </c>
      <c r="F966" s="4" t="s">
        <v>2240</v>
      </c>
    </row>
    <row r="967" spans="1:6">
      <c r="A967" s="4" t="s">
        <v>2241</v>
      </c>
      <c r="B967" s="6" t="s">
        <v>2236</v>
      </c>
      <c r="C967" s="4" t="s">
        <v>315</v>
      </c>
      <c r="D967" s="4">
        <v>10</v>
      </c>
      <c r="E967" s="4" t="s">
        <v>2237</v>
      </c>
      <c r="F967" s="4" t="s">
        <v>2242</v>
      </c>
    </row>
    <row r="968" spans="1:6">
      <c r="A968" s="4" t="s">
        <v>2243</v>
      </c>
      <c r="B968" s="6" t="s">
        <v>2236</v>
      </c>
      <c r="C968" s="4" t="s">
        <v>76</v>
      </c>
      <c r="D968" s="4">
        <v>7</v>
      </c>
      <c r="E968" s="4" t="s">
        <v>2237</v>
      </c>
    </row>
    <row r="969" spans="1:6">
      <c r="A969" s="4" t="s">
        <v>2244</v>
      </c>
      <c r="B969" s="6" t="s">
        <v>2236</v>
      </c>
      <c r="C969" s="4" t="s">
        <v>87</v>
      </c>
      <c r="D969" s="4">
        <v>5</v>
      </c>
      <c r="E969" s="4" t="s">
        <v>2122</v>
      </c>
      <c r="F969" s="4" t="s">
        <v>2245</v>
      </c>
    </row>
    <row r="970" spans="1:6">
      <c r="A970" s="4" t="s">
        <v>2246</v>
      </c>
      <c r="B970" s="6" t="s">
        <v>2236</v>
      </c>
      <c r="C970" s="4" t="s">
        <v>23</v>
      </c>
      <c r="D970" s="4">
        <v>5</v>
      </c>
      <c r="E970" s="4" t="s">
        <v>2122</v>
      </c>
    </row>
    <row r="971" spans="1:6">
      <c r="A971" s="4" t="s">
        <v>2247</v>
      </c>
      <c r="B971" s="6" t="s">
        <v>2248</v>
      </c>
      <c r="C971" s="4" t="s">
        <v>279</v>
      </c>
      <c r="D971" s="4">
        <v>8</v>
      </c>
      <c r="E971" s="4" t="s">
        <v>1705</v>
      </c>
      <c r="F971" s="4" t="s">
        <v>2249</v>
      </c>
    </row>
    <row r="972" spans="1:6">
      <c r="A972" s="4" t="s">
        <v>2250</v>
      </c>
      <c r="B972" s="6" t="s">
        <v>2248</v>
      </c>
      <c r="C972" s="4" t="s">
        <v>14</v>
      </c>
      <c r="D972" s="4">
        <v>14</v>
      </c>
      <c r="E972" s="4" t="s">
        <v>2251</v>
      </c>
    </row>
    <row r="973" spans="1:6">
      <c r="A973" s="4" t="s">
        <v>2252</v>
      </c>
      <c r="B973" s="6" t="s">
        <v>2253</v>
      </c>
      <c r="C973" s="4" t="s">
        <v>37</v>
      </c>
      <c r="D973" s="4">
        <v>9</v>
      </c>
      <c r="E973" s="4" t="s">
        <v>2122</v>
      </c>
    </row>
    <row r="974" spans="1:6">
      <c r="A974" s="4" t="s">
        <v>2254</v>
      </c>
      <c r="B974" s="6" t="s">
        <v>2255</v>
      </c>
      <c r="C974" s="4" t="s">
        <v>231</v>
      </c>
      <c r="D974" s="4">
        <v>13</v>
      </c>
      <c r="E974" s="4" t="s">
        <v>2122</v>
      </c>
    </row>
    <row r="975" spans="1:6">
      <c r="A975" s="4" t="s">
        <v>2256</v>
      </c>
      <c r="B975" s="6" t="s">
        <v>2255</v>
      </c>
      <c r="C975" s="4" t="s">
        <v>405</v>
      </c>
      <c r="D975" s="4">
        <v>9</v>
      </c>
      <c r="E975" s="4" t="s">
        <v>2122</v>
      </c>
    </row>
    <row r="976" spans="1:6">
      <c r="A976" s="4" t="s">
        <v>2257</v>
      </c>
      <c r="B976" s="6" t="s">
        <v>2255</v>
      </c>
      <c r="C976" s="4" t="s">
        <v>254</v>
      </c>
      <c r="D976" s="4">
        <v>11</v>
      </c>
      <c r="E976" s="4" t="s">
        <v>2122</v>
      </c>
      <c r="F976" s="4" t="s">
        <v>409</v>
      </c>
    </row>
    <row r="977" spans="1:6">
      <c r="A977" s="4" t="s">
        <v>2258</v>
      </c>
      <c r="B977" s="6" t="s">
        <v>2255</v>
      </c>
      <c r="C977" s="4" t="s">
        <v>41</v>
      </c>
      <c r="D977" s="4">
        <v>10</v>
      </c>
      <c r="E977" s="4" t="s">
        <v>2259</v>
      </c>
      <c r="F977" s="4" t="s">
        <v>2260</v>
      </c>
    </row>
    <row r="978" spans="1:6">
      <c r="A978" s="4" t="s">
        <v>2261</v>
      </c>
      <c r="B978" s="6" t="s">
        <v>2255</v>
      </c>
      <c r="C978" s="4" t="s">
        <v>1591</v>
      </c>
      <c r="D978" s="4">
        <v>7</v>
      </c>
      <c r="E978" s="4" t="s">
        <v>2122</v>
      </c>
    </row>
    <row r="979" spans="1:6">
      <c r="A979" s="4" t="s">
        <v>2262</v>
      </c>
      <c r="B979" s="6" t="s">
        <v>2263</v>
      </c>
      <c r="C979" s="4" t="s">
        <v>2262</v>
      </c>
      <c r="D979" s="4">
        <v>13</v>
      </c>
      <c r="E979" s="4" t="s">
        <v>2122</v>
      </c>
      <c r="F979" s="4" t="s">
        <v>2264</v>
      </c>
    </row>
    <row r="980" spans="1:6">
      <c r="A980" s="4" t="s">
        <v>2265</v>
      </c>
      <c r="B980" s="6" t="s">
        <v>2266</v>
      </c>
      <c r="C980" s="4" t="s">
        <v>221</v>
      </c>
      <c r="D980" s="4">
        <v>11</v>
      </c>
      <c r="E980" s="4" t="s">
        <v>2237</v>
      </c>
      <c r="F980" s="4" t="s">
        <v>2267</v>
      </c>
    </row>
    <row r="981" spans="1:6">
      <c r="A981" s="4" t="s">
        <v>2268</v>
      </c>
      <c r="B981" s="6" t="s">
        <v>2269</v>
      </c>
      <c r="C981" s="4" t="s">
        <v>315</v>
      </c>
      <c r="D981" s="4">
        <v>16</v>
      </c>
      <c r="E981" s="4" t="s">
        <v>2270</v>
      </c>
    </row>
    <row r="982" spans="1:6">
      <c r="A982" s="4" t="s">
        <v>2271</v>
      </c>
      <c r="B982" s="6" t="s">
        <v>2269</v>
      </c>
      <c r="C982" s="4" t="s">
        <v>34</v>
      </c>
      <c r="D982" s="4">
        <v>10</v>
      </c>
      <c r="E982" s="4" t="s">
        <v>2272</v>
      </c>
    </row>
    <row r="983" spans="1:6">
      <c r="A983" s="4" t="s">
        <v>2273</v>
      </c>
      <c r="B983" s="6" t="s">
        <v>2269</v>
      </c>
      <c r="C983" s="4" t="s">
        <v>53</v>
      </c>
      <c r="D983" s="4">
        <v>11</v>
      </c>
      <c r="E983" s="4" t="s">
        <v>2272</v>
      </c>
      <c r="F983" s="4" t="s">
        <v>2274</v>
      </c>
    </row>
    <row r="984" spans="1:6">
      <c r="A984" s="4" t="s">
        <v>2275</v>
      </c>
      <c r="B984" s="6" t="s">
        <v>2276</v>
      </c>
      <c r="C984" s="4" t="s">
        <v>27</v>
      </c>
      <c r="D984" s="4">
        <v>6</v>
      </c>
      <c r="E984" s="4" t="s">
        <v>2277</v>
      </c>
    </row>
    <row r="985" spans="1:6">
      <c r="A985" s="4" t="s">
        <v>2278</v>
      </c>
      <c r="B985" s="6" t="s">
        <v>2279</v>
      </c>
      <c r="C985" s="4" t="s">
        <v>403</v>
      </c>
      <c r="D985" s="4">
        <v>11</v>
      </c>
      <c r="E985" s="4" t="s">
        <v>1705</v>
      </c>
      <c r="F985" s="4" t="s">
        <v>2280</v>
      </c>
    </row>
    <row r="986" spans="1:6">
      <c r="A986" s="4" t="s">
        <v>2281</v>
      </c>
      <c r="B986" s="6" t="s">
        <v>2279</v>
      </c>
      <c r="C986" s="4" t="s">
        <v>1328</v>
      </c>
      <c r="D986" s="4">
        <v>15</v>
      </c>
      <c r="E986" s="4" t="s">
        <v>1705</v>
      </c>
      <c r="F986" s="4" t="s">
        <v>2282</v>
      </c>
    </row>
    <row r="987" spans="1:6">
      <c r="A987" s="4" t="s">
        <v>2283</v>
      </c>
      <c r="B987" s="6" t="s">
        <v>2279</v>
      </c>
      <c r="C987" s="4" t="s">
        <v>275</v>
      </c>
      <c r="D987" s="4">
        <v>9</v>
      </c>
      <c r="E987" s="4" t="s">
        <v>1705</v>
      </c>
    </row>
    <row r="988" spans="1:6">
      <c r="A988" s="4" t="s">
        <v>2284</v>
      </c>
      <c r="B988" s="6" t="s">
        <v>2279</v>
      </c>
      <c r="C988" s="4" t="s">
        <v>1591</v>
      </c>
      <c r="D988" s="4">
        <v>8</v>
      </c>
      <c r="E988" s="4" t="s">
        <v>1705</v>
      </c>
    </row>
    <row r="989" spans="1:6">
      <c r="A989" s="4" t="s">
        <v>2285</v>
      </c>
      <c r="B989" s="6" t="s">
        <v>2286</v>
      </c>
      <c r="C989" s="4" t="s">
        <v>45</v>
      </c>
      <c r="D989" s="4">
        <v>8</v>
      </c>
      <c r="E989" s="4" t="s">
        <v>2270</v>
      </c>
      <c r="F989" s="4" t="s">
        <v>2287</v>
      </c>
    </row>
    <row r="990" spans="1:6">
      <c r="A990" s="4" t="s">
        <v>2288</v>
      </c>
      <c r="B990" s="6" t="s">
        <v>2286</v>
      </c>
      <c r="C990" s="4" t="s">
        <v>34</v>
      </c>
      <c r="D990" s="4">
        <v>11</v>
      </c>
      <c r="E990" s="4" t="s">
        <v>1253</v>
      </c>
      <c r="F990" s="4" t="s">
        <v>2289</v>
      </c>
    </row>
    <row r="991" spans="1:6">
      <c r="A991" s="4" t="s">
        <v>2290</v>
      </c>
      <c r="B991" s="6" t="s">
        <v>2291</v>
      </c>
      <c r="C991" s="4" t="s">
        <v>870</v>
      </c>
      <c r="D991" s="4">
        <v>14</v>
      </c>
      <c r="E991" s="4" t="s">
        <v>1908</v>
      </c>
      <c r="F991" s="4" t="s">
        <v>2292</v>
      </c>
    </row>
    <row r="992" spans="1:6">
      <c r="A992" s="4" t="s">
        <v>2293</v>
      </c>
      <c r="B992" s="6" t="s">
        <v>2294</v>
      </c>
      <c r="C992" s="4" t="s">
        <v>976</v>
      </c>
      <c r="D992" s="4">
        <v>7</v>
      </c>
      <c r="E992" s="4" t="s">
        <v>1938</v>
      </c>
    </row>
    <row r="993" spans="1:6">
      <c r="A993" s="4" t="s">
        <v>2295</v>
      </c>
      <c r="B993" s="6" t="s">
        <v>2296</v>
      </c>
      <c r="C993" s="4" t="s">
        <v>1335</v>
      </c>
      <c r="D993" s="4">
        <v>6</v>
      </c>
      <c r="E993" s="4" t="s">
        <v>1956</v>
      </c>
    </row>
    <row r="994" spans="1:6">
      <c r="A994" s="4" t="s">
        <v>2297</v>
      </c>
      <c r="B994" s="6" t="s">
        <v>2296</v>
      </c>
      <c r="C994" s="4" t="s">
        <v>34</v>
      </c>
      <c r="D994" s="4">
        <v>14</v>
      </c>
      <c r="E994" s="4" t="s">
        <v>1908</v>
      </c>
    </row>
    <row r="995" spans="1:6">
      <c r="A995" s="4" t="s">
        <v>2298</v>
      </c>
      <c r="B995" s="6" t="s">
        <v>2296</v>
      </c>
      <c r="C995" s="4" t="s">
        <v>1335</v>
      </c>
      <c r="D995" s="4">
        <v>14</v>
      </c>
      <c r="E995" s="4" t="s">
        <v>1956</v>
      </c>
    </row>
    <row r="996" spans="1:6">
      <c r="A996" s="4" t="s">
        <v>2299</v>
      </c>
      <c r="B996" s="6" t="s">
        <v>2300</v>
      </c>
      <c r="C996" s="4" t="s">
        <v>315</v>
      </c>
      <c r="D996" s="4">
        <v>17</v>
      </c>
      <c r="E996" s="4" t="s">
        <v>1908</v>
      </c>
      <c r="F996" s="4" t="s">
        <v>2301</v>
      </c>
    </row>
    <row r="997" spans="1:6">
      <c r="A997" s="4" t="s">
        <v>2302</v>
      </c>
      <c r="B997" s="6" t="s">
        <v>2303</v>
      </c>
      <c r="C997" s="4" t="s">
        <v>1433</v>
      </c>
      <c r="D997" s="4">
        <v>12</v>
      </c>
      <c r="E997" s="4" t="s">
        <v>1908</v>
      </c>
      <c r="F997" s="4" t="s">
        <v>2304</v>
      </c>
    </row>
    <row r="998" spans="1:6">
      <c r="A998" s="4" t="s">
        <v>2305</v>
      </c>
      <c r="B998" s="6" t="s">
        <v>2306</v>
      </c>
      <c r="C998" s="4" t="s">
        <v>163</v>
      </c>
      <c r="D998" s="4">
        <v>9</v>
      </c>
      <c r="E998" s="4" t="s">
        <v>1966</v>
      </c>
    </row>
    <row r="999" spans="1:6">
      <c r="A999" s="4" t="s">
        <v>2307</v>
      </c>
      <c r="B999" s="6" t="s">
        <v>2308</v>
      </c>
      <c r="C999" s="4" t="s">
        <v>876</v>
      </c>
      <c r="D999" s="4">
        <v>11</v>
      </c>
      <c r="E999" s="4" t="s">
        <v>1956</v>
      </c>
      <c r="F999" s="4" t="s">
        <v>2309</v>
      </c>
    </row>
    <row r="1000" spans="1:6">
      <c r="A1000" s="4" t="s">
        <v>2310</v>
      </c>
      <c r="B1000" s="6" t="s">
        <v>2308</v>
      </c>
      <c r="C1000" s="4" t="s">
        <v>876</v>
      </c>
      <c r="D1000" s="4">
        <v>18</v>
      </c>
      <c r="E1000" s="4" t="s">
        <v>1956</v>
      </c>
      <c r="F1000" s="4" t="s">
        <v>2309</v>
      </c>
    </row>
    <row r="1001" spans="1:6">
      <c r="A1001" s="4" t="s">
        <v>2311</v>
      </c>
      <c r="B1001" s="6" t="s">
        <v>2312</v>
      </c>
      <c r="C1001" s="4" t="s">
        <v>1180</v>
      </c>
      <c r="D1001" s="4">
        <v>11</v>
      </c>
      <c r="E1001" s="4" t="s">
        <v>2313</v>
      </c>
      <c r="F1001" s="4" t="s">
        <v>2314</v>
      </c>
    </row>
    <row r="1002" spans="1:6">
      <c r="A1002" s="4" t="s">
        <v>2315</v>
      </c>
      <c r="B1002" s="6" t="s">
        <v>2316</v>
      </c>
      <c r="C1002" s="4" t="s">
        <v>53</v>
      </c>
      <c r="D1002" s="4">
        <v>6</v>
      </c>
      <c r="E1002" s="4" t="s">
        <v>1942</v>
      </c>
    </row>
    <row r="1003" spans="1:6">
      <c r="A1003" s="4" t="s">
        <v>2317</v>
      </c>
      <c r="B1003" s="6" t="s">
        <v>2316</v>
      </c>
      <c r="C1003" s="4" t="s">
        <v>1403</v>
      </c>
      <c r="D1003" s="4">
        <v>13</v>
      </c>
      <c r="E1003" s="4" t="s">
        <v>1904</v>
      </c>
      <c r="F1003" s="4" t="s">
        <v>2318</v>
      </c>
    </row>
    <row r="1004" spans="1:6">
      <c r="A1004" s="4" t="s">
        <v>2319</v>
      </c>
      <c r="B1004" s="6" t="s">
        <v>2320</v>
      </c>
      <c r="C1004" s="4" t="s">
        <v>27</v>
      </c>
      <c r="D1004" s="4">
        <v>12</v>
      </c>
      <c r="E1004" s="4" t="s">
        <v>1989</v>
      </c>
    </row>
    <row r="1005" spans="1:6">
      <c r="A1005" s="4" t="s">
        <v>2321</v>
      </c>
      <c r="B1005" s="6" t="s">
        <v>2320</v>
      </c>
      <c r="C1005" s="4" t="s">
        <v>27</v>
      </c>
      <c r="D1005" s="4">
        <v>15</v>
      </c>
      <c r="E1005" s="4" t="s">
        <v>1989</v>
      </c>
    </row>
    <row r="1006" spans="1:6">
      <c r="A1006" s="4" t="s">
        <v>2322</v>
      </c>
      <c r="B1006" s="6" t="s">
        <v>2323</v>
      </c>
      <c r="C1006" s="4" t="s">
        <v>81</v>
      </c>
      <c r="D1006" s="4">
        <v>12</v>
      </c>
      <c r="E1006" s="4" t="s">
        <v>1989</v>
      </c>
      <c r="F1006" s="4" t="s">
        <v>2324</v>
      </c>
    </row>
    <row r="1007" spans="1:6">
      <c r="A1007" s="4" t="s">
        <v>2325</v>
      </c>
      <c r="B1007" s="6" t="s">
        <v>2326</v>
      </c>
      <c r="C1007" s="4" t="s">
        <v>179</v>
      </c>
      <c r="D1007" s="4">
        <v>11</v>
      </c>
      <c r="E1007" s="4" t="s">
        <v>2327</v>
      </c>
      <c r="F1007" s="4" t="s">
        <v>2328</v>
      </c>
    </row>
    <row r="1008" spans="1:6">
      <c r="A1008" s="4" t="s">
        <v>2329</v>
      </c>
      <c r="B1008" s="6" t="s">
        <v>2330</v>
      </c>
      <c r="C1008" s="4" t="s">
        <v>27</v>
      </c>
      <c r="D1008" s="4">
        <v>11</v>
      </c>
      <c r="E1008" s="4" t="s">
        <v>2331</v>
      </c>
    </row>
    <row r="1009" spans="1:6">
      <c r="A1009" s="4" t="s">
        <v>2332</v>
      </c>
      <c r="B1009" s="6" t="s">
        <v>2333</v>
      </c>
      <c r="C1009" s="4" t="s">
        <v>81</v>
      </c>
      <c r="D1009" s="4">
        <v>11</v>
      </c>
      <c r="E1009" s="4" t="s">
        <v>2334</v>
      </c>
    </row>
    <row r="1010" spans="1:6">
      <c r="A1010" s="4" t="s">
        <v>2335</v>
      </c>
      <c r="B1010" s="6" t="s">
        <v>2333</v>
      </c>
      <c r="C1010" s="4" t="s">
        <v>414</v>
      </c>
      <c r="D1010" s="4">
        <v>12</v>
      </c>
      <c r="E1010" s="4" t="s">
        <v>2336</v>
      </c>
    </row>
    <row r="1011" spans="1:6">
      <c r="A1011" s="4" t="s">
        <v>2337</v>
      </c>
      <c r="B1011" s="6" t="s">
        <v>2333</v>
      </c>
      <c r="C1011" s="4" t="s">
        <v>104</v>
      </c>
      <c r="D1011" s="4">
        <v>16</v>
      </c>
      <c r="E1011" s="4" t="s">
        <v>2336</v>
      </c>
    </row>
    <row r="1012" spans="1:6">
      <c r="A1012" s="4" t="s">
        <v>2338</v>
      </c>
      <c r="B1012" s="6" t="s">
        <v>2339</v>
      </c>
      <c r="C1012" s="4" t="s">
        <v>53</v>
      </c>
      <c r="D1012" s="4">
        <v>8</v>
      </c>
      <c r="E1012" s="4" t="s">
        <v>2340</v>
      </c>
      <c r="F1012" s="4" t="s">
        <v>2341</v>
      </c>
    </row>
    <row r="1013" spans="1:6">
      <c r="A1013" s="4" t="s">
        <v>2342</v>
      </c>
      <c r="B1013" s="6" t="s">
        <v>2339</v>
      </c>
      <c r="C1013" s="4" t="s">
        <v>470</v>
      </c>
      <c r="D1013" s="4">
        <v>10</v>
      </c>
      <c r="E1013" s="4" t="s">
        <v>979</v>
      </c>
      <c r="F1013" s="4" t="s">
        <v>2343</v>
      </c>
    </row>
    <row r="1014" spans="1:6">
      <c r="A1014" s="4" t="s">
        <v>2344</v>
      </c>
      <c r="B1014" s="6" t="s">
        <v>2339</v>
      </c>
      <c r="C1014" s="4" t="s">
        <v>470</v>
      </c>
      <c r="D1014" s="4">
        <v>5</v>
      </c>
      <c r="E1014" s="4" t="s">
        <v>979</v>
      </c>
      <c r="F1014" s="4" t="s">
        <v>2345</v>
      </c>
    </row>
    <row r="1015" spans="1:6">
      <c r="A1015" s="4" t="s">
        <v>2346</v>
      </c>
      <c r="B1015" s="6" t="s">
        <v>2339</v>
      </c>
      <c r="C1015" s="4" t="s">
        <v>53</v>
      </c>
      <c r="D1015" s="4">
        <v>9</v>
      </c>
      <c r="E1015" s="4" t="s">
        <v>1004</v>
      </c>
      <c r="F1015" s="4" t="s">
        <v>2347</v>
      </c>
    </row>
    <row r="1016" spans="1:6">
      <c r="A1016" s="4" t="s">
        <v>2348</v>
      </c>
      <c r="B1016" s="6" t="s">
        <v>2339</v>
      </c>
      <c r="C1016" s="4" t="s">
        <v>76</v>
      </c>
      <c r="D1016" s="4">
        <v>10</v>
      </c>
      <c r="E1016" s="4" t="s">
        <v>979</v>
      </c>
      <c r="F1016" s="4" t="s">
        <v>2349</v>
      </c>
    </row>
    <row r="1017" spans="1:6">
      <c r="A1017" s="4" t="s">
        <v>2350</v>
      </c>
      <c r="B1017" s="6" t="s">
        <v>2339</v>
      </c>
      <c r="C1017" s="4" t="s">
        <v>1365</v>
      </c>
      <c r="D1017" s="4">
        <v>18</v>
      </c>
      <c r="E1017" s="4" t="s">
        <v>979</v>
      </c>
    </row>
    <row r="1018" spans="1:6">
      <c r="A1018" s="4" t="s">
        <v>2351</v>
      </c>
      <c r="B1018" s="6" t="s">
        <v>2352</v>
      </c>
      <c r="C1018" s="4" t="s">
        <v>14</v>
      </c>
      <c r="D1018" s="4">
        <v>8</v>
      </c>
      <c r="E1018" s="4" t="s">
        <v>2353</v>
      </c>
      <c r="F1018" s="4" t="s">
        <v>2354</v>
      </c>
    </row>
    <row r="1019" spans="1:6">
      <c r="A1019" s="4" t="s">
        <v>2355</v>
      </c>
      <c r="B1019" s="6" t="s">
        <v>2352</v>
      </c>
      <c r="C1019" s="4" t="s">
        <v>427</v>
      </c>
      <c r="D1019" s="4">
        <v>22</v>
      </c>
      <c r="E1019" s="4" t="s">
        <v>2353</v>
      </c>
    </row>
    <row r="1020" spans="1:6">
      <c r="A1020" s="4" t="s">
        <v>2356</v>
      </c>
      <c r="B1020" s="6" t="s">
        <v>2357</v>
      </c>
      <c r="C1020" s="4" t="s">
        <v>995</v>
      </c>
      <c r="D1020" s="4">
        <v>13</v>
      </c>
      <c r="E1020" s="4" t="s">
        <v>2099</v>
      </c>
    </row>
    <row r="1021" spans="1:6">
      <c r="A1021" s="4" t="s">
        <v>2358</v>
      </c>
      <c r="B1021" s="6" t="s">
        <v>2357</v>
      </c>
      <c r="C1021" s="4" t="s">
        <v>403</v>
      </c>
      <c r="D1021" s="4">
        <v>16</v>
      </c>
      <c r="E1021" s="4" t="s">
        <v>2099</v>
      </c>
      <c r="F1021" s="4" t="s">
        <v>2359</v>
      </c>
    </row>
    <row r="1022" spans="1:6">
      <c r="A1022" s="4" t="s">
        <v>2360</v>
      </c>
      <c r="B1022" s="6" t="s">
        <v>2361</v>
      </c>
      <c r="C1022" s="4" t="s">
        <v>1180</v>
      </c>
      <c r="D1022" s="4">
        <v>7</v>
      </c>
      <c r="E1022" s="4" t="s">
        <v>2331</v>
      </c>
    </row>
    <row r="1023" spans="1:6">
      <c r="A1023" s="4" t="s">
        <v>2362</v>
      </c>
      <c r="B1023" s="6" t="s">
        <v>2361</v>
      </c>
      <c r="C1023" s="4" t="s">
        <v>1180</v>
      </c>
      <c r="D1023" s="4">
        <v>14</v>
      </c>
      <c r="E1023" s="4" t="s">
        <v>2331</v>
      </c>
    </row>
    <row r="1024" spans="1:6">
      <c r="A1024" s="4" t="s">
        <v>2363</v>
      </c>
      <c r="B1024" s="6" t="s">
        <v>2364</v>
      </c>
      <c r="C1024" s="4" t="s">
        <v>221</v>
      </c>
      <c r="D1024" s="4">
        <v>13</v>
      </c>
      <c r="E1024" s="4" t="s">
        <v>2336</v>
      </c>
      <c r="F1024" s="4" t="s">
        <v>2365</v>
      </c>
    </row>
    <row r="1025" spans="1:6">
      <c r="A1025" s="4" t="s">
        <v>2366</v>
      </c>
      <c r="B1025" s="6" t="s">
        <v>2364</v>
      </c>
      <c r="C1025" s="4" t="s">
        <v>23</v>
      </c>
      <c r="D1025" s="4">
        <v>16</v>
      </c>
      <c r="F1025" s="4" t="s">
        <v>2336</v>
      </c>
    </row>
    <row r="1026" spans="1:6">
      <c r="A1026" s="4" t="s">
        <v>2367</v>
      </c>
      <c r="B1026" s="6" t="s">
        <v>2368</v>
      </c>
      <c r="C1026" s="4" t="s">
        <v>53</v>
      </c>
      <c r="D1026" s="4">
        <v>12</v>
      </c>
      <c r="E1026" s="4" t="s">
        <v>979</v>
      </c>
      <c r="F1026" s="4" t="s">
        <v>1121</v>
      </c>
    </row>
    <row r="1027" spans="1:6">
      <c r="A1027" s="4" t="s">
        <v>2369</v>
      </c>
      <c r="B1027" s="6" t="s">
        <v>2370</v>
      </c>
      <c r="C1027" s="4" t="s">
        <v>53</v>
      </c>
      <c r="D1027" s="4">
        <v>9</v>
      </c>
      <c r="E1027" s="4" t="s">
        <v>2371</v>
      </c>
    </row>
    <row r="1028" spans="1:6">
      <c r="A1028" s="4" t="s">
        <v>2372</v>
      </c>
      <c r="B1028" s="6" t="s">
        <v>2370</v>
      </c>
      <c r="C1028" s="4" t="s">
        <v>23</v>
      </c>
      <c r="D1028" s="4">
        <v>8</v>
      </c>
      <c r="E1028" s="4" t="s">
        <v>2371</v>
      </c>
    </row>
    <row r="1029" spans="1:6">
      <c r="A1029" s="4" t="s">
        <v>2373</v>
      </c>
      <c r="B1029" s="6" t="s">
        <v>2374</v>
      </c>
      <c r="C1029" s="4" t="s">
        <v>275</v>
      </c>
      <c r="D1029" s="4">
        <v>10</v>
      </c>
      <c r="E1029" s="4" t="s">
        <v>2375</v>
      </c>
      <c r="F1029" s="4" t="s">
        <v>2053</v>
      </c>
    </row>
    <row r="1030" spans="1:6">
      <c r="A1030" s="4" t="s">
        <v>2376</v>
      </c>
      <c r="B1030" s="6" t="s">
        <v>2374</v>
      </c>
      <c r="C1030" s="4" t="s">
        <v>1335</v>
      </c>
      <c r="D1030" s="4">
        <v>7</v>
      </c>
      <c r="E1030" s="4" t="s">
        <v>2375</v>
      </c>
      <c r="F1030" s="4" t="s">
        <v>2377</v>
      </c>
    </row>
    <row r="1031" spans="1:6">
      <c r="A1031" s="4" t="s">
        <v>2378</v>
      </c>
      <c r="B1031" s="6" t="s">
        <v>2374</v>
      </c>
      <c r="C1031" s="4" t="s">
        <v>27</v>
      </c>
      <c r="D1031" s="4">
        <v>13</v>
      </c>
      <c r="E1031" s="4" t="s">
        <v>2353</v>
      </c>
      <c r="F1031" s="4" t="s">
        <v>2379</v>
      </c>
    </row>
    <row r="1032" spans="1:6">
      <c r="A1032" s="4" t="s">
        <v>2380</v>
      </c>
      <c r="B1032" s="6" t="s">
        <v>2374</v>
      </c>
      <c r="C1032" s="4" t="s">
        <v>351</v>
      </c>
      <c r="D1032" s="4">
        <v>10</v>
      </c>
      <c r="E1032" s="4" t="s">
        <v>2353</v>
      </c>
      <c r="F1032" s="4" t="s">
        <v>2381</v>
      </c>
    </row>
    <row r="1033" spans="1:6">
      <c r="A1033" s="4" t="s">
        <v>2382</v>
      </c>
      <c r="B1033" s="6" t="s">
        <v>2374</v>
      </c>
      <c r="C1033" s="4" t="s">
        <v>605</v>
      </c>
      <c r="D1033" s="4">
        <v>11</v>
      </c>
      <c r="E1033" s="4" t="s">
        <v>2353</v>
      </c>
      <c r="F1033" s="4" t="s">
        <v>2383</v>
      </c>
    </row>
    <row r="1034" spans="1:6">
      <c r="A1034" s="4" t="s">
        <v>2384</v>
      </c>
      <c r="B1034" s="6" t="s">
        <v>2374</v>
      </c>
      <c r="C1034" s="4" t="s">
        <v>1335</v>
      </c>
      <c r="D1034" s="4">
        <v>14</v>
      </c>
      <c r="E1034" s="4" t="s">
        <v>2375</v>
      </c>
      <c r="F1034" s="4" t="s">
        <v>2377</v>
      </c>
    </row>
    <row r="1035" spans="1:6">
      <c r="A1035" s="4" t="s">
        <v>2385</v>
      </c>
      <c r="B1035" s="6" t="s">
        <v>2386</v>
      </c>
      <c r="C1035" s="4" t="s">
        <v>23</v>
      </c>
      <c r="D1035" s="4">
        <v>15</v>
      </c>
      <c r="E1035" s="4" t="s">
        <v>2387</v>
      </c>
      <c r="F1035" s="4" t="s">
        <v>2388</v>
      </c>
    </row>
    <row r="1036" spans="1:6">
      <c r="A1036" s="4" t="s">
        <v>2389</v>
      </c>
      <c r="B1036" s="6" t="s">
        <v>2386</v>
      </c>
      <c r="C1036" s="4" t="s">
        <v>195</v>
      </c>
      <c r="D1036" s="4">
        <v>13</v>
      </c>
      <c r="E1036" s="4" t="s">
        <v>2390</v>
      </c>
    </row>
    <row r="1037" spans="1:6">
      <c r="A1037" s="4" t="s">
        <v>2391</v>
      </c>
      <c r="B1037" s="6" t="s">
        <v>2392</v>
      </c>
      <c r="C1037" s="4" t="s">
        <v>2393</v>
      </c>
      <c r="D1037" s="4">
        <v>11</v>
      </c>
      <c r="E1037" s="4" t="s">
        <v>2336</v>
      </c>
      <c r="F1037" s="4" t="s">
        <v>2394</v>
      </c>
    </row>
    <row r="1038" spans="1:6">
      <c r="A1038" s="4" t="s">
        <v>2395</v>
      </c>
      <c r="B1038" s="6" t="s">
        <v>2396</v>
      </c>
      <c r="C1038" s="4" t="s">
        <v>2397</v>
      </c>
      <c r="D1038" s="4">
        <v>4</v>
      </c>
      <c r="E1038" s="4" t="s">
        <v>2398</v>
      </c>
      <c r="F1038" s="4" t="s">
        <v>2399</v>
      </c>
    </row>
    <row r="1039" spans="1:6">
      <c r="A1039" s="4" t="s">
        <v>2400</v>
      </c>
      <c r="B1039" s="6" t="s">
        <v>2401</v>
      </c>
      <c r="C1039" s="4" t="s">
        <v>870</v>
      </c>
      <c r="D1039" s="4">
        <v>12</v>
      </c>
      <c r="E1039" s="4" t="s">
        <v>2055</v>
      </c>
      <c r="F1039" s="4" t="s">
        <v>2402</v>
      </c>
    </row>
    <row r="1040" spans="1:6">
      <c r="A1040" s="4" t="s">
        <v>2403</v>
      </c>
      <c r="B1040" s="6" t="s">
        <v>2401</v>
      </c>
      <c r="C1040" s="4" t="s">
        <v>403</v>
      </c>
      <c r="D1040" s="4">
        <v>12</v>
      </c>
      <c r="E1040" s="4" t="s">
        <v>979</v>
      </c>
      <c r="F1040" s="4" t="s">
        <v>2404</v>
      </c>
    </row>
    <row r="1041" spans="1:6">
      <c r="A1041" s="4" t="s">
        <v>2405</v>
      </c>
      <c r="B1041" s="6" t="s">
        <v>2401</v>
      </c>
      <c r="C1041" s="4" t="s">
        <v>315</v>
      </c>
      <c r="D1041" s="4">
        <v>14</v>
      </c>
      <c r="E1041" s="4" t="s">
        <v>2055</v>
      </c>
      <c r="F1041" s="4" t="s">
        <v>2406</v>
      </c>
    </row>
    <row r="1042" spans="1:6">
      <c r="A1042" s="4" t="s">
        <v>2407</v>
      </c>
      <c r="B1042" s="6" t="s">
        <v>2401</v>
      </c>
      <c r="C1042" s="4" t="s">
        <v>23</v>
      </c>
      <c r="D1042" s="4">
        <v>6</v>
      </c>
      <c r="E1042" s="4" t="s">
        <v>2055</v>
      </c>
      <c r="F1042" s="4" t="s">
        <v>2408</v>
      </c>
    </row>
    <row r="1043" spans="1:6">
      <c r="A1043" s="4" t="s">
        <v>2409</v>
      </c>
      <c r="B1043" s="6" t="s">
        <v>2410</v>
      </c>
      <c r="C1043" s="4" t="s">
        <v>420</v>
      </c>
      <c r="D1043" s="4">
        <v>10</v>
      </c>
      <c r="F1043" s="4" t="s">
        <v>2411</v>
      </c>
    </row>
    <row r="1044" spans="1:6">
      <c r="A1044" s="4" t="s">
        <v>2412</v>
      </c>
      <c r="B1044" s="6" t="s">
        <v>2401</v>
      </c>
      <c r="C1044" s="4" t="s">
        <v>53</v>
      </c>
      <c r="D1044" s="4">
        <v>10</v>
      </c>
      <c r="E1044" s="4" t="s">
        <v>1976</v>
      </c>
      <c r="F1044" s="4" t="s">
        <v>2413</v>
      </c>
    </row>
    <row r="1045" spans="1:6">
      <c r="A1045" s="4" t="s">
        <v>2414</v>
      </c>
      <c r="B1045" s="6" t="s">
        <v>2401</v>
      </c>
      <c r="C1045" s="4" t="s">
        <v>995</v>
      </c>
      <c r="D1045" s="4">
        <v>17</v>
      </c>
      <c r="E1045" s="4" t="s">
        <v>1976</v>
      </c>
      <c r="F1045" s="4" t="s">
        <v>2415</v>
      </c>
    </row>
    <row r="1046" spans="1:6">
      <c r="A1046" s="4" t="s">
        <v>2416</v>
      </c>
      <c r="B1046" s="6" t="s">
        <v>2401</v>
      </c>
      <c r="C1046" s="4" t="s">
        <v>254</v>
      </c>
      <c r="D1046" s="4">
        <v>14</v>
      </c>
      <c r="E1046" s="4" t="s">
        <v>1976</v>
      </c>
    </row>
    <row r="1047" spans="1:6">
      <c r="A1047" s="4" t="s">
        <v>2417</v>
      </c>
      <c r="B1047" s="6" t="s">
        <v>2418</v>
      </c>
      <c r="C1047" s="4" t="s">
        <v>453</v>
      </c>
      <c r="D1047" s="4">
        <v>15</v>
      </c>
      <c r="E1047" s="4" t="s">
        <v>2353</v>
      </c>
      <c r="F1047" s="4" t="s">
        <v>2419</v>
      </c>
    </row>
    <row r="1048" spans="1:6">
      <c r="A1048" s="4" t="s">
        <v>2420</v>
      </c>
      <c r="B1048" s="6" t="s">
        <v>2418</v>
      </c>
      <c r="C1048" s="4" t="s">
        <v>27</v>
      </c>
      <c r="D1048" s="4">
        <v>11</v>
      </c>
      <c r="E1048" s="4" t="s">
        <v>2327</v>
      </c>
    </row>
    <row r="1049" spans="1:6">
      <c r="A1049" s="4" t="s">
        <v>2421</v>
      </c>
      <c r="B1049" s="6" t="s">
        <v>2422</v>
      </c>
      <c r="C1049" s="4" t="s">
        <v>53</v>
      </c>
      <c r="D1049" s="4">
        <v>7</v>
      </c>
      <c r="E1049" s="4" t="s">
        <v>2423</v>
      </c>
      <c r="F1049" s="4" t="s">
        <v>2424</v>
      </c>
    </row>
    <row r="1050" spans="1:6">
      <c r="A1050" s="4" t="s">
        <v>2425</v>
      </c>
      <c r="B1050" s="6" t="s">
        <v>2426</v>
      </c>
      <c r="C1050" s="4" t="s">
        <v>354</v>
      </c>
      <c r="D1050" s="4">
        <v>10</v>
      </c>
      <c r="E1050" s="4" t="s">
        <v>2055</v>
      </c>
    </row>
    <row r="1051" spans="1:6">
      <c r="A1051" s="4" t="s">
        <v>2427</v>
      </c>
      <c r="B1051" s="6" t="s">
        <v>2428</v>
      </c>
      <c r="C1051" s="4" t="s">
        <v>87</v>
      </c>
      <c r="D1051" s="4">
        <v>12</v>
      </c>
      <c r="E1051" s="4" t="s">
        <v>2353</v>
      </c>
      <c r="F1051" s="4" t="s">
        <v>2429</v>
      </c>
    </row>
    <row r="1052" spans="1:6">
      <c r="A1052" s="4" t="s">
        <v>2430</v>
      </c>
      <c r="B1052" s="6" t="s">
        <v>2428</v>
      </c>
      <c r="C1052" s="4" t="s">
        <v>41</v>
      </c>
      <c r="D1052" s="4">
        <v>9</v>
      </c>
      <c r="E1052" s="4" t="s">
        <v>2431</v>
      </c>
      <c r="F1052" s="4" t="s">
        <v>2432</v>
      </c>
    </row>
    <row r="1053" spans="1:6">
      <c r="A1053" s="4" t="s">
        <v>2433</v>
      </c>
      <c r="B1053" s="6" t="s">
        <v>2434</v>
      </c>
      <c r="C1053" s="4" t="s">
        <v>1835</v>
      </c>
      <c r="D1053" s="4">
        <v>8</v>
      </c>
      <c r="E1053" s="4" t="s">
        <v>2435</v>
      </c>
    </row>
    <row r="1054" spans="1:6">
      <c r="A1054" s="4" t="s">
        <v>2436</v>
      </c>
      <c r="B1054" s="6" t="s">
        <v>2434</v>
      </c>
      <c r="C1054" s="4" t="s">
        <v>1248</v>
      </c>
      <c r="D1054" s="4">
        <v>9</v>
      </c>
      <c r="E1054" s="4" t="s">
        <v>2437</v>
      </c>
      <c r="F1054" s="4" t="s">
        <v>2438</v>
      </c>
    </row>
    <row r="1055" spans="1:6">
      <c r="A1055" s="4" t="s">
        <v>2439</v>
      </c>
      <c r="B1055" s="6" t="s">
        <v>2434</v>
      </c>
      <c r="C1055" s="4" t="s">
        <v>37</v>
      </c>
      <c r="D1055" s="4">
        <v>14</v>
      </c>
      <c r="E1055" s="4" t="s">
        <v>2437</v>
      </c>
      <c r="F1055" s="4" t="s">
        <v>2440</v>
      </c>
    </row>
    <row r="1056" spans="1:6">
      <c r="A1056" s="4" t="s">
        <v>2441</v>
      </c>
      <c r="B1056" s="6" t="s">
        <v>2434</v>
      </c>
      <c r="C1056" s="4" t="s">
        <v>140</v>
      </c>
      <c r="D1056" s="4">
        <v>27</v>
      </c>
      <c r="E1056" s="4" t="s">
        <v>2099</v>
      </c>
    </row>
    <row r="1057" spans="1:6">
      <c r="A1057" s="4" t="s">
        <v>2442</v>
      </c>
      <c r="B1057" s="6" t="s">
        <v>2443</v>
      </c>
      <c r="C1057" s="4" t="s">
        <v>19</v>
      </c>
      <c r="D1057" s="4">
        <v>12</v>
      </c>
      <c r="E1057" s="4" t="s">
        <v>1922</v>
      </c>
    </row>
    <row r="1058" spans="1:6">
      <c r="A1058" s="4" t="s">
        <v>2444</v>
      </c>
      <c r="B1058" s="6" t="s">
        <v>2445</v>
      </c>
      <c r="C1058" s="4" t="s">
        <v>315</v>
      </c>
      <c r="D1058" s="4">
        <v>12</v>
      </c>
      <c r="E1058" s="4" t="s">
        <v>2446</v>
      </c>
      <c r="F1058" s="4" t="s">
        <v>2447</v>
      </c>
    </row>
    <row r="1059" spans="1:6">
      <c r="A1059" s="4" t="s">
        <v>2448</v>
      </c>
      <c r="B1059" s="6" t="s">
        <v>2445</v>
      </c>
      <c r="C1059" s="4" t="s">
        <v>275</v>
      </c>
      <c r="D1059" s="4">
        <v>12</v>
      </c>
      <c r="E1059" s="4" t="s">
        <v>2336</v>
      </c>
      <c r="F1059" s="4" t="s">
        <v>2449</v>
      </c>
    </row>
    <row r="1060" spans="1:6">
      <c r="A1060" s="4" t="s">
        <v>2450</v>
      </c>
      <c r="B1060" s="6" t="s">
        <v>2445</v>
      </c>
      <c r="C1060" s="4" t="s">
        <v>87</v>
      </c>
      <c r="D1060" s="4">
        <v>7</v>
      </c>
      <c r="E1060" s="4" t="s">
        <v>2336</v>
      </c>
    </row>
    <row r="1061" spans="1:6">
      <c r="A1061" s="4" t="s">
        <v>2451</v>
      </c>
      <c r="B1061" s="6" t="s">
        <v>2452</v>
      </c>
      <c r="C1061" s="4" t="s">
        <v>87</v>
      </c>
      <c r="D1061" s="4">
        <v>9</v>
      </c>
      <c r="E1061" s="4" t="s">
        <v>2052</v>
      </c>
      <c r="F1061" s="4" t="s">
        <v>2453</v>
      </c>
    </row>
    <row r="1062" spans="1:6">
      <c r="A1062" s="4" t="s">
        <v>2454</v>
      </c>
      <c r="B1062" s="6" t="s">
        <v>2452</v>
      </c>
      <c r="C1062" s="4" t="s">
        <v>254</v>
      </c>
      <c r="D1062" s="4">
        <v>13</v>
      </c>
      <c r="E1062" s="4" t="s">
        <v>2055</v>
      </c>
      <c r="F1062" s="4" t="s">
        <v>2455</v>
      </c>
    </row>
    <row r="1063" spans="1:6">
      <c r="A1063" s="4" t="s">
        <v>2456</v>
      </c>
      <c r="B1063" s="6" t="s">
        <v>2452</v>
      </c>
      <c r="C1063" s="4" t="s">
        <v>705</v>
      </c>
      <c r="D1063" s="4">
        <v>11</v>
      </c>
      <c r="E1063" s="4" t="s">
        <v>2055</v>
      </c>
      <c r="F1063" s="4" t="s">
        <v>2457</v>
      </c>
    </row>
    <row r="1064" spans="1:6">
      <c r="A1064" s="4" t="s">
        <v>2458</v>
      </c>
      <c r="B1064" s="6" t="s">
        <v>2452</v>
      </c>
      <c r="C1064" s="4" t="s">
        <v>81</v>
      </c>
      <c r="D1064" s="4">
        <v>9</v>
      </c>
      <c r="E1064" s="4" t="s">
        <v>1976</v>
      </c>
    </row>
    <row r="1065" spans="1:6">
      <c r="A1065" s="4" t="s">
        <v>2459</v>
      </c>
      <c r="B1065" s="6" t="s">
        <v>2452</v>
      </c>
      <c r="C1065" s="4" t="s">
        <v>81</v>
      </c>
      <c r="D1065" s="4">
        <v>14</v>
      </c>
      <c r="E1065" s="4" t="s">
        <v>2460</v>
      </c>
    </row>
    <row r="1066" spans="1:6">
      <c r="A1066" s="4" t="s">
        <v>2461</v>
      </c>
      <c r="B1066" s="6" t="s">
        <v>2462</v>
      </c>
      <c r="C1066" s="4" t="s">
        <v>1425</v>
      </c>
      <c r="D1066" s="4">
        <v>8</v>
      </c>
      <c r="E1066" s="4" t="s">
        <v>2371</v>
      </c>
      <c r="F1066" s="4" t="s">
        <v>483</v>
      </c>
    </row>
    <row r="1067" spans="1:6">
      <c r="A1067" s="4" t="s">
        <v>2463</v>
      </c>
      <c r="B1067" s="6" t="s">
        <v>2462</v>
      </c>
      <c r="C1067" s="4" t="s">
        <v>69</v>
      </c>
      <c r="D1067" s="4">
        <v>5</v>
      </c>
      <c r="E1067" s="4" t="s">
        <v>2371</v>
      </c>
      <c r="F1067" s="4" t="s">
        <v>2464</v>
      </c>
    </row>
    <row r="1068" spans="1:6">
      <c r="A1068" s="4" t="s">
        <v>2465</v>
      </c>
      <c r="B1068" s="6" t="s">
        <v>2466</v>
      </c>
      <c r="C1068" s="4" t="s">
        <v>1726</v>
      </c>
      <c r="D1068" s="4">
        <v>9</v>
      </c>
      <c r="E1068" s="4" t="s">
        <v>1908</v>
      </c>
      <c r="F1068" s="4" t="s">
        <v>2467</v>
      </c>
    </row>
    <row r="1069" spans="1:6">
      <c r="A1069" s="4" t="s">
        <v>2468</v>
      </c>
      <c r="B1069" s="6" t="s">
        <v>2469</v>
      </c>
      <c r="C1069" s="4" t="s">
        <v>238</v>
      </c>
      <c r="D1069" s="4">
        <v>10</v>
      </c>
      <c r="E1069" s="4" t="s">
        <v>1922</v>
      </c>
      <c r="F1069" s="4" t="s">
        <v>2470</v>
      </c>
    </row>
    <row r="1070" spans="1:6">
      <c r="A1070" s="4" t="s">
        <v>2471</v>
      </c>
      <c r="B1070" s="6" t="s">
        <v>2469</v>
      </c>
      <c r="C1070" s="4" t="s">
        <v>238</v>
      </c>
      <c r="D1070" s="4">
        <v>11</v>
      </c>
      <c r="E1070" s="4" t="s">
        <v>1922</v>
      </c>
      <c r="F1070" s="4" t="s">
        <v>2470</v>
      </c>
    </row>
    <row r="1071" spans="1:6">
      <c r="A1071" s="4" t="s">
        <v>2472</v>
      </c>
      <c r="B1071" s="6" t="s">
        <v>2473</v>
      </c>
      <c r="C1071" s="4" t="s">
        <v>2474</v>
      </c>
      <c r="D1071" s="4">
        <v>6</v>
      </c>
      <c r="E1071" s="4" t="s">
        <v>979</v>
      </c>
      <c r="F1071" s="4" t="s">
        <v>2475</v>
      </c>
    </row>
    <row r="1072" spans="1:6">
      <c r="A1072" s="4" t="s">
        <v>2476</v>
      </c>
      <c r="B1072" s="6" t="s">
        <v>2473</v>
      </c>
      <c r="C1072" s="4" t="s">
        <v>53</v>
      </c>
      <c r="D1072" s="4">
        <v>10</v>
      </c>
      <c r="E1072" s="4" t="s">
        <v>979</v>
      </c>
    </row>
    <row r="1073" spans="1:6">
      <c r="A1073" s="4" t="s">
        <v>2477</v>
      </c>
      <c r="B1073" s="6" t="s">
        <v>2473</v>
      </c>
      <c r="C1073" s="4" t="s">
        <v>420</v>
      </c>
      <c r="D1073" s="4">
        <v>13</v>
      </c>
      <c r="E1073" s="4" t="s">
        <v>979</v>
      </c>
      <c r="F1073" s="4" t="s">
        <v>2475</v>
      </c>
    </row>
    <row r="1074" spans="1:6">
      <c r="A1074" s="4" t="s">
        <v>2478</v>
      </c>
      <c r="B1074" s="6" t="s">
        <v>2479</v>
      </c>
      <c r="C1074" s="4" t="s">
        <v>1211</v>
      </c>
      <c r="D1074" s="4">
        <v>16</v>
      </c>
      <c r="E1074" s="4" t="s">
        <v>1976</v>
      </c>
    </row>
    <row r="1075" spans="1:6">
      <c r="A1075" s="4" t="s">
        <v>2480</v>
      </c>
      <c r="B1075" s="6" t="s">
        <v>2479</v>
      </c>
      <c r="C1075" s="4" t="s">
        <v>27</v>
      </c>
      <c r="D1075" s="4">
        <v>11</v>
      </c>
      <c r="E1075" s="4" t="s">
        <v>2052</v>
      </c>
    </row>
    <row r="1076" spans="1:6">
      <c r="A1076" s="4" t="s">
        <v>2481</v>
      </c>
      <c r="B1076" s="6" t="s">
        <v>2479</v>
      </c>
      <c r="C1076" s="4" t="s">
        <v>23</v>
      </c>
      <c r="D1076" s="4">
        <v>10</v>
      </c>
      <c r="E1076" s="4" t="s">
        <v>979</v>
      </c>
      <c r="F1076" s="4" t="s">
        <v>2482</v>
      </c>
    </row>
    <row r="1077" spans="1:6">
      <c r="A1077" s="4" t="s">
        <v>2483</v>
      </c>
      <c r="B1077" s="6" t="s">
        <v>2479</v>
      </c>
      <c r="C1077" s="4" t="s">
        <v>53</v>
      </c>
      <c r="D1077" s="4">
        <v>12</v>
      </c>
      <c r="E1077" s="4" t="s">
        <v>979</v>
      </c>
    </row>
    <row r="1078" spans="1:6">
      <c r="A1078" s="4" t="s">
        <v>2484</v>
      </c>
      <c r="B1078" s="6" t="s">
        <v>2479</v>
      </c>
      <c r="C1078" s="4" t="s">
        <v>427</v>
      </c>
      <c r="D1078" s="4">
        <v>17</v>
      </c>
      <c r="E1078" s="4" t="s">
        <v>979</v>
      </c>
    </row>
    <row r="1079" spans="1:6">
      <c r="A1079" s="4" t="s">
        <v>2485</v>
      </c>
      <c r="B1079" s="6" t="s">
        <v>2479</v>
      </c>
      <c r="C1079" s="4" t="s">
        <v>427</v>
      </c>
      <c r="D1079" s="4">
        <v>19</v>
      </c>
      <c r="E1079" s="4" t="s">
        <v>979</v>
      </c>
    </row>
    <row r="1080" spans="1:6">
      <c r="A1080" s="4" t="s">
        <v>2486</v>
      </c>
      <c r="B1080" s="6" t="s">
        <v>2479</v>
      </c>
      <c r="C1080" s="4" t="s">
        <v>27</v>
      </c>
      <c r="D1080" s="4">
        <v>13</v>
      </c>
      <c r="E1080" s="4" t="s">
        <v>1976</v>
      </c>
    </row>
    <row r="1081" spans="1:6">
      <c r="A1081" s="4" t="s">
        <v>2487</v>
      </c>
      <c r="B1081" s="6" t="s">
        <v>2488</v>
      </c>
      <c r="C1081" s="4" t="s">
        <v>351</v>
      </c>
      <c r="D1081" s="4">
        <v>14</v>
      </c>
      <c r="E1081" s="4" t="s">
        <v>2099</v>
      </c>
    </row>
    <row r="1082" spans="1:6">
      <c r="A1082" s="4" t="s">
        <v>2489</v>
      </c>
      <c r="B1082" s="6" t="s">
        <v>2490</v>
      </c>
      <c r="C1082" s="4" t="s">
        <v>544</v>
      </c>
      <c r="D1082" s="4">
        <v>16</v>
      </c>
      <c r="E1082" s="4" t="s">
        <v>50</v>
      </c>
    </row>
    <row r="1083" spans="1:6">
      <c r="A1083" s="4" t="s">
        <v>2491</v>
      </c>
      <c r="B1083" s="6" t="s">
        <v>2490</v>
      </c>
      <c r="C1083" s="4" t="s">
        <v>23</v>
      </c>
      <c r="D1083" s="4">
        <v>15</v>
      </c>
      <c r="E1083" s="4" t="s">
        <v>2492</v>
      </c>
      <c r="F1083" s="4" t="s">
        <v>2493</v>
      </c>
    </row>
    <row r="1084" spans="1:6">
      <c r="A1084" s="4" t="s">
        <v>2494</v>
      </c>
      <c r="B1084" s="6" t="s">
        <v>2490</v>
      </c>
      <c r="C1084" s="4" t="s">
        <v>1679</v>
      </c>
      <c r="D1084" s="4">
        <v>17</v>
      </c>
      <c r="E1084" s="4" t="s">
        <v>50</v>
      </c>
      <c r="F1084" s="4" t="s">
        <v>2495</v>
      </c>
    </row>
    <row r="1085" spans="1:6">
      <c r="A1085" s="4" t="s">
        <v>2496</v>
      </c>
      <c r="B1085" s="6" t="s">
        <v>2497</v>
      </c>
      <c r="C1085" s="4" t="s">
        <v>1211</v>
      </c>
      <c r="D1085" s="4">
        <v>9</v>
      </c>
      <c r="F1085" s="4" t="s">
        <v>2498</v>
      </c>
    </row>
    <row r="1086" spans="1:6">
      <c r="A1086" s="4" t="s">
        <v>2499</v>
      </c>
      <c r="B1086" s="6" t="s">
        <v>2500</v>
      </c>
      <c r="C1086" s="4" t="s">
        <v>705</v>
      </c>
      <c r="D1086" s="4">
        <v>5</v>
      </c>
      <c r="E1086" s="4" t="s">
        <v>721</v>
      </c>
      <c r="F1086" s="4" t="s">
        <v>1102</v>
      </c>
    </row>
    <row r="1087" spans="1:6">
      <c r="A1087" s="4" t="s">
        <v>2501</v>
      </c>
      <c r="B1087" s="6" t="s">
        <v>2500</v>
      </c>
      <c r="C1087" s="4" t="s">
        <v>45</v>
      </c>
      <c r="D1087" s="4">
        <v>10</v>
      </c>
      <c r="E1087" s="4" t="s">
        <v>2502</v>
      </c>
      <c r="F1087" s="4" t="s">
        <v>2503</v>
      </c>
    </row>
    <row r="1088" spans="1:6">
      <c r="A1088" s="4" t="s">
        <v>2504</v>
      </c>
      <c r="B1088" s="6" t="s">
        <v>2500</v>
      </c>
      <c r="C1088" s="4" t="s">
        <v>1282</v>
      </c>
      <c r="D1088" s="4">
        <v>9</v>
      </c>
      <c r="E1088" s="4" t="s">
        <v>1561</v>
      </c>
    </row>
    <row r="1089" spans="1:6">
      <c r="A1089" s="4" t="s">
        <v>2505</v>
      </c>
      <c r="B1089" s="6" t="s">
        <v>2500</v>
      </c>
      <c r="C1089" s="4" t="s">
        <v>2506</v>
      </c>
      <c r="D1089" s="4">
        <v>14</v>
      </c>
      <c r="E1089" s="4" t="s">
        <v>721</v>
      </c>
      <c r="F1089" s="4" t="s">
        <v>2507</v>
      </c>
    </row>
    <row r="1090" spans="1:6">
      <c r="A1090" s="4" t="s">
        <v>2508</v>
      </c>
      <c r="B1090" s="6" t="s">
        <v>2500</v>
      </c>
      <c r="C1090" s="4" t="s">
        <v>34</v>
      </c>
      <c r="D1090" s="4">
        <v>12</v>
      </c>
      <c r="E1090" s="4" t="s">
        <v>1561</v>
      </c>
    </row>
    <row r="1091" spans="1:6">
      <c r="A1091" s="4" t="s">
        <v>2509</v>
      </c>
      <c r="B1091" s="6" t="s">
        <v>2500</v>
      </c>
      <c r="C1091" s="4" t="s">
        <v>53</v>
      </c>
      <c r="D1091" s="4">
        <v>13</v>
      </c>
      <c r="E1091" s="4" t="s">
        <v>1561</v>
      </c>
    </row>
    <row r="1092" spans="1:6">
      <c r="A1092" s="4" t="s">
        <v>2510</v>
      </c>
      <c r="B1092" s="6" t="s">
        <v>2500</v>
      </c>
      <c r="C1092" s="4" t="s">
        <v>2511</v>
      </c>
      <c r="D1092" s="4">
        <v>13</v>
      </c>
      <c r="E1092" s="4" t="s">
        <v>1561</v>
      </c>
      <c r="F1092" s="4" t="s">
        <v>2512</v>
      </c>
    </row>
    <row r="1093" spans="1:6">
      <c r="A1093" s="4" t="s">
        <v>2513</v>
      </c>
      <c r="B1093" s="6" t="s">
        <v>2514</v>
      </c>
      <c r="C1093" s="4" t="s">
        <v>279</v>
      </c>
      <c r="D1093" s="4">
        <v>9</v>
      </c>
      <c r="E1093" s="4" t="s">
        <v>805</v>
      </c>
      <c r="F1093" s="4" t="s">
        <v>2515</v>
      </c>
    </row>
    <row r="1094" spans="1:6">
      <c r="A1094" s="4" t="s">
        <v>2516</v>
      </c>
      <c r="B1094" s="6" t="s">
        <v>2514</v>
      </c>
      <c r="C1094" s="4" t="s">
        <v>19</v>
      </c>
      <c r="D1094" s="4">
        <v>12</v>
      </c>
      <c r="E1094" s="4" t="s">
        <v>805</v>
      </c>
      <c r="F1094" s="4" t="s">
        <v>2517</v>
      </c>
    </row>
    <row r="1095" spans="1:6">
      <c r="A1095" s="4" t="s">
        <v>2518</v>
      </c>
      <c r="B1095" s="6" t="s">
        <v>2514</v>
      </c>
      <c r="C1095" s="4" t="s">
        <v>254</v>
      </c>
      <c r="D1095" s="4">
        <v>8</v>
      </c>
      <c r="E1095" s="4" t="s">
        <v>2519</v>
      </c>
    </row>
    <row r="1096" spans="1:6">
      <c r="A1096" s="4" t="s">
        <v>2520</v>
      </c>
      <c r="B1096" s="6" t="s">
        <v>2514</v>
      </c>
      <c r="C1096" s="4" t="s">
        <v>254</v>
      </c>
      <c r="D1096" s="4">
        <v>11</v>
      </c>
      <c r="E1096" s="4" t="s">
        <v>805</v>
      </c>
    </row>
    <row r="1097" spans="1:6">
      <c r="A1097" s="4" t="s">
        <v>2521</v>
      </c>
      <c r="B1097" s="6" t="s">
        <v>2514</v>
      </c>
      <c r="C1097" s="4" t="s">
        <v>37</v>
      </c>
      <c r="D1097" s="4">
        <v>16</v>
      </c>
      <c r="E1097" s="4" t="s">
        <v>805</v>
      </c>
    </row>
    <row r="1098" spans="1:6">
      <c r="A1098" s="4" t="s">
        <v>2522</v>
      </c>
      <c r="B1098" s="6" t="s">
        <v>2523</v>
      </c>
      <c r="C1098" s="4" t="s">
        <v>53</v>
      </c>
      <c r="D1098" s="4">
        <v>13</v>
      </c>
      <c r="E1098" s="4" t="s">
        <v>805</v>
      </c>
    </row>
    <row r="1099" spans="1:6">
      <c r="A1099" s="4" t="s">
        <v>2524</v>
      </c>
      <c r="B1099" s="6" t="s">
        <v>2525</v>
      </c>
      <c r="C1099" s="4" t="s">
        <v>110</v>
      </c>
      <c r="D1099" s="4">
        <v>12</v>
      </c>
      <c r="E1099" s="4" t="s">
        <v>748</v>
      </c>
      <c r="F1099" s="4" t="s">
        <v>2526</v>
      </c>
    </row>
    <row r="1100" spans="1:6">
      <c r="A1100" s="4" t="s">
        <v>2527</v>
      </c>
      <c r="B1100" s="6" t="s">
        <v>2525</v>
      </c>
      <c r="C1100" s="4" t="s">
        <v>14</v>
      </c>
      <c r="D1100" s="4">
        <v>9</v>
      </c>
      <c r="E1100" s="4" t="s">
        <v>731</v>
      </c>
      <c r="F1100" s="4" t="s">
        <v>2528</v>
      </c>
    </row>
    <row r="1101" spans="1:6">
      <c r="A1101" s="4" t="s">
        <v>2529</v>
      </c>
      <c r="B1101" s="6" t="s">
        <v>2525</v>
      </c>
      <c r="C1101" s="4" t="s">
        <v>14</v>
      </c>
      <c r="D1101" s="4">
        <v>6</v>
      </c>
      <c r="E1101" s="4" t="s">
        <v>731</v>
      </c>
    </row>
    <row r="1102" spans="1:6">
      <c r="A1102" s="4" t="s">
        <v>2530</v>
      </c>
      <c r="B1102" s="6" t="s">
        <v>2525</v>
      </c>
      <c r="C1102" s="4" t="s">
        <v>27</v>
      </c>
      <c r="D1102" s="4">
        <v>15</v>
      </c>
      <c r="E1102" s="4" t="s">
        <v>731</v>
      </c>
    </row>
    <row r="1103" spans="1:6">
      <c r="A1103" s="4" t="s">
        <v>2531</v>
      </c>
      <c r="B1103" s="6" t="s">
        <v>2532</v>
      </c>
      <c r="C1103" s="4" t="s">
        <v>87</v>
      </c>
      <c r="D1103" s="4">
        <v>6</v>
      </c>
      <c r="E1103" s="4" t="s">
        <v>752</v>
      </c>
      <c r="F1103" s="4" t="s">
        <v>2533</v>
      </c>
    </row>
    <row r="1104" spans="1:6">
      <c r="A1104" s="4" t="s">
        <v>2534</v>
      </c>
      <c r="B1104" s="6" t="s">
        <v>2532</v>
      </c>
      <c r="C1104" s="4" t="s">
        <v>354</v>
      </c>
      <c r="D1104" s="4">
        <v>7</v>
      </c>
      <c r="E1104" s="4" t="s">
        <v>752</v>
      </c>
    </row>
    <row r="1105" spans="1:6">
      <c r="A1105" s="4" t="s">
        <v>2535</v>
      </c>
      <c r="B1105" s="6" t="s">
        <v>2532</v>
      </c>
      <c r="C1105" s="4" t="s">
        <v>34</v>
      </c>
      <c r="D1105" s="4">
        <v>6</v>
      </c>
      <c r="E1105" s="4" t="s">
        <v>752</v>
      </c>
    </row>
    <row r="1106" spans="1:6">
      <c r="A1106" s="4" t="s">
        <v>2536</v>
      </c>
      <c r="B1106" s="6" t="s">
        <v>2532</v>
      </c>
      <c r="C1106" s="4" t="s">
        <v>53</v>
      </c>
      <c r="D1106" s="4">
        <v>7</v>
      </c>
      <c r="E1106" s="4" t="s">
        <v>752</v>
      </c>
    </row>
    <row r="1107" spans="1:6">
      <c r="A1107" s="4" t="s">
        <v>2537</v>
      </c>
      <c r="B1107" s="6" t="s">
        <v>2538</v>
      </c>
      <c r="C1107" s="4" t="s">
        <v>405</v>
      </c>
      <c r="D1107" s="4">
        <v>6</v>
      </c>
      <c r="E1107" s="4" t="s">
        <v>752</v>
      </c>
      <c r="F1107" s="4" t="s">
        <v>2539</v>
      </c>
    </row>
    <row r="1108" spans="1:6">
      <c r="A1108" s="4" t="s">
        <v>2540</v>
      </c>
      <c r="B1108" s="6" t="s">
        <v>2538</v>
      </c>
      <c r="C1108" s="4" t="s">
        <v>179</v>
      </c>
      <c r="D1108" s="4">
        <v>9</v>
      </c>
      <c r="E1108" s="4" t="s">
        <v>752</v>
      </c>
    </row>
    <row r="1109" spans="1:6">
      <c r="A1109" s="4" t="s">
        <v>2541</v>
      </c>
      <c r="B1109" s="6" t="s">
        <v>2538</v>
      </c>
      <c r="C1109" s="4" t="s">
        <v>1129</v>
      </c>
      <c r="D1109" s="4">
        <v>17</v>
      </c>
      <c r="E1109" s="4" t="s">
        <v>752</v>
      </c>
      <c r="F1109" s="4" t="s">
        <v>2542</v>
      </c>
    </row>
    <row r="1110" spans="1:6">
      <c r="A1110" s="4" t="s">
        <v>2543</v>
      </c>
      <c r="B1110" s="6" t="s">
        <v>2538</v>
      </c>
      <c r="C1110" s="4" t="s">
        <v>34</v>
      </c>
      <c r="D1110" s="4">
        <v>23</v>
      </c>
      <c r="E1110" s="4" t="s">
        <v>2544</v>
      </c>
    </row>
    <row r="1111" spans="1:6">
      <c r="A1111" s="4" t="s">
        <v>2545</v>
      </c>
      <c r="B1111" s="6" t="s">
        <v>2538</v>
      </c>
      <c r="C1111" s="4" t="s">
        <v>427</v>
      </c>
      <c r="D1111" s="4">
        <v>12</v>
      </c>
      <c r="E1111" s="4" t="s">
        <v>752</v>
      </c>
    </row>
    <row r="1112" spans="1:6">
      <c r="A1112" s="4" t="s">
        <v>2546</v>
      </c>
      <c r="B1112" s="6" t="s">
        <v>2547</v>
      </c>
      <c r="C1112" s="4" t="s">
        <v>458</v>
      </c>
      <c r="D1112" s="4">
        <v>15</v>
      </c>
      <c r="E1112" s="4" t="s">
        <v>721</v>
      </c>
      <c r="F1112" s="4" t="s">
        <v>2548</v>
      </c>
    </row>
    <row r="1113" spans="1:6">
      <c r="A1113" s="4" t="s">
        <v>2549</v>
      </c>
      <c r="B1113" s="6" t="s">
        <v>2547</v>
      </c>
      <c r="C1113" s="4" t="s">
        <v>254</v>
      </c>
      <c r="D1113" s="4">
        <v>8</v>
      </c>
      <c r="E1113" s="4" t="s">
        <v>721</v>
      </c>
      <c r="F1113" s="4" t="s">
        <v>2550</v>
      </c>
    </row>
    <row r="1114" spans="1:6">
      <c r="A1114" s="4" t="s">
        <v>2551</v>
      </c>
      <c r="B1114" s="6" t="s">
        <v>2547</v>
      </c>
      <c r="C1114" s="4" t="s">
        <v>14</v>
      </c>
      <c r="D1114" s="4">
        <v>13</v>
      </c>
      <c r="E1114" s="4" t="s">
        <v>721</v>
      </c>
      <c r="F1114" s="4" t="s">
        <v>2552</v>
      </c>
    </row>
    <row r="1115" spans="1:6">
      <c r="A1115" s="4" t="s">
        <v>2553</v>
      </c>
      <c r="B1115" s="6" t="s">
        <v>2547</v>
      </c>
      <c r="C1115" s="4" t="s">
        <v>53</v>
      </c>
      <c r="D1115" s="4">
        <v>9</v>
      </c>
      <c r="E1115" s="4" t="s">
        <v>721</v>
      </c>
      <c r="F1115" s="4" t="s">
        <v>2554</v>
      </c>
    </row>
    <row r="1116" spans="1:6">
      <c r="A1116" s="4" t="s">
        <v>2555</v>
      </c>
      <c r="B1116" s="6" t="s">
        <v>2547</v>
      </c>
      <c r="C1116" s="4" t="s">
        <v>53</v>
      </c>
      <c r="D1116" s="4">
        <v>9</v>
      </c>
      <c r="E1116" s="4" t="s">
        <v>2556</v>
      </c>
      <c r="F1116" s="4" t="s">
        <v>2557</v>
      </c>
    </row>
    <row r="1117" spans="1:6">
      <c r="A1117" s="4" t="s">
        <v>2558</v>
      </c>
      <c r="B1117" s="6" t="s">
        <v>2547</v>
      </c>
      <c r="C1117" s="4" t="s">
        <v>268</v>
      </c>
      <c r="D1117" s="4">
        <v>15</v>
      </c>
      <c r="E1117" s="4" t="s">
        <v>2559</v>
      </c>
    </row>
    <row r="1118" spans="1:6">
      <c r="A1118" s="4" t="s">
        <v>2560</v>
      </c>
      <c r="B1118" s="6" t="s">
        <v>2547</v>
      </c>
      <c r="C1118" s="4" t="s">
        <v>254</v>
      </c>
      <c r="D1118" s="4">
        <v>6</v>
      </c>
      <c r="E1118" s="4" t="s">
        <v>805</v>
      </c>
    </row>
    <row r="1119" spans="1:6">
      <c r="A1119" s="4" t="s">
        <v>2561</v>
      </c>
      <c r="B1119" s="6" t="s">
        <v>2547</v>
      </c>
      <c r="C1119" s="4" t="s">
        <v>254</v>
      </c>
      <c r="D1119" s="4">
        <v>15</v>
      </c>
      <c r="E1119" s="4" t="s">
        <v>721</v>
      </c>
      <c r="F1119" s="4" t="s">
        <v>2550</v>
      </c>
    </row>
    <row r="1120" spans="1:6">
      <c r="A1120" s="4" t="s">
        <v>2562</v>
      </c>
      <c r="B1120" s="6" t="s">
        <v>2563</v>
      </c>
      <c r="C1120" s="4" t="s">
        <v>275</v>
      </c>
      <c r="D1120" s="4">
        <v>10</v>
      </c>
      <c r="E1120" s="4" t="s">
        <v>2564</v>
      </c>
      <c r="F1120" s="4" t="s">
        <v>2565</v>
      </c>
    </row>
    <row r="1121" spans="1:6">
      <c r="A1121" s="4" t="s">
        <v>2566</v>
      </c>
      <c r="B1121" s="6" t="s">
        <v>2567</v>
      </c>
      <c r="C1121" s="4" t="s">
        <v>2568</v>
      </c>
      <c r="D1121" s="4">
        <v>12</v>
      </c>
      <c r="E1121" s="4" t="s">
        <v>789</v>
      </c>
      <c r="F1121" s="4" t="s">
        <v>2569</v>
      </c>
    </row>
    <row r="1122" spans="1:6">
      <c r="A1122" s="4" t="s">
        <v>2570</v>
      </c>
      <c r="B1122" s="6" t="s">
        <v>2567</v>
      </c>
      <c r="C1122" s="4" t="s">
        <v>2570</v>
      </c>
      <c r="D1122" s="4">
        <v>7</v>
      </c>
      <c r="E1122" s="4" t="s">
        <v>789</v>
      </c>
      <c r="F1122" s="4" t="s">
        <v>2571</v>
      </c>
    </row>
    <row r="1123" spans="1:6">
      <c r="A1123" s="4" t="s">
        <v>2572</v>
      </c>
      <c r="B1123" s="6" t="s">
        <v>2567</v>
      </c>
      <c r="C1123" s="4" t="s">
        <v>34</v>
      </c>
      <c r="D1123" s="4">
        <v>15</v>
      </c>
      <c r="E1123" s="4" t="s">
        <v>2544</v>
      </c>
    </row>
    <row r="1124" spans="1:6">
      <c r="A1124" s="4" t="s">
        <v>2573</v>
      </c>
      <c r="B1124" s="6" t="s">
        <v>2567</v>
      </c>
      <c r="C1124" s="4" t="s">
        <v>53</v>
      </c>
      <c r="D1124" s="4">
        <v>11</v>
      </c>
      <c r="E1124" s="4" t="s">
        <v>789</v>
      </c>
    </row>
    <row r="1125" spans="1:6">
      <c r="A1125" s="4" t="s">
        <v>2574</v>
      </c>
      <c r="B1125" s="6" t="s">
        <v>2567</v>
      </c>
      <c r="C1125" s="4" t="s">
        <v>27</v>
      </c>
      <c r="D1125" s="4">
        <v>10</v>
      </c>
      <c r="E1125" s="4" t="s">
        <v>789</v>
      </c>
    </row>
    <row r="1126" spans="1:6">
      <c r="A1126" s="4" t="s">
        <v>2575</v>
      </c>
      <c r="B1126" s="6" t="s">
        <v>2576</v>
      </c>
      <c r="C1126" s="4" t="s">
        <v>574</v>
      </c>
      <c r="D1126" s="4">
        <v>13</v>
      </c>
      <c r="E1126" s="4" t="s">
        <v>789</v>
      </c>
      <c r="F1126" s="4" t="s">
        <v>2577</v>
      </c>
    </row>
    <row r="1127" spans="1:6">
      <c r="A1127" s="4" t="s">
        <v>2578</v>
      </c>
      <c r="B1127" s="6" t="s">
        <v>2579</v>
      </c>
      <c r="C1127" s="4" t="s">
        <v>342</v>
      </c>
      <c r="D1127" s="4">
        <v>15</v>
      </c>
      <c r="E1127" s="4" t="s">
        <v>748</v>
      </c>
    </row>
    <row r="1128" spans="1:6">
      <c r="A1128" s="4" t="s">
        <v>2580</v>
      </c>
      <c r="B1128" s="6" t="s">
        <v>2579</v>
      </c>
      <c r="C1128" s="4" t="s">
        <v>315</v>
      </c>
      <c r="D1128" s="4">
        <v>23</v>
      </c>
      <c r="E1128" s="4" t="s">
        <v>731</v>
      </c>
      <c r="F1128" s="4" t="s">
        <v>2581</v>
      </c>
    </row>
    <row r="1129" spans="1:6">
      <c r="A1129" s="4" t="s">
        <v>2582</v>
      </c>
      <c r="B1129" s="6" t="s">
        <v>2583</v>
      </c>
      <c r="C1129" s="4" t="s">
        <v>19</v>
      </c>
      <c r="D1129" s="4">
        <v>10</v>
      </c>
      <c r="E1129" s="4" t="s">
        <v>752</v>
      </c>
      <c r="F1129" s="4" t="s">
        <v>2584</v>
      </c>
    </row>
    <row r="1130" spans="1:6">
      <c r="A1130" s="4" t="s">
        <v>2585</v>
      </c>
      <c r="B1130" s="6" t="s">
        <v>2586</v>
      </c>
      <c r="C1130" s="4" t="s">
        <v>414</v>
      </c>
      <c r="D1130" s="4">
        <v>11</v>
      </c>
      <c r="E1130" s="4" t="s">
        <v>908</v>
      </c>
      <c r="F1130" s="4" t="s">
        <v>2587</v>
      </c>
    </row>
    <row r="1131" spans="1:6">
      <c r="A1131" s="4" t="s">
        <v>2588</v>
      </c>
      <c r="B1131" s="6" t="s">
        <v>2589</v>
      </c>
      <c r="C1131" s="4" t="s">
        <v>420</v>
      </c>
      <c r="D1131" s="4">
        <v>5</v>
      </c>
      <c r="E1131" s="4" t="s">
        <v>767</v>
      </c>
      <c r="F1131" s="4" t="s">
        <v>2590</v>
      </c>
    </row>
    <row r="1132" spans="1:6">
      <c r="A1132" s="4" t="s">
        <v>2591</v>
      </c>
      <c r="B1132" s="6" t="s">
        <v>2589</v>
      </c>
      <c r="C1132" s="4" t="s">
        <v>285</v>
      </c>
      <c r="D1132" s="4">
        <v>8</v>
      </c>
      <c r="E1132" s="4" t="s">
        <v>752</v>
      </c>
      <c r="F1132" s="4" t="s">
        <v>2592</v>
      </c>
    </row>
    <row r="1133" spans="1:6">
      <c r="A1133" s="4" t="s">
        <v>2593</v>
      </c>
      <c r="B1133" s="6" t="s">
        <v>2589</v>
      </c>
      <c r="C1133" s="4" t="s">
        <v>221</v>
      </c>
      <c r="D1133" s="4">
        <v>15</v>
      </c>
      <c r="E1133" s="4" t="s">
        <v>908</v>
      </c>
      <c r="F1133" s="4" t="s">
        <v>2594</v>
      </c>
    </row>
    <row r="1134" spans="1:6">
      <c r="A1134" s="4" t="s">
        <v>2595</v>
      </c>
      <c r="B1134" s="6" t="s">
        <v>2589</v>
      </c>
      <c r="C1134" s="4" t="s">
        <v>121</v>
      </c>
      <c r="D1134" s="4">
        <v>7</v>
      </c>
      <c r="E1134" s="4" t="s">
        <v>1483</v>
      </c>
    </row>
    <row r="1135" spans="1:6">
      <c r="A1135" s="4" t="s">
        <v>2596</v>
      </c>
      <c r="B1135" s="6" t="s">
        <v>2589</v>
      </c>
      <c r="C1135" s="4" t="s">
        <v>23</v>
      </c>
      <c r="D1135" s="4">
        <v>8</v>
      </c>
      <c r="E1135" s="4" t="s">
        <v>1483</v>
      </c>
      <c r="F1135" s="4" t="s">
        <v>2597</v>
      </c>
    </row>
    <row r="1136" spans="1:6">
      <c r="A1136" s="4" t="s">
        <v>2598</v>
      </c>
      <c r="B1136" s="6" t="s">
        <v>2599</v>
      </c>
      <c r="C1136" s="4" t="s">
        <v>275</v>
      </c>
      <c r="D1136" s="4">
        <v>14</v>
      </c>
      <c r="E1136" s="4" t="s">
        <v>983</v>
      </c>
      <c r="F1136" s="4" t="s">
        <v>2600</v>
      </c>
    </row>
    <row r="1137" spans="1:6">
      <c r="A1137" s="4" t="s">
        <v>2601</v>
      </c>
      <c r="B1137" s="6" t="s">
        <v>2599</v>
      </c>
      <c r="C1137" s="4" t="s">
        <v>53</v>
      </c>
      <c r="D1137" s="4">
        <v>9</v>
      </c>
      <c r="E1137" s="4" t="s">
        <v>721</v>
      </c>
      <c r="F1137" s="4" t="s">
        <v>2602</v>
      </c>
    </row>
    <row r="1138" spans="1:6">
      <c r="A1138" s="4" t="s">
        <v>2603</v>
      </c>
      <c r="B1138" s="6" t="s">
        <v>2599</v>
      </c>
      <c r="C1138" s="4" t="s">
        <v>76</v>
      </c>
      <c r="D1138" s="4">
        <v>10</v>
      </c>
      <c r="E1138" s="4" t="s">
        <v>2604</v>
      </c>
    </row>
    <row r="1139" spans="1:6">
      <c r="A1139" s="4" t="s">
        <v>2605</v>
      </c>
      <c r="B1139" s="6" t="s">
        <v>2606</v>
      </c>
      <c r="C1139" s="4" t="s">
        <v>254</v>
      </c>
      <c r="D1139" s="4">
        <v>7</v>
      </c>
      <c r="E1139" s="4" t="s">
        <v>721</v>
      </c>
      <c r="F1139" s="4" t="s">
        <v>2607</v>
      </c>
    </row>
    <row r="1140" spans="1:6">
      <c r="A1140" s="4" t="s">
        <v>2608</v>
      </c>
      <c r="B1140" s="6" t="s">
        <v>2609</v>
      </c>
      <c r="C1140" s="4" t="s">
        <v>2610</v>
      </c>
      <c r="D1140" s="4">
        <v>8</v>
      </c>
      <c r="E1140" s="4" t="s">
        <v>983</v>
      </c>
      <c r="F1140" s="4" t="s">
        <v>2611</v>
      </c>
    </row>
    <row r="1141" spans="1:6">
      <c r="A1141" s="4" t="s">
        <v>2612</v>
      </c>
      <c r="B1141" s="6" t="s">
        <v>2609</v>
      </c>
      <c r="C1141" s="4" t="s">
        <v>254</v>
      </c>
      <c r="D1141" s="4">
        <v>6</v>
      </c>
      <c r="E1141" s="4" t="s">
        <v>2604</v>
      </c>
      <c r="F1141" s="4" t="s">
        <v>2613</v>
      </c>
    </row>
    <row r="1142" spans="1:6">
      <c r="A1142" s="4" t="s">
        <v>2614</v>
      </c>
      <c r="B1142" s="6" t="s">
        <v>2615</v>
      </c>
      <c r="C1142" s="4" t="s">
        <v>254</v>
      </c>
      <c r="D1142" s="4">
        <v>11</v>
      </c>
      <c r="E1142" s="4" t="s">
        <v>2604</v>
      </c>
      <c r="F1142" s="4" t="s">
        <v>2613</v>
      </c>
    </row>
    <row r="1143" spans="1:6">
      <c r="A1143" s="4" t="s">
        <v>2616</v>
      </c>
      <c r="B1143" s="6" t="s">
        <v>2617</v>
      </c>
      <c r="C1143" s="4" t="s">
        <v>2570</v>
      </c>
      <c r="D1143" s="4">
        <v>13</v>
      </c>
      <c r="E1143" s="4" t="s">
        <v>2618</v>
      </c>
      <c r="F1143" s="4" t="s">
        <v>2619</v>
      </c>
    </row>
    <row r="1144" spans="1:6">
      <c r="A1144" s="4" t="s">
        <v>2620</v>
      </c>
      <c r="B1144" s="6" t="s">
        <v>2617</v>
      </c>
      <c r="C1144" s="4" t="s">
        <v>427</v>
      </c>
      <c r="D1144" s="4">
        <v>19</v>
      </c>
      <c r="E1144" s="4" t="s">
        <v>805</v>
      </c>
      <c r="F1144" s="4" t="s">
        <v>2621</v>
      </c>
    </row>
    <row r="1145" spans="1:6">
      <c r="A1145" s="4" t="s">
        <v>2622</v>
      </c>
      <c r="B1145" s="6" t="s">
        <v>2617</v>
      </c>
      <c r="C1145" s="4" t="s">
        <v>81</v>
      </c>
      <c r="D1145" s="4">
        <v>16</v>
      </c>
      <c r="E1145" s="4" t="s">
        <v>1352</v>
      </c>
    </row>
    <row r="1146" spans="1:6">
      <c r="A1146" s="4" t="s">
        <v>2623</v>
      </c>
      <c r="B1146" s="6" t="s">
        <v>2617</v>
      </c>
      <c r="C1146" s="4" t="s">
        <v>427</v>
      </c>
      <c r="D1146" s="4">
        <v>19</v>
      </c>
      <c r="E1146" s="4" t="s">
        <v>805</v>
      </c>
    </row>
    <row r="1147" spans="1:6">
      <c r="A1147" s="4" t="s">
        <v>2624</v>
      </c>
      <c r="B1147" s="6" t="s">
        <v>2617</v>
      </c>
      <c r="C1147" s="4" t="s">
        <v>41</v>
      </c>
      <c r="D1147" s="4">
        <v>16</v>
      </c>
      <c r="E1147" s="4" t="s">
        <v>805</v>
      </c>
    </row>
    <row r="1148" spans="1:6">
      <c r="A1148" s="4" t="s">
        <v>2625</v>
      </c>
      <c r="B1148" s="6" t="s">
        <v>2626</v>
      </c>
      <c r="C1148" s="4" t="s">
        <v>87</v>
      </c>
      <c r="D1148" s="4">
        <v>12</v>
      </c>
      <c r="E1148" s="4" t="s">
        <v>150</v>
      </c>
      <c r="F1148" s="4" t="s">
        <v>2627</v>
      </c>
    </row>
    <row r="1149" spans="1:6">
      <c r="A1149" s="4" t="s">
        <v>2628</v>
      </c>
      <c r="B1149" s="6" t="s">
        <v>2629</v>
      </c>
      <c r="C1149" s="4" t="s">
        <v>23</v>
      </c>
      <c r="D1149" s="4">
        <v>11</v>
      </c>
      <c r="E1149" s="4" t="s">
        <v>1908</v>
      </c>
    </row>
    <row r="1150" spans="1:6">
      <c r="A1150" s="4" t="s">
        <v>2630</v>
      </c>
      <c r="B1150" s="6" t="s">
        <v>2631</v>
      </c>
      <c r="C1150" s="4" t="s">
        <v>403</v>
      </c>
      <c r="D1150" s="4">
        <v>18</v>
      </c>
      <c r="E1150" s="4" t="s">
        <v>731</v>
      </c>
    </row>
    <row r="1151" spans="1:6">
      <c r="A1151" s="4" t="s">
        <v>2632</v>
      </c>
      <c r="B1151" s="6" t="s">
        <v>2631</v>
      </c>
      <c r="C1151" s="4" t="s">
        <v>34</v>
      </c>
      <c r="D1151" s="4">
        <v>12</v>
      </c>
      <c r="E1151" s="4" t="s">
        <v>748</v>
      </c>
    </row>
    <row r="1152" spans="1:6">
      <c r="A1152" s="4" t="s">
        <v>2633</v>
      </c>
      <c r="B1152" s="6" t="s">
        <v>2631</v>
      </c>
      <c r="C1152" s="4" t="s">
        <v>53</v>
      </c>
      <c r="D1152" s="4">
        <v>9</v>
      </c>
      <c r="E1152" s="4" t="s">
        <v>748</v>
      </c>
    </row>
    <row r="1153" spans="1:6">
      <c r="A1153" s="4" t="s">
        <v>2634</v>
      </c>
      <c r="B1153" s="6" t="s">
        <v>2635</v>
      </c>
      <c r="C1153" s="4" t="s">
        <v>37</v>
      </c>
      <c r="D1153" s="4">
        <v>17</v>
      </c>
      <c r="E1153" s="4" t="s">
        <v>752</v>
      </c>
    </row>
    <row r="1154" spans="1:6">
      <c r="A1154" s="4" t="s">
        <v>2636</v>
      </c>
      <c r="B1154" s="6" t="s">
        <v>2637</v>
      </c>
      <c r="C1154" s="4" t="s">
        <v>301</v>
      </c>
      <c r="D1154" s="4">
        <v>12</v>
      </c>
      <c r="E1154" s="4" t="s">
        <v>752</v>
      </c>
      <c r="F1154" s="4" t="s">
        <v>2638</v>
      </c>
    </row>
    <row r="1155" spans="1:6">
      <c r="A1155" s="4" t="s">
        <v>2639</v>
      </c>
      <c r="B1155" s="6" t="s">
        <v>2637</v>
      </c>
      <c r="C1155" s="4" t="s">
        <v>23</v>
      </c>
      <c r="D1155" s="4">
        <v>15</v>
      </c>
      <c r="E1155" s="4" t="s">
        <v>2640</v>
      </c>
      <c r="F1155" s="4" t="s">
        <v>2641</v>
      </c>
    </row>
    <row r="1156" spans="1:6">
      <c r="A1156" s="4" t="s">
        <v>2642</v>
      </c>
      <c r="B1156" s="6" t="s">
        <v>2637</v>
      </c>
      <c r="C1156" s="4" t="s">
        <v>23</v>
      </c>
      <c r="D1156" s="4">
        <v>9</v>
      </c>
      <c r="E1156" s="4" t="s">
        <v>752</v>
      </c>
      <c r="F1156" s="4" t="s">
        <v>2641</v>
      </c>
    </row>
    <row r="1157" spans="1:6">
      <c r="A1157" s="4" t="s">
        <v>2643</v>
      </c>
      <c r="B1157" s="6" t="s">
        <v>2644</v>
      </c>
      <c r="C1157" s="4" t="s">
        <v>1262</v>
      </c>
      <c r="D1157" s="4">
        <v>14</v>
      </c>
      <c r="E1157" s="4" t="s">
        <v>752</v>
      </c>
    </row>
    <row r="1158" spans="1:6">
      <c r="A1158" s="4" t="s">
        <v>2645</v>
      </c>
      <c r="B1158" s="6" t="s">
        <v>2646</v>
      </c>
      <c r="C1158" s="4" t="s">
        <v>420</v>
      </c>
      <c r="D1158" s="4">
        <v>9</v>
      </c>
      <c r="E1158" s="4" t="s">
        <v>805</v>
      </c>
    </row>
    <row r="1159" spans="1:6">
      <c r="A1159" s="4" t="s">
        <v>2647</v>
      </c>
      <c r="B1159" s="6" t="s">
        <v>2646</v>
      </c>
      <c r="C1159" s="4" t="s">
        <v>254</v>
      </c>
      <c r="D1159" s="4">
        <v>4</v>
      </c>
      <c r="E1159" s="4" t="s">
        <v>805</v>
      </c>
    </row>
    <row r="1160" spans="1:6">
      <c r="A1160" s="4" t="s">
        <v>2648</v>
      </c>
      <c r="B1160" s="6" t="s">
        <v>2646</v>
      </c>
      <c r="C1160" s="4" t="s">
        <v>605</v>
      </c>
      <c r="D1160" s="4">
        <v>8</v>
      </c>
      <c r="E1160" s="4" t="s">
        <v>805</v>
      </c>
      <c r="F1160" s="4" t="s">
        <v>2649</v>
      </c>
    </row>
    <row r="1161" spans="1:6">
      <c r="A1161" s="4" t="s">
        <v>2650</v>
      </c>
      <c r="B1161" s="6" t="s">
        <v>2646</v>
      </c>
      <c r="C1161" s="4" t="s">
        <v>1078</v>
      </c>
      <c r="D1161" s="4">
        <v>7</v>
      </c>
      <c r="E1161" s="4" t="s">
        <v>805</v>
      </c>
      <c r="F1161" s="4" t="s">
        <v>2651</v>
      </c>
    </row>
    <row r="1162" spans="1:6">
      <c r="A1162" s="4" t="s">
        <v>2652</v>
      </c>
      <c r="B1162" s="6" t="s">
        <v>2646</v>
      </c>
      <c r="C1162" s="4" t="s">
        <v>53</v>
      </c>
      <c r="D1162" s="4">
        <v>11</v>
      </c>
      <c r="E1162" s="4" t="s">
        <v>805</v>
      </c>
    </row>
    <row r="1163" spans="1:6">
      <c r="A1163" s="4" t="s">
        <v>2653</v>
      </c>
      <c r="B1163" s="6" t="s">
        <v>2646</v>
      </c>
      <c r="C1163" s="4" t="s">
        <v>76</v>
      </c>
      <c r="D1163" s="4">
        <v>9</v>
      </c>
      <c r="E1163" s="4" t="s">
        <v>805</v>
      </c>
    </row>
    <row r="1164" spans="1:6">
      <c r="A1164" s="4" t="s">
        <v>2654</v>
      </c>
      <c r="B1164" s="6" t="s">
        <v>2646</v>
      </c>
      <c r="C1164" s="4" t="s">
        <v>49</v>
      </c>
      <c r="D1164" s="4">
        <v>7</v>
      </c>
      <c r="E1164" s="4" t="s">
        <v>805</v>
      </c>
      <c r="F1164" s="4" t="s">
        <v>2655</v>
      </c>
    </row>
    <row r="1165" spans="1:6">
      <c r="A1165" s="4" t="s">
        <v>2656</v>
      </c>
      <c r="B1165" s="6" t="s">
        <v>2646</v>
      </c>
      <c r="C1165" s="4" t="s">
        <v>27</v>
      </c>
      <c r="D1165" s="4">
        <v>12</v>
      </c>
      <c r="E1165" s="4" t="s">
        <v>805</v>
      </c>
      <c r="F1165" s="4" t="s">
        <v>855</v>
      </c>
    </row>
    <row r="1166" spans="1:6">
      <c r="A1166" s="4" t="s">
        <v>2657</v>
      </c>
      <c r="B1166" s="6" t="s">
        <v>2658</v>
      </c>
      <c r="C1166" s="4" t="s">
        <v>23</v>
      </c>
      <c r="D1166" s="4">
        <v>8</v>
      </c>
      <c r="E1166" s="4" t="s">
        <v>721</v>
      </c>
    </row>
    <row r="1167" spans="1:6">
      <c r="A1167" s="4" t="s">
        <v>2659</v>
      </c>
      <c r="B1167" s="6" t="s">
        <v>2660</v>
      </c>
      <c r="C1167" s="4" t="s">
        <v>427</v>
      </c>
      <c r="D1167" s="4">
        <v>11</v>
      </c>
      <c r="E1167" s="4" t="s">
        <v>731</v>
      </c>
    </row>
    <row r="1168" spans="1:6">
      <c r="A1168" s="4" t="s">
        <v>2661</v>
      </c>
      <c r="B1168" s="6" t="s">
        <v>2662</v>
      </c>
      <c r="C1168" s="4" t="s">
        <v>405</v>
      </c>
      <c r="D1168" s="4">
        <v>7</v>
      </c>
      <c r="E1168" s="4" t="s">
        <v>2663</v>
      </c>
    </row>
    <row r="1169" spans="1:6">
      <c r="A1169" s="4" t="s">
        <v>2664</v>
      </c>
      <c r="B1169" s="6" t="s">
        <v>2665</v>
      </c>
      <c r="C1169" s="4" t="s">
        <v>756</v>
      </c>
      <c r="D1169" s="4">
        <v>10</v>
      </c>
      <c r="E1169" s="4" t="s">
        <v>2666</v>
      </c>
    </row>
    <row r="1170" spans="1:6">
      <c r="A1170" s="4" t="s">
        <v>2667</v>
      </c>
      <c r="B1170" s="6" t="s">
        <v>2668</v>
      </c>
      <c r="C1170" s="4" t="s">
        <v>60</v>
      </c>
      <c r="D1170" s="4">
        <v>17</v>
      </c>
      <c r="E1170" s="4" t="s">
        <v>721</v>
      </c>
      <c r="F1170" s="4" t="s">
        <v>2669</v>
      </c>
    </row>
    <row r="1171" spans="1:6">
      <c r="A1171" s="4" t="s">
        <v>2670</v>
      </c>
      <c r="B1171" s="6" t="s">
        <v>2671</v>
      </c>
      <c r="C1171" s="4" t="s">
        <v>27</v>
      </c>
      <c r="D1171" s="4">
        <v>17</v>
      </c>
      <c r="E1171" s="4" t="s">
        <v>2672</v>
      </c>
      <c r="F1171" s="4" t="s">
        <v>1346</v>
      </c>
    </row>
    <row r="1172" spans="1:6">
      <c r="A1172" s="4" t="s">
        <v>2673</v>
      </c>
      <c r="B1172" s="6" t="s">
        <v>2674</v>
      </c>
      <c r="C1172" s="4" t="s">
        <v>23</v>
      </c>
      <c r="D1172" s="4">
        <v>17</v>
      </c>
      <c r="E1172" s="4" t="s">
        <v>789</v>
      </c>
      <c r="F1172" s="4" t="s">
        <v>2675</v>
      </c>
    </row>
    <row r="1173" spans="1:6">
      <c r="A1173" s="4" t="s">
        <v>2676</v>
      </c>
      <c r="B1173" s="6" t="s">
        <v>2677</v>
      </c>
      <c r="C1173" s="4" t="s">
        <v>81</v>
      </c>
      <c r="D1173" s="4">
        <v>16</v>
      </c>
      <c r="E1173" s="4" t="s">
        <v>731</v>
      </c>
    </row>
    <row r="1174" spans="1:6">
      <c r="A1174" s="4" t="s">
        <v>2678</v>
      </c>
      <c r="B1174" s="6" t="s">
        <v>2679</v>
      </c>
      <c r="C1174" s="4" t="s">
        <v>87</v>
      </c>
      <c r="D1174" s="4">
        <v>13</v>
      </c>
      <c r="E1174" s="4" t="s">
        <v>731</v>
      </c>
    </row>
    <row r="1175" spans="1:6">
      <c r="A1175" s="4" t="s">
        <v>95</v>
      </c>
      <c r="B1175" s="6" t="s">
        <v>2679</v>
      </c>
      <c r="C1175" s="4" t="s">
        <v>95</v>
      </c>
      <c r="D1175" s="4">
        <v>2</v>
      </c>
      <c r="E1175" s="4" t="s">
        <v>731</v>
      </c>
    </row>
    <row r="1176" spans="1:6">
      <c r="A1176" s="4" t="s">
        <v>2680</v>
      </c>
      <c r="B1176" s="6" t="s">
        <v>2681</v>
      </c>
      <c r="C1176" s="4" t="s">
        <v>23</v>
      </c>
      <c r="D1176" s="4">
        <v>11</v>
      </c>
      <c r="E1176" s="4" t="s">
        <v>825</v>
      </c>
    </row>
    <row r="1177" spans="1:6">
      <c r="A1177" s="4" t="s">
        <v>2682</v>
      </c>
      <c r="B1177" s="6" t="s">
        <v>2683</v>
      </c>
      <c r="C1177" s="4" t="s">
        <v>87</v>
      </c>
      <c r="D1177" s="4">
        <v>8</v>
      </c>
      <c r="E1177" s="4" t="s">
        <v>2559</v>
      </c>
      <c r="F1177" s="4" t="s">
        <v>592</v>
      </c>
    </row>
    <row r="1178" spans="1:6">
      <c r="A1178" s="4" t="s">
        <v>2684</v>
      </c>
      <c r="B1178" s="6" t="s">
        <v>2683</v>
      </c>
      <c r="C1178" s="4" t="s">
        <v>49</v>
      </c>
      <c r="D1178" s="4">
        <v>10</v>
      </c>
      <c r="E1178" s="4" t="s">
        <v>721</v>
      </c>
      <c r="F1178" s="4" t="s">
        <v>1914</v>
      </c>
    </row>
    <row r="1179" spans="1:6">
      <c r="A1179" s="4" t="s">
        <v>2685</v>
      </c>
      <c r="B1179" s="6" t="s">
        <v>2683</v>
      </c>
      <c r="C1179" s="4" t="s">
        <v>254</v>
      </c>
      <c r="D1179" s="4">
        <v>7</v>
      </c>
      <c r="E1179" s="4" t="s">
        <v>721</v>
      </c>
      <c r="F1179" s="4" t="s">
        <v>2686</v>
      </c>
    </row>
    <row r="1180" spans="1:6">
      <c r="A1180" s="4" t="s">
        <v>2687</v>
      </c>
      <c r="B1180" s="6" t="s">
        <v>2683</v>
      </c>
      <c r="C1180" s="4" t="s">
        <v>57</v>
      </c>
      <c r="D1180" s="4">
        <v>13</v>
      </c>
      <c r="E1180" s="4" t="s">
        <v>721</v>
      </c>
    </row>
    <row r="1181" spans="1:6">
      <c r="A1181" s="4" t="s">
        <v>2688</v>
      </c>
      <c r="B1181" s="6" t="s">
        <v>2683</v>
      </c>
      <c r="C1181" s="4" t="s">
        <v>63</v>
      </c>
      <c r="D1181" s="4">
        <v>17</v>
      </c>
      <c r="E1181" s="4" t="s">
        <v>721</v>
      </c>
      <c r="F1181" s="4" t="s">
        <v>2689</v>
      </c>
    </row>
    <row r="1182" spans="1:6">
      <c r="A1182" s="4" t="s">
        <v>2690</v>
      </c>
      <c r="B1182" s="6" t="s">
        <v>2683</v>
      </c>
      <c r="C1182" s="4" t="s">
        <v>49</v>
      </c>
      <c r="D1182" s="4">
        <v>8</v>
      </c>
      <c r="E1182" s="4" t="s">
        <v>721</v>
      </c>
    </row>
    <row r="1183" spans="1:6">
      <c r="A1183" s="4" t="s">
        <v>2691</v>
      </c>
      <c r="B1183" s="6" t="s">
        <v>2683</v>
      </c>
      <c r="C1183" s="4" t="s">
        <v>427</v>
      </c>
      <c r="D1183" s="4">
        <v>15</v>
      </c>
      <c r="E1183" s="4" t="s">
        <v>721</v>
      </c>
      <c r="F1183" s="4" t="s">
        <v>2692</v>
      </c>
    </row>
    <row r="1184" spans="1:6">
      <c r="A1184" s="4" t="s">
        <v>2693</v>
      </c>
      <c r="B1184" s="6" t="s">
        <v>2694</v>
      </c>
      <c r="C1184" s="4" t="s">
        <v>1359</v>
      </c>
      <c r="D1184" s="4">
        <v>16</v>
      </c>
      <c r="E1184" s="4" t="s">
        <v>727</v>
      </c>
      <c r="F1184" s="4" t="s">
        <v>2695</v>
      </c>
    </row>
    <row r="1185" spans="1:6">
      <c r="A1185" s="4" t="s">
        <v>2696</v>
      </c>
      <c r="B1185" s="6" t="s">
        <v>2694</v>
      </c>
      <c r="C1185" s="4" t="s">
        <v>708</v>
      </c>
      <c r="D1185" s="4">
        <v>9</v>
      </c>
      <c r="E1185" s="4" t="s">
        <v>727</v>
      </c>
    </row>
    <row r="1186" spans="1:6">
      <c r="A1186" s="4" t="s">
        <v>2697</v>
      </c>
      <c r="B1186" s="6" t="s">
        <v>2698</v>
      </c>
      <c r="C1186" s="4" t="s">
        <v>23</v>
      </c>
      <c r="D1186" s="4">
        <v>7</v>
      </c>
      <c r="E1186" s="4" t="s">
        <v>2699</v>
      </c>
      <c r="F1186" s="4" t="s">
        <v>2700</v>
      </c>
    </row>
    <row r="1187" spans="1:6">
      <c r="A1187" s="4" t="s">
        <v>2701</v>
      </c>
      <c r="B1187" s="6" t="s">
        <v>2698</v>
      </c>
      <c r="C1187" s="4" t="s">
        <v>69</v>
      </c>
      <c r="D1187" s="4">
        <v>8</v>
      </c>
      <c r="E1187" s="4" t="s">
        <v>731</v>
      </c>
      <c r="F1187" s="4" t="s">
        <v>2702</v>
      </c>
    </row>
    <row r="1188" spans="1:6">
      <c r="A1188" s="4" t="s">
        <v>2703</v>
      </c>
      <c r="B1188" s="6" t="s">
        <v>2698</v>
      </c>
      <c r="C1188" s="4" t="s">
        <v>315</v>
      </c>
      <c r="D1188" s="4">
        <v>14</v>
      </c>
      <c r="E1188" s="4" t="s">
        <v>844</v>
      </c>
    </row>
    <row r="1189" spans="1:6">
      <c r="A1189" s="4" t="s">
        <v>2704</v>
      </c>
      <c r="B1189" s="6" t="s">
        <v>2698</v>
      </c>
      <c r="C1189" s="4" t="s">
        <v>69</v>
      </c>
      <c r="D1189" s="4">
        <v>9</v>
      </c>
      <c r="E1189" s="4" t="s">
        <v>731</v>
      </c>
      <c r="F1189" s="4" t="s">
        <v>2702</v>
      </c>
    </row>
    <row r="1190" spans="1:6">
      <c r="A1190" s="4" t="s">
        <v>2705</v>
      </c>
      <c r="B1190" s="6" t="s">
        <v>2698</v>
      </c>
      <c r="C1190" s="4" t="s">
        <v>23</v>
      </c>
      <c r="D1190" s="4">
        <v>9</v>
      </c>
      <c r="E1190" s="4" t="s">
        <v>731</v>
      </c>
    </row>
    <row r="1191" spans="1:6">
      <c r="A1191" s="4" t="s">
        <v>2706</v>
      </c>
      <c r="B1191" s="6" t="s">
        <v>2698</v>
      </c>
      <c r="C1191" s="4" t="s">
        <v>23</v>
      </c>
      <c r="D1191" s="4">
        <v>12</v>
      </c>
      <c r="E1191" s="4" t="s">
        <v>2699</v>
      </c>
    </row>
    <row r="1192" spans="1:6">
      <c r="A1192" s="4" t="s">
        <v>2707</v>
      </c>
      <c r="B1192" s="6" t="s">
        <v>2708</v>
      </c>
      <c r="C1192" s="4" t="s">
        <v>45</v>
      </c>
      <c r="D1192" s="4">
        <v>12</v>
      </c>
      <c r="E1192" s="4" t="s">
        <v>731</v>
      </c>
      <c r="F1192" s="4" t="s">
        <v>2709</v>
      </c>
    </row>
    <row r="1193" spans="1:6">
      <c r="A1193" s="4" t="s">
        <v>2710</v>
      </c>
      <c r="B1193" s="6" t="s">
        <v>2708</v>
      </c>
      <c r="C1193" s="4" t="s">
        <v>2711</v>
      </c>
      <c r="D1193" s="4">
        <v>17</v>
      </c>
      <c r="E1193" s="4" t="s">
        <v>731</v>
      </c>
      <c r="F1193" s="4" t="s">
        <v>2482</v>
      </c>
    </row>
    <row r="1194" spans="1:6">
      <c r="A1194" s="4" t="s">
        <v>2712</v>
      </c>
      <c r="B1194" s="6" t="s">
        <v>2708</v>
      </c>
      <c r="C1194" s="4" t="s">
        <v>1679</v>
      </c>
      <c r="D1194" s="4">
        <v>16</v>
      </c>
      <c r="E1194" s="4" t="s">
        <v>731</v>
      </c>
    </row>
    <row r="1195" spans="1:6">
      <c r="A1195" s="4" t="s">
        <v>2713</v>
      </c>
      <c r="B1195" s="6" t="s">
        <v>2714</v>
      </c>
      <c r="C1195" s="4" t="s">
        <v>231</v>
      </c>
      <c r="D1195" s="4">
        <v>10</v>
      </c>
      <c r="E1195" s="4" t="s">
        <v>752</v>
      </c>
    </row>
    <row r="1196" spans="1:6">
      <c r="A1196" s="4" t="s">
        <v>2715</v>
      </c>
      <c r="B1196" s="6" t="s">
        <v>2714</v>
      </c>
      <c r="C1196" s="4" t="s">
        <v>53</v>
      </c>
      <c r="D1196" s="4">
        <v>8</v>
      </c>
      <c r="E1196" s="4" t="s">
        <v>752</v>
      </c>
      <c r="F1196" s="4" t="s">
        <v>1602</v>
      </c>
    </row>
    <row r="1197" spans="1:6">
      <c r="A1197" s="4" t="s">
        <v>2716</v>
      </c>
      <c r="B1197" s="6" t="s">
        <v>2717</v>
      </c>
      <c r="C1197" s="4" t="s">
        <v>49</v>
      </c>
      <c r="D1197" s="4">
        <v>8</v>
      </c>
      <c r="E1197" s="4" t="s">
        <v>852</v>
      </c>
      <c r="F1197" s="4" t="s">
        <v>2718</v>
      </c>
    </row>
    <row r="1198" spans="1:6">
      <c r="A1198" s="4" t="s">
        <v>1420</v>
      </c>
      <c r="B1198" s="6" t="s">
        <v>2717</v>
      </c>
      <c r="C1198" s="4" t="s">
        <v>1420</v>
      </c>
      <c r="D1198" s="4">
        <v>6</v>
      </c>
      <c r="E1198" s="4" t="s">
        <v>2719</v>
      </c>
      <c r="F1198" s="4" t="s">
        <v>2720</v>
      </c>
    </row>
    <row r="1199" spans="1:6">
      <c r="A1199" s="4" t="s">
        <v>2721</v>
      </c>
      <c r="B1199" s="6" t="s">
        <v>2722</v>
      </c>
      <c r="C1199" s="4" t="s">
        <v>53</v>
      </c>
      <c r="D1199" s="4">
        <v>10</v>
      </c>
      <c r="E1199" s="4" t="s">
        <v>752</v>
      </c>
      <c r="F1199" s="4" t="s">
        <v>2723</v>
      </c>
    </row>
    <row r="1200" spans="1:6">
      <c r="A1200" s="4" t="s">
        <v>2724</v>
      </c>
      <c r="B1200" s="6" t="s">
        <v>2725</v>
      </c>
      <c r="C1200" s="4" t="s">
        <v>1420</v>
      </c>
      <c r="D1200" s="4">
        <v>16</v>
      </c>
      <c r="E1200" s="4" t="s">
        <v>752</v>
      </c>
    </row>
    <row r="1201" spans="1:6">
      <c r="A1201" s="4" t="s">
        <v>2726</v>
      </c>
      <c r="B1201" s="6" t="s">
        <v>2727</v>
      </c>
      <c r="C1201" s="4" t="s">
        <v>2393</v>
      </c>
      <c r="D1201" s="4">
        <v>14</v>
      </c>
      <c r="E1201" s="4" t="s">
        <v>1469</v>
      </c>
    </row>
    <row r="1202" spans="1:6">
      <c r="A1202" s="4" t="s">
        <v>2728</v>
      </c>
      <c r="B1202" s="6" t="s">
        <v>2727</v>
      </c>
      <c r="C1202" s="4" t="s">
        <v>27</v>
      </c>
      <c r="D1202" s="4">
        <v>17</v>
      </c>
      <c r="E1202" s="4" t="s">
        <v>1469</v>
      </c>
      <c r="F1202" s="4" t="s">
        <v>2729</v>
      </c>
    </row>
    <row r="1203" spans="1:6">
      <c r="A1203" s="4" t="s">
        <v>2730</v>
      </c>
      <c r="B1203" s="6" t="s">
        <v>2727</v>
      </c>
      <c r="C1203" s="4" t="s">
        <v>87</v>
      </c>
      <c r="D1203" s="4">
        <v>17</v>
      </c>
      <c r="E1203" s="4" t="s">
        <v>1469</v>
      </c>
      <c r="F1203" s="4" t="s">
        <v>2729</v>
      </c>
    </row>
    <row r="1204" spans="1:6">
      <c r="A1204" s="4" t="s">
        <v>2731</v>
      </c>
      <c r="B1204" s="6" t="s">
        <v>2727</v>
      </c>
      <c r="C1204" s="4" t="s">
        <v>87</v>
      </c>
      <c r="D1204" s="4">
        <v>11</v>
      </c>
      <c r="E1204" s="4" t="s">
        <v>752</v>
      </c>
    </row>
    <row r="1205" spans="1:6">
      <c r="A1205" s="4" t="s">
        <v>2732</v>
      </c>
      <c r="B1205" s="6" t="s">
        <v>2727</v>
      </c>
      <c r="C1205" s="4" t="s">
        <v>354</v>
      </c>
      <c r="D1205" s="4">
        <v>8</v>
      </c>
      <c r="E1205" s="4" t="s">
        <v>752</v>
      </c>
      <c r="F1205" s="4" t="s">
        <v>2733</v>
      </c>
    </row>
    <row r="1206" spans="1:6">
      <c r="A1206" s="4" t="s">
        <v>2734</v>
      </c>
      <c r="B1206" s="6" t="s">
        <v>2727</v>
      </c>
      <c r="C1206" s="4" t="s">
        <v>945</v>
      </c>
      <c r="D1206" s="4">
        <v>11</v>
      </c>
      <c r="E1206" s="4" t="s">
        <v>2735</v>
      </c>
    </row>
    <row r="1207" spans="1:6">
      <c r="A1207" s="4" t="s">
        <v>2736</v>
      </c>
      <c r="B1207" s="6" t="s">
        <v>2737</v>
      </c>
      <c r="C1207" s="4" t="s">
        <v>87</v>
      </c>
      <c r="D1207" s="4">
        <v>9</v>
      </c>
      <c r="E1207" s="4" t="s">
        <v>805</v>
      </c>
      <c r="F1207" s="4" t="s">
        <v>2738</v>
      </c>
    </row>
    <row r="1208" spans="1:6">
      <c r="A1208" s="4" t="s">
        <v>2739</v>
      </c>
      <c r="B1208" s="6" t="s">
        <v>2740</v>
      </c>
      <c r="C1208" s="4" t="s">
        <v>23</v>
      </c>
      <c r="D1208" s="4">
        <v>12</v>
      </c>
      <c r="E1208" s="4" t="s">
        <v>731</v>
      </c>
    </row>
    <row r="1209" spans="1:6">
      <c r="A1209" s="4" t="s">
        <v>2741</v>
      </c>
      <c r="B1209" s="6" t="s">
        <v>2742</v>
      </c>
      <c r="C1209" s="4" t="s">
        <v>14</v>
      </c>
      <c r="D1209" s="4">
        <v>6</v>
      </c>
      <c r="E1209" s="4" t="s">
        <v>752</v>
      </c>
      <c r="F1209" s="4" t="s">
        <v>2743</v>
      </c>
    </row>
    <row r="1210" spans="1:6">
      <c r="A1210" s="4" t="s">
        <v>2744</v>
      </c>
      <c r="B1210" s="6" t="s">
        <v>2745</v>
      </c>
      <c r="C1210" s="4" t="s">
        <v>19</v>
      </c>
      <c r="D1210" s="4">
        <v>10</v>
      </c>
      <c r="E1210" s="4" t="s">
        <v>731</v>
      </c>
      <c r="F1210" s="4" t="s">
        <v>2746</v>
      </c>
    </row>
    <row r="1211" spans="1:6">
      <c r="A1211" s="4" t="s">
        <v>2747</v>
      </c>
      <c r="B1211" s="6" t="s">
        <v>2745</v>
      </c>
      <c r="C1211" s="4" t="s">
        <v>195</v>
      </c>
      <c r="D1211" s="4">
        <v>17</v>
      </c>
      <c r="E1211" s="4" t="s">
        <v>731</v>
      </c>
      <c r="F1211" s="4" t="s">
        <v>2748</v>
      </c>
    </row>
    <row r="1212" spans="1:6">
      <c r="A1212" s="4" t="s">
        <v>2749</v>
      </c>
      <c r="B1212" s="6" t="s">
        <v>2750</v>
      </c>
      <c r="C1212" s="4" t="s">
        <v>87</v>
      </c>
      <c r="D1212" s="4">
        <v>6</v>
      </c>
      <c r="E1212" s="4" t="s">
        <v>844</v>
      </c>
      <c r="F1212" s="4" t="s">
        <v>2751</v>
      </c>
    </row>
    <row r="1213" spans="1:6">
      <c r="A1213" s="4" t="s">
        <v>2752</v>
      </c>
      <c r="B1213" s="6" t="s">
        <v>2750</v>
      </c>
      <c r="C1213" s="4" t="s">
        <v>81</v>
      </c>
      <c r="D1213" s="4">
        <v>10</v>
      </c>
      <c r="E1213" s="4" t="s">
        <v>731</v>
      </c>
    </row>
    <row r="1214" spans="1:6">
      <c r="A1214" s="4" t="s">
        <v>2753</v>
      </c>
      <c r="B1214" s="6" t="s">
        <v>2750</v>
      </c>
      <c r="C1214" s="4" t="s">
        <v>390</v>
      </c>
      <c r="D1214" s="4">
        <v>7</v>
      </c>
      <c r="E1214" s="4" t="s">
        <v>731</v>
      </c>
    </row>
    <row r="1215" spans="1:6">
      <c r="A1215" s="4" t="s">
        <v>2754</v>
      </c>
      <c r="B1215" s="6" t="s">
        <v>2755</v>
      </c>
      <c r="C1215" s="4" t="s">
        <v>2756</v>
      </c>
      <c r="D1215" s="4">
        <v>17</v>
      </c>
      <c r="E1215" s="4" t="s">
        <v>731</v>
      </c>
      <c r="F1215" s="4" t="s">
        <v>2757</v>
      </c>
    </row>
    <row r="1216" spans="1:6">
      <c r="A1216" s="4" t="s">
        <v>2758</v>
      </c>
      <c r="B1216" s="6" t="s">
        <v>2759</v>
      </c>
      <c r="C1216" s="4" t="s">
        <v>453</v>
      </c>
      <c r="D1216" s="4">
        <v>12</v>
      </c>
      <c r="E1216" s="4" t="s">
        <v>2559</v>
      </c>
    </row>
    <row r="1217" spans="1:6">
      <c r="A1217" s="4" t="s">
        <v>2760</v>
      </c>
      <c r="B1217" s="6" t="s">
        <v>2759</v>
      </c>
      <c r="C1217" s="4" t="s">
        <v>529</v>
      </c>
      <c r="D1217" s="4">
        <v>10</v>
      </c>
      <c r="E1217" s="4" t="s">
        <v>2761</v>
      </c>
      <c r="F1217" s="4" t="s">
        <v>2762</v>
      </c>
    </row>
    <row r="1218" spans="1:6">
      <c r="A1218" s="4" t="s">
        <v>2763</v>
      </c>
      <c r="B1218" s="6" t="s">
        <v>2759</v>
      </c>
      <c r="C1218" s="4" t="s">
        <v>448</v>
      </c>
      <c r="D1218" s="4">
        <v>3</v>
      </c>
      <c r="E1218" s="4" t="s">
        <v>2761</v>
      </c>
      <c r="F1218" s="4" t="s">
        <v>2764</v>
      </c>
    </row>
    <row r="1219" spans="1:6">
      <c r="A1219" s="4" t="s">
        <v>2765</v>
      </c>
      <c r="B1219" s="6" t="s">
        <v>2759</v>
      </c>
      <c r="C1219" s="4" t="s">
        <v>104</v>
      </c>
      <c r="D1219" s="4">
        <v>13</v>
      </c>
      <c r="E1219" s="4" t="s">
        <v>721</v>
      </c>
      <c r="F1219" s="4" t="s">
        <v>2766</v>
      </c>
    </row>
    <row r="1220" spans="1:6">
      <c r="A1220" s="4" t="s">
        <v>2767</v>
      </c>
      <c r="B1220" s="6" t="s">
        <v>2759</v>
      </c>
      <c r="C1220" s="4" t="s">
        <v>95</v>
      </c>
      <c r="D1220" s="4">
        <v>12</v>
      </c>
      <c r="E1220" s="4" t="s">
        <v>721</v>
      </c>
    </row>
    <row r="1221" spans="1:6">
      <c r="A1221" s="4" t="s">
        <v>2768</v>
      </c>
      <c r="B1221" s="6" t="s">
        <v>2759</v>
      </c>
      <c r="C1221" s="4" t="s">
        <v>23</v>
      </c>
      <c r="D1221" s="4">
        <v>13</v>
      </c>
      <c r="E1221" s="4" t="s">
        <v>2769</v>
      </c>
      <c r="F1221" s="4" t="s">
        <v>2770</v>
      </c>
    </row>
    <row r="1222" spans="1:6">
      <c r="A1222" s="4" t="s">
        <v>2771</v>
      </c>
      <c r="B1222" s="6" t="s">
        <v>2759</v>
      </c>
      <c r="C1222" s="4" t="s">
        <v>41</v>
      </c>
      <c r="D1222" s="4">
        <v>13</v>
      </c>
      <c r="E1222" s="4" t="s">
        <v>721</v>
      </c>
    </row>
    <row r="1223" spans="1:6">
      <c r="A1223" s="4" t="s">
        <v>2772</v>
      </c>
      <c r="B1223" s="6" t="s">
        <v>2773</v>
      </c>
      <c r="C1223" s="4" t="s">
        <v>132</v>
      </c>
      <c r="D1223" s="4">
        <v>21</v>
      </c>
      <c r="E1223" s="4" t="s">
        <v>789</v>
      </c>
      <c r="F1223" s="4" t="s">
        <v>2774</v>
      </c>
    </row>
    <row r="1224" spans="1:6">
      <c r="A1224" s="4" t="s">
        <v>2775</v>
      </c>
      <c r="B1224" s="6" t="s">
        <v>2773</v>
      </c>
      <c r="C1224" s="4" t="s">
        <v>45</v>
      </c>
      <c r="D1224" s="4">
        <v>11</v>
      </c>
      <c r="E1224" s="4" t="s">
        <v>2776</v>
      </c>
    </row>
    <row r="1225" spans="1:6">
      <c r="A1225" s="4" t="s">
        <v>2777</v>
      </c>
      <c r="B1225" s="6" t="s">
        <v>2778</v>
      </c>
      <c r="C1225" s="4" t="s">
        <v>53</v>
      </c>
      <c r="D1225" s="4">
        <v>10</v>
      </c>
      <c r="E1225" s="4" t="s">
        <v>789</v>
      </c>
    </row>
    <row r="1226" spans="1:6">
      <c r="A1226" s="4" t="s">
        <v>2779</v>
      </c>
      <c r="B1226" s="6" t="s">
        <v>2780</v>
      </c>
      <c r="C1226" s="4" t="s">
        <v>45</v>
      </c>
      <c r="D1226" s="4">
        <v>10</v>
      </c>
      <c r="E1226" s="4" t="s">
        <v>2781</v>
      </c>
      <c r="F1226" s="4" t="s">
        <v>2782</v>
      </c>
    </row>
    <row r="1227" spans="1:6">
      <c r="A1227" s="4" t="s">
        <v>2783</v>
      </c>
      <c r="B1227" s="6" t="s">
        <v>2784</v>
      </c>
      <c r="C1227" s="4" t="s">
        <v>231</v>
      </c>
      <c r="D1227" s="4">
        <v>21</v>
      </c>
      <c r="E1227" s="4" t="s">
        <v>731</v>
      </c>
    </row>
    <row r="1228" spans="1:6">
      <c r="A1228" s="4" t="s">
        <v>2785</v>
      </c>
      <c r="B1228" s="6" t="s">
        <v>2784</v>
      </c>
      <c r="C1228" s="4" t="s">
        <v>221</v>
      </c>
      <c r="D1228" s="4">
        <v>16</v>
      </c>
      <c r="E1228" s="4" t="s">
        <v>844</v>
      </c>
      <c r="F1228" s="4" t="s">
        <v>2786</v>
      </c>
    </row>
    <row r="1229" spans="1:6">
      <c r="A1229" s="4" t="s">
        <v>2787</v>
      </c>
      <c r="B1229" s="6" t="s">
        <v>2784</v>
      </c>
      <c r="C1229" s="4" t="s">
        <v>53</v>
      </c>
      <c r="D1229" s="4">
        <v>19</v>
      </c>
      <c r="E1229" s="4" t="s">
        <v>731</v>
      </c>
      <c r="F1229" s="4" t="s">
        <v>2788</v>
      </c>
    </row>
    <row r="1230" spans="1:6">
      <c r="A1230" s="4" t="s">
        <v>2789</v>
      </c>
      <c r="B1230" s="6" t="s">
        <v>2790</v>
      </c>
      <c r="C1230" s="4" t="s">
        <v>19</v>
      </c>
      <c r="D1230" s="4">
        <v>9</v>
      </c>
      <c r="E1230" s="4" t="s">
        <v>2791</v>
      </c>
      <c r="F1230" s="4" t="s">
        <v>2792</v>
      </c>
    </row>
    <row r="1231" spans="1:6">
      <c r="A1231" s="4" t="s">
        <v>2793</v>
      </c>
      <c r="B1231" s="6" t="s">
        <v>2790</v>
      </c>
      <c r="C1231" s="4" t="s">
        <v>104</v>
      </c>
      <c r="D1231" s="4">
        <v>7</v>
      </c>
      <c r="E1231" s="4" t="s">
        <v>731</v>
      </c>
      <c r="F1231" s="4" t="s">
        <v>2794</v>
      </c>
    </row>
    <row r="1232" spans="1:6">
      <c r="A1232" s="4" t="s">
        <v>2795</v>
      </c>
      <c r="B1232" s="6" t="s">
        <v>2796</v>
      </c>
      <c r="C1232" s="4" t="s">
        <v>221</v>
      </c>
      <c r="D1232" s="4">
        <v>12</v>
      </c>
      <c r="E1232" s="4" t="s">
        <v>752</v>
      </c>
      <c r="F1232" s="4" t="s">
        <v>2797</v>
      </c>
    </row>
    <row r="1233" spans="1:6">
      <c r="A1233" s="4" t="s">
        <v>2798</v>
      </c>
      <c r="B1233" s="6" t="s">
        <v>2796</v>
      </c>
      <c r="C1233" s="4" t="s">
        <v>214</v>
      </c>
      <c r="D1233" s="4">
        <v>9</v>
      </c>
      <c r="E1233" s="4" t="s">
        <v>752</v>
      </c>
      <c r="F1233" s="4" t="s">
        <v>2799</v>
      </c>
    </row>
    <row r="1234" spans="1:6">
      <c r="A1234" s="4" t="s">
        <v>2800</v>
      </c>
      <c r="B1234" s="6" t="s">
        <v>2801</v>
      </c>
      <c r="C1234" s="4" t="s">
        <v>598</v>
      </c>
      <c r="D1234" s="4">
        <v>8</v>
      </c>
      <c r="E1234" s="4" t="s">
        <v>752</v>
      </c>
      <c r="F1234" s="4" t="s">
        <v>2802</v>
      </c>
    </row>
    <row r="1235" spans="1:6">
      <c r="A1235" s="4" t="s">
        <v>2803</v>
      </c>
      <c r="B1235" s="6" t="s">
        <v>2801</v>
      </c>
      <c r="C1235" s="4" t="s">
        <v>53</v>
      </c>
      <c r="D1235" s="4">
        <v>7</v>
      </c>
      <c r="E1235" s="4" t="s">
        <v>2804</v>
      </c>
      <c r="F1235" s="4" t="s">
        <v>2805</v>
      </c>
    </row>
    <row r="1236" spans="1:6">
      <c r="A1236" s="4" t="s">
        <v>2806</v>
      </c>
      <c r="B1236" s="6" t="s">
        <v>2801</v>
      </c>
      <c r="C1236" s="4" t="s">
        <v>254</v>
      </c>
      <c r="D1236" s="4">
        <v>10</v>
      </c>
      <c r="E1236" s="4" t="s">
        <v>752</v>
      </c>
    </row>
    <row r="1237" spans="1:6">
      <c r="A1237" s="4" t="s">
        <v>2807</v>
      </c>
      <c r="B1237" s="6" t="s">
        <v>2801</v>
      </c>
      <c r="C1237" s="4" t="s">
        <v>1335</v>
      </c>
      <c r="D1237" s="4">
        <v>11</v>
      </c>
      <c r="E1237" s="4" t="s">
        <v>2808</v>
      </c>
    </row>
    <row r="1238" spans="1:6">
      <c r="A1238" s="4" t="s">
        <v>2809</v>
      </c>
      <c r="B1238" s="6" t="s">
        <v>2810</v>
      </c>
      <c r="C1238" s="4" t="s">
        <v>87</v>
      </c>
      <c r="D1238" s="4">
        <v>10</v>
      </c>
      <c r="E1238" s="4" t="s">
        <v>752</v>
      </c>
    </row>
    <row r="1239" spans="1:6">
      <c r="A1239" s="4" t="s">
        <v>2811</v>
      </c>
      <c r="B1239" s="6" t="s">
        <v>2810</v>
      </c>
      <c r="C1239" s="4" t="s">
        <v>279</v>
      </c>
      <c r="D1239" s="4">
        <v>12</v>
      </c>
      <c r="E1239" s="4" t="s">
        <v>2812</v>
      </c>
    </row>
    <row r="1240" spans="1:6">
      <c r="A1240" s="4" t="s">
        <v>2813</v>
      </c>
      <c r="B1240" s="6" t="s">
        <v>2810</v>
      </c>
      <c r="C1240" s="4" t="s">
        <v>104</v>
      </c>
      <c r="D1240" s="4">
        <v>8</v>
      </c>
      <c r="E1240" s="4" t="s">
        <v>752</v>
      </c>
    </row>
    <row r="1241" spans="1:6">
      <c r="A1241" s="4" t="s">
        <v>2814</v>
      </c>
      <c r="B1241" s="6" t="s">
        <v>2815</v>
      </c>
      <c r="C1241" s="4" t="s">
        <v>285</v>
      </c>
      <c r="D1241" s="4">
        <v>9</v>
      </c>
      <c r="E1241" s="4" t="s">
        <v>908</v>
      </c>
    </row>
    <row r="1242" spans="1:6">
      <c r="A1242" s="4" t="s">
        <v>2816</v>
      </c>
      <c r="B1242" s="6" t="s">
        <v>2815</v>
      </c>
      <c r="C1242" s="4" t="s">
        <v>342</v>
      </c>
      <c r="D1242" s="4">
        <v>11</v>
      </c>
      <c r="E1242" s="4" t="s">
        <v>752</v>
      </c>
    </row>
    <row r="1243" spans="1:6">
      <c r="A1243" s="4" t="s">
        <v>2817</v>
      </c>
      <c r="B1243" s="6" t="s">
        <v>2815</v>
      </c>
      <c r="C1243" s="4" t="s">
        <v>2818</v>
      </c>
      <c r="D1243" s="4">
        <v>7</v>
      </c>
      <c r="E1243" s="4" t="s">
        <v>752</v>
      </c>
    </row>
    <row r="1244" spans="1:6">
      <c r="A1244" s="4" t="s">
        <v>2819</v>
      </c>
      <c r="B1244" s="6" t="s">
        <v>2820</v>
      </c>
      <c r="C1244" s="4" t="s">
        <v>574</v>
      </c>
      <c r="D1244" s="4">
        <v>17</v>
      </c>
      <c r="E1244" s="4" t="s">
        <v>825</v>
      </c>
    </row>
    <row r="1245" spans="1:6">
      <c r="A1245" s="4" t="s">
        <v>2821</v>
      </c>
      <c r="B1245" s="6" t="s">
        <v>2820</v>
      </c>
      <c r="C1245" s="4" t="s">
        <v>427</v>
      </c>
      <c r="D1245" s="4">
        <v>19</v>
      </c>
      <c r="E1245" s="4" t="s">
        <v>2822</v>
      </c>
      <c r="F1245" s="4" t="s">
        <v>2823</v>
      </c>
    </row>
    <row r="1246" spans="1:6">
      <c r="A1246" s="4" t="s">
        <v>2824</v>
      </c>
      <c r="B1246" s="6" t="s">
        <v>2820</v>
      </c>
      <c r="C1246" s="4" t="s">
        <v>427</v>
      </c>
      <c r="D1246" s="4">
        <v>15</v>
      </c>
      <c r="E1246" s="4" t="s">
        <v>825</v>
      </c>
    </row>
    <row r="1247" spans="1:6">
      <c r="A1247" s="4" t="s">
        <v>2825</v>
      </c>
      <c r="B1247" s="6" t="s">
        <v>2820</v>
      </c>
      <c r="C1247" s="4" t="s">
        <v>766</v>
      </c>
      <c r="D1247" s="4">
        <v>9</v>
      </c>
      <c r="E1247" s="4" t="s">
        <v>825</v>
      </c>
    </row>
    <row r="1248" spans="1:6">
      <c r="A1248" s="4" t="s">
        <v>2826</v>
      </c>
      <c r="B1248" s="6" t="s">
        <v>2827</v>
      </c>
      <c r="C1248" s="4" t="s">
        <v>223</v>
      </c>
      <c r="D1248" s="4">
        <v>13</v>
      </c>
      <c r="E1248" s="4" t="s">
        <v>825</v>
      </c>
    </row>
    <row r="1249" spans="1:6">
      <c r="A1249" s="4" t="s">
        <v>2828</v>
      </c>
      <c r="B1249" s="6" t="s">
        <v>2829</v>
      </c>
      <c r="C1249" s="4" t="s">
        <v>31</v>
      </c>
      <c r="D1249" s="4">
        <v>8</v>
      </c>
      <c r="E1249" s="4" t="s">
        <v>877</v>
      </c>
    </row>
    <row r="1250" spans="1:6">
      <c r="A1250" s="4" t="s">
        <v>2830</v>
      </c>
      <c r="B1250" s="6" t="s">
        <v>2829</v>
      </c>
      <c r="C1250" s="4" t="s">
        <v>81</v>
      </c>
      <c r="D1250" s="4">
        <v>7</v>
      </c>
      <c r="E1250" s="4" t="s">
        <v>877</v>
      </c>
    </row>
    <row r="1251" spans="1:6">
      <c r="A1251" s="4" t="s">
        <v>2831</v>
      </c>
      <c r="B1251" s="6" t="s">
        <v>2832</v>
      </c>
      <c r="C1251" s="4" t="s">
        <v>23</v>
      </c>
      <c r="D1251" s="4">
        <v>6</v>
      </c>
      <c r="E1251" s="4" t="s">
        <v>900</v>
      </c>
      <c r="F1251" s="4" t="s">
        <v>2833</v>
      </c>
    </row>
    <row r="1252" spans="1:6">
      <c r="A1252" s="4" t="s">
        <v>2834</v>
      </c>
      <c r="B1252" s="6" t="s">
        <v>2832</v>
      </c>
      <c r="C1252" s="4" t="s">
        <v>1679</v>
      </c>
      <c r="D1252" s="4">
        <v>12</v>
      </c>
      <c r="E1252" s="4" t="s">
        <v>900</v>
      </c>
    </row>
    <row r="1253" spans="1:6">
      <c r="A1253" s="4" t="s">
        <v>2835</v>
      </c>
      <c r="B1253" s="6" t="s">
        <v>2836</v>
      </c>
      <c r="C1253" s="4" t="s">
        <v>31</v>
      </c>
      <c r="D1253" s="4">
        <v>16</v>
      </c>
      <c r="E1253" s="4" t="s">
        <v>900</v>
      </c>
    </row>
    <row r="1254" spans="1:6">
      <c r="A1254" s="4" t="s">
        <v>2837</v>
      </c>
      <c r="B1254" s="6" t="s">
        <v>2838</v>
      </c>
      <c r="C1254" s="4" t="s">
        <v>275</v>
      </c>
      <c r="D1254" s="4">
        <v>6</v>
      </c>
      <c r="E1254" s="4" t="s">
        <v>832</v>
      </c>
      <c r="F1254" s="4" t="s">
        <v>2839</v>
      </c>
    </row>
    <row r="1255" spans="1:6">
      <c r="A1255" s="4" t="s">
        <v>2840</v>
      </c>
      <c r="B1255" s="6" t="s">
        <v>2841</v>
      </c>
      <c r="C1255" s="4" t="s">
        <v>254</v>
      </c>
      <c r="D1255" s="4">
        <v>9</v>
      </c>
      <c r="E1255" s="4" t="s">
        <v>752</v>
      </c>
    </row>
    <row r="1256" spans="1:6">
      <c r="A1256" s="4" t="s">
        <v>2842</v>
      </c>
      <c r="B1256" s="6" t="s">
        <v>2841</v>
      </c>
      <c r="C1256" s="4" t="s">
        <v>23</v>
      </c>
      <c r="D1256" s="4">
        <v>12</v>
      </c>
      <c r="E1256" s="4" t="s">
        <v>752</v>
      </c>
      <c r="F1256" s="4" t="s">
        <v>2843</v>
      </c>
    </row>
    <row r="1257" spans="1:6">
      <c r="A1257" s="4" t="s">
        <v>2844</v>
      </c>
      <c r="B1257" s="6" t="s">
        <v>2845</v>
      </c>
      <c r="C1257" s="4" t="s">
        <v>351</v>
      </c>
      <c r="D1257" s="4">
        <v>9</v>
      </c>
      <c r="E1257" s="4" t="s">
        <v>2846</v>
      </c>
    </row>
    <row r="1258" spans="1:6">
      <c r="A1258" s="4" t="s">
        <v>60</v>
      </c>
      <c r="B1258" s="6" t="s">
        <v>2847</v>
      </c>
      <c r="C1258" s="4" t="s">
        <v>60</v>
      </c>
      <c r="D1258" s="4">
        <v>6</v>
      </c>
      <c r="E1258" s="4" t="s">
        <v>731</v>
      </c>
    </row>
    <row r="1259" spans="1:6">
      <c r="A1259" s="4" t="s">
        <v>2848</v>
      </c>
      <c r="B1259" s="6" t="s">
        <v>2849</v>
      </c>
      <c r="C1259" s="4" t="s">
        <v>81</v>
      </c>
      <c r="D1259" s="4">
        <v>9</v>
      </c>
      <c r="E1259" s="4" t="s">
        <v>2846</v>
      </c>
      <c r="F1259" s="4" t="s">
        <v>2850</v>
      </c>
    </row>
    <row r="1260" spans="1:6">
      <c r="A1260" s="4" t="s">
        <v>2851</v>
      </c>
      <c r="B1260" s="6" t="s">
        <v>2852</v>
      </c>
      <c r="C1260" s="4" t="s">
        <v>254</v>
      </c>
      <c r="D1260" s="4">
        <v>10</v>
      </c>
      <c r="E1260" s="4" t="s">
        <v>752</v>
      </c>
      <c r="F1260" s="4" t="s">
        <v>2853</v>
      </c>
    </row>
    <row r="1261" spans="1:6">
      <c r="A1261" s="4" t="s">
        <v>2854</v>
      </c>
      <c r="B1261" s="6" t="s">
        <v>2852</v>
      </c>
      <c r="C1261" s="4" t="s">
        <v>95</v>
      </c>
      <c r="D1261" s="4">
        <v>9</v>
      </c>
      <c r="E1261" s="4" t="s">
        <v>752</v>
      </c>
      <c r="F1261" s="4" t="s">
        <v>2359</v>
      </c>
    </row>
    <row r="1262" spans="1:6">
      <c r="A1262" s="4" t="s">
        <v>2855</v>
      </c>
      <c r="B1262" s="6" t="s">
        <v>2852</v>
      </c>
      <c r="C1262" s="4" t="s">
        <v>351</v>
      </c>
      <c r="D1262" s="4">
        <v>9</v>
      </c>
      <c r="E1262" s="4" t="s">
        <v>2856</v>
      </c>
      <c r="F1262" s="4" t="s">
        <v>2857</v>
      </c>
    </row>
    <row r="1263" spans="1:6">
      <c r="A1263" s="4" t="s">
        <v>2858</v>
      </c>
      <c r="B1263" s="6" t="s">
        <v>2852</v>
      </c>
      <c r="C1263" s="4" t="s">
        <v>23</v>
      </c>
      <c r="D1263" s="4">
        <v>6</v>
      </c>
      <c r="E1263" s="4" t="s">
        <v>752</v>
      </c>
    </row>
    <row r="1264" spans="1:6">
      <c r="A1264" s="4" t="s">
        <v>140</v>
      </c>
      <c r="B1264" s="6" t="s">
        <v>2859</v>
      </c>
      <c r="C1264" s="4" t="s">
        <v>140</v>
      </c>
      <c r="D1264" s="4">
        <v>11</v>
      </c>
      <c r="E1264" s="4" t="s">
        <v>1344</v>
      </c>
      <c r="F1264" s="4" t="s">
        <v>2860</v>
      </c>
    </row>
    <row r="1265" spans="1:6">
      <c r="A1265" s="4" t="s">
        <v>2861</v>
      </c>
      <c r="B1265" s="6" t="s">
        <v>2862</v>
      </c>
      <c r="C1265" s="4" t="s">
        <v>81</v>
      </c>
      <c r="D1265" s="4">
        <v>9</v>
      </c>
      <c r="E1265" s="4" t="s">
        <v>2812</v>
      </c>
      <c r="F1265" s="4" t="s">
        <v>2863</v>
      </c>
    </row>
    <row r="1266" spans="1:6">
      <c r="A1266" s="4" t="s">
        <v>2864</v>
      </c>
      <c r="B1266" s="6" t="s">
        <v>2862</v>
      </c>
      <c r="C1266" s="4" t="s">
        <v>74</v>
      </c>
      <c r="D1266" s="4">
        <v>6</v>
      </c>
      <c r="E1266" s="4" t="s">
        <v>752</v>
      </c>
    </row>
    <row r="1267" spans="1:6">
      <c r="A1267" s="4" t="s">
        <v>2865</v>
      </c>
      <c r="B1267" s="6" t="s">
        <v>2866</v>
      </c>
      <c r="C1267" s="4" t="s">
        <v>705</v>
      </c>
      <c r="D1267" s="4">
        <v>8</v>
      </c>
      <c r="E1267" s="4" t="s">
        <v>727</v>
      </c>
    </row>
    <row r="1268" spans="1:6">
      <c r="A1268" s="4" t="s">
        <v>2867</v>
      </c>
      <c r="B1268" s="6" t="s">
        <v>2868</v>
      </c>
      <c r="C1268" s="4" t="s">
        <v>317</v>
      </c>
      <c r="D1268" s="4">
        <v>4</v>
      </c>
      <c r="E1268" s="4" t="s">
        <v>852</v>
      </c>
    </row>
    <row r="1269" spans="1:6">
      <c r="A1269" s="4" t="s">
        <v>2869</v>
      </c>
      <c r="B1269" s="6" t="s">
        <v>2868</v>
      </c>
      <c r="C1269" s="4" t="s">
        <v>121</v>
      </c>
      <c r="D1269" s="4">
        <v>10</v>
      </c>
      <c r="E1269" s="4" t="s">
        <v>852</v>
      </c>
    </row>
    <row r="1270" spans="1:6">
      <c r="A1270" s="4" t="s">
        <v>2870</v>
      </c>
      <c r="B1270" s="6" t="s">
        <v>2871</v>
      </c>
      <c r="C1270" s="4" t="s">
        <v>254</v>
      </c>
      <c r="D1270" s="4">
        <v>9</v>
      </c>
      <c r="E1270" s="4" t="s">
        <v>852</v>
      </c>
      <c r="F1270" s="4" t="s">
        <v>2872</v>
      </c>
    </row>
    <row r="1271" spans="1:6">
      <c r="A1271" s="4" t="s">
        <v>2873</v>
      </c>
      <c r="B1271" s="6" t="s">
        <v>2871</v>
      </c>
      <c r="C1271" s="4" t="s">
        <v>301</v>
      </c>
      <c r="D1271" s="4">
        <v>7</v>
      </c>
      <c r="E1271" s="4" t="s">
        <v>2874</v>
      </c>
    </row>
    <row r="1272" spans="1:6">
      <c r="A1272" s="4" t="s">
        <v>2875</v>
      </c>
      <c r="B1272" s="6" t="s">
        <v>2871</v>
      </c>
      <c r="C1272" s="4" t="s">
        <v>301</v>
      </c>
      <c r="D1272" s="4">
        <v>17</v>
      </c>
      <c r="E1272" s="4" t="s">
        <v>2876</v>
      </c>
      <c r="F1272" s="4" t="s">
        <v>2877</v>
      </c>
    </row>
    <row r="1273" spans="1:6">
      <c r="A1273" s="4" t="s">
        <v>2878</v>
      </c>
      <c r="B1273" s="6" t="s">
        <v>2871</v>
      </c>
      <c r="C1273" s="4" t="s">
        <v>2878</v>
      </c>
      <c r="D1273" s="4">
        <v>2</v>
      </c>
    </row>
    <row r="1274" spans="1:6">
      <c r="A1274" s="4" t="s">
        <v>2879</v>
      </c>
      <c r="B1274" s="6" t="s">
        <v>2880</v>
      </c>
      <c r="C1274" s="4" t="s">
        <v>2111</v>
      </c>
      <c r="D1274" s="4">
        <v>17</v>
      </c>
      <c r="E1274" s="4" t="s">
        <v>2881</v>
      </c>
    </row>
    <row r="1275" spans="1:6">
      <c r="A1275" s="4" t="s">
        <v>2882</v>
      </c>
      <c r="B1275" s="6" t="s">
        <v>2880</v>
      </c>
      <c r="C1275" s="4" t="s">
        <v>104</v>
      </c>
      <c r="D1275" s="4">
        <v>20</v>
      </c>
      <c r="E1275" s="4" t="s">
        <v>2881</v>
      </c>
    </row>
    <row r="1276" spans="1:6">
      <c r="A1276" s="4" t="s">
        <v>2883</v>
      </c>
      <c r="B1276" s="6" t="s">
        <v>2880</v>
      </c>
      <c r="C1276" s="4" t="s">
        <v>14</v>
      </c>
      <c r="D1276" s="4">
        <v>15</v>
      </c>
      <c r="E1276" s="4" t="s">
        <v>1378</v>
      </c>
      <c r="F1276" s="4" t="s">
        <v>2884</v>
      </c>
    </row>
    <row r="1277" spans="1:6">
      <c r="A1277" s="4" t="s">
        <v>2885</v>
      </c>
      <c r="B1277" s="6" t="s">
        <v>2886</v>
      </c>
      <c r="C1277" s="4" t="s">
        <v>574</v>
      </c>
      <c r="D1277" s="4">
        <v>10</v>
      </c>
      <c r="E1277" s="4" t="s">
        <v>2887</v>
      </c>
      <c r="F1277" s="4" t="s">
        <v>2888</v>
      </c>
    </row>
    <row r="1278" spans="1:6">
      <c r="A1278" s="4" t="s">
        <v>2889</v>
      </c>
      <c r="B1278" s="6" t="s">
        <v>2886</v>
      </c>
      <c r="C1278" s="4" t="s">
        <v>34</v>
      </c>
      <c r="D1278" s="4">
        <v>11</v>
      </c>
      <c r="E1278" s="4" t="s">
        <v>2890</v>
      </c>
    </row>
    <row r="1279" spans="1:6">
      <c r="A1279" s="4" t="s">
        <v>2891</v>
      </c>
      <c r="B1279" s="6" t="s">
        <v>2892</v>
      </c>
      <c r="C1279" s="4" t="s">
        <v>23</v>
      </c>
      <c r="D1279" s="4">
        <v>21</v>
      </c>
      <c r="E1279" s="4" t="s">
        <v>1469</v>
      </c>
    </row>
    <row r="1280" spans="1:6">
      <c r="A1280" s="4" t="s">
        <v>2893</v>
      </c>
      <c r="B1280" s="6" t="s">
        <v>2894</v>
      </c>
      <c r="C1280" s="4" t="s">
        <v>1248</v>
      </c>
      <c r="D1280" s="4">
        <v>13</v>
      </c>
      <c r="E1280" s="4" t="s">
        <v>2895</v>
      </c>
    </row>
    <row r="1281" spans="1:6">
      <c r="A1281" s="4" t="s">
        <v>2896</v>
      </c>
      <c r="B1281" s="6" t="s">
        <v>2894</v>
      </c>
      <c r="C1281" s="4" t="s">
        <v>81</v>
      </c>
      <c r="D1281" s="4">
        <v>16</v>
      </c>
      <c r="E1281" s="4" t="s">
        <v>2887</v>
      </c>
      <c r="F1281" s="4" t="s">
        <v>1434</v>
      </c>
    </row>
    <row r="1282" spans="1:6">
      <c r="A1282" s="4" t="s">
        <v>2897</v>
      </c>
      <c r="B1282" s="6" t="s">
        <v>2898</v>
      </c>
      <c r="C1282" s="4" t="s">
        <v>354</v>
      </c>
      <c r="D1282" s="4">
        <v>10</v>
      </c>
      <c r="E1282" s="4" t="s">
        <v>908</v>
      </c>
      <c r="F1282" s="4" t="s">
        <v>2899</v>
      </c>
    </row>
    <row r="1283" spans="1:6">
      <c r="A1283" s="4" t="s">
        <v>2900</v>
      </c>
      <c r="B1283" s="6" t="s">
        <v>2898</v>
      </c>
      <c r="C1283" s="4" t="s">
        <v>860</v>
      </c>
      <c r="D1283" s="4">
        <v>10</v>
      </c>
      <c r="E1283" s="4" t="s">
        <v>908</v>
      </c>
      <c r="F1283" s="4" t="s">
        <v>2901</v>
      </c>
    </row>
    <row r="1284" spans="1:6">
      <c r="A1284" s="4" t="s">
        <v>2902</v>
      </c>
      <c r="B1284" s="6" t="s">
        <v>2903</v>
      </c>
      <c r="C1284" s="4" t="s">
        <v>31</v>
      </c>
      <c r="D1284" s="4">
        <v>13</v>
      </c>
      <c r="E1284" s="4" t="s">
        <v>2904</v>
      </c>
    </row>
    <row r="1285" spans="1:6">
      <c r="A1285" s="4" t="s">
        <v>2905</v>
      </c>
      <c r="B1285" s="6" t="s">
        <v>2906</v>
      </c>
      <c r="C1285" s="4" t="s">
        <v>708</v>
      </c>
      <c r="D1285" s="4">
        <v>7</v>
      </c>
      <c r="E1285" s="4" t="s">
        <v>752</v>
      </c>
    </row>
    <row r="1286" spans="1:6">
      <c r="A1286" s="4" t="s">
        <v>2907</v>
      </c>
      <c r="B1286" s="6" t="s">
        <v>2906</v>
      </c>
      <c r="C1286" s="4" t="s">
        <v>23</v>
      </c>
      <c r="D1286" s="4">
        <v>10</v>
      </c>
      <c r="E1286" s="4" t="s">
        <v>752</v>
      </c>
    </row>
    <row r="1287" spans="1:6">
      <c r="A1287" s="4" t="s">
        <v>2908</v>
      </c>
      <c r="B1287" s="6" t="s">
        <v>2909</v>
      </c>
      <c r="C1287" s="4" t="s">
        <v>14</v>
      </c>
      <c r="D1287" s="4">
        <v>13</v>
      </c>
      <c r="E1287" s="4" t="s">
        <v>2910</v>
      </c>
      <c r="F1287" s="4" t="s">
        <v>2911</v>
      </c>
    </row>
    <row r="1288" spans="1:6">
      <c r="A1288" s="4" t="s">
        <v>2912</v>
      </c>
      <c r="B1288" s="6" t="s">
        <v>2909</v>
      </c>
      <c r="C1288" s="4" t="s">
        <v>81</v>
      </c>
      <c r="D1288" s="4">
        <v>13</v>
      </c>
      <c r="E1288" s="4" t="s">
        <v>2913</v>
      </c>
    </row>
    <row r="1289" spans="1:6">
      <c r="A1289" s="4" t="s">
        <v>2914</v>
      </c>
      <c r="B1289" s="6" t="s">
        <v>2915</v>
      </c>
      <c r="C1289" s="4" t="s">
        <v>453</v>
      </c>
      <c r="D1289" s="4">
        <v>16</v>
      </c>
      <c r="E1289" s="4" t="s">
        <v>2887</v>
      </c>
      <c r="F1289" s="4" t="s">
        <v>2916</v>
      </c>
    </row>
    <row r="1290" spans="1:6">
      <c r="A1290" s="4" t="s">
        <v>2917</v>
      </c>
      <c r="B1290" s="6" t="s">
        <v>2918</v>
      </c>
      <c r="C1290" s="4" t="s">
        <v>19</v>
      </c>
      <c r="D1290" s="4">
        <v>11</v>
      </c>
      <c r="E1290" s="4" t="s">
        <v>2887</v>
      </c>
      <c r="F1290" s="4" t="s">
        <v>2919</v>
      </c>
    </row>
    <row r="1291" spans="1:6">
      <c r="A1291" s="4" t="s">
        <v>2920</v>
      </c>
      <c r="B1291" s="6" t="s">
        <v>2918</v>
      </c>
      <c r="C1291" s="4" t="s">
        <v>285</v>
      </c>
      <c r="D1291" s="4">
        <v>16</v>
      </c>
      <c r="E1291" s="4" t="s">
        <v>2887</v>
      </c>
    </row>
    <row r="1292" spans="1:6">
      <c r="A1292" s="4" t="s">
        <v>2921</v>
      </c>
      <c r="B1292" s="6" t="s">
        <v>2922</v>
      </c>
      <c r="C1292" s="4" t="s">
        <v>221</v>
      </c>
      <c r="D1292" s="4">
        <v>18</v>
      </c>
      <c r="E1292" s="4" t="s">
        <v>2887</v>
      </c>
      <c r="F1292" s="4" t="s">
        <v>1257</v>
      </c>
    </row>
    <row r="1293" spans="1:6">
      <c r="A1293" s="4" t="s">
        <v>2923</v>
      </c>
      <c r="B1293" s="6" t="s">
        <v>2924</v>
      </c>
      <c r="C1293" s="4" t="s">
        <v>104</v>
      </c>
      <c r="D1293" s="4">
        <v>12</v>
      </c>
      <c r="E1293" s="4" t="s">
        <v>2925</v>
      </c>
      <c r="F1293" s="4" t="s">
        <v>2926</v>
      </c>
    </row>
    <row r="1294" spans="1:6">
      <c r="A1294" s="4" t="s">
        <v>2927</v>
      </c>
      <c r="B1294" s="6" t="s">
        <v>2924</v>
      </c>
      <c r="C1294" s="4" t="s">
        <v>104</v>
      </c>
      <c r="D1294" s="4">
        <v>16</v>
      </c>
      <c r="E1294" s="4" t="s">
        <v>2928</v>
      </c>
      <c r="F1294" s="4" t="s">
        <v>2926</v>
      </c>
    </row>
    <row r="1295" spans="1:6">
      <c r="A1295" s="4" t="s">
        <v>2929</v>
      </c>
      <c r="B1295" s="6" t="s">
        <v>2930</v>
      </c>
      <c r="C1295" s="4" t="s">
        <v>57</v>
      </c>
      <c r="D1295" s="4">
        <v>11</v>
      </c>
      <c r="E1295" s="4" t="s">
        <v>150</v>
      </c>
      <c r="F1295" s="4" t="s">
        <v>2931</v>
      </c>
    </row>
    <row r="1296" spans="1:6">
      <c r="A1296" s="4" t="s">
        <v>2932</v>
      </c>
      <c r="B1296" s="6" t="s">
        <v>2930</v>
      </c>
      <c r="C1296" s="4" t="s">
        <v>427</v>
      </c>
      <c r="D1296" s="4">
        <v>13</v>
      </c>
      <c r="E1296" s="4" t="s">
        <v>2887</v>
      </c>
      <c r="F1296" s="4" t="s">
        <v>2933</v>
      </c>
    </row>
    <row r="1297" spans="1:6">
      <c r="A1297" s="4" t="s">
        <v>2934</v>
      </c>
      <c r="B1297" s="6" t="s">
        <v>2935</v>
      </c>
      <c r="C1297" s="4" t="s">
        <v>1248</v>
      </c>
      <c r="D1297" s="4">
        <v>9</v>
      </c>
      <c r="E1297" s="4" t="s">
        <v>908</v>
      </c>
      <c r="F1297" s="4" t="s">
        <v>2936</v>
      </c>
    </row>
    <row r="1298" spans="1:6">
      <c r="A1298" s="4" t="s">
        <v>2937</v>
      </c>
      <c r="B1298" s="6" t="s">
        <v>2935</v>
      </c>
      <c r="C1298" s="4" t="s">
        <v>263</v>
      </c>
      <c r="D1298" s="4">
        <v>8</v>
      </c>
      <c r="E1298" s="4" t="s">
        <v>908</v>
      </c>
    </row>
    <row r="1299" spans="1:6">
      <c r="A1299" s="4" t="s">
        <v>2938</v>
      </c>
      <c r="B1299" s="6" t="s">
        <v>2935</v>
      </c>
      <c r="C1299" s="4" t="s">
        <v>81</v>
      </c>
      <c r="D1299" s="4">
        <v>9</v>
      </c>
      <c r="E1299" s="4" t="s">
        <v>908</v>
      </c>
    </row>
    <row r="1300" spans="1:6">
      <c r="A1300" s="4" t="s">
        <v>2939</v>
      </c>
      <c r="B1300" s="6" t="s">
        <v>2935</v>
      </c>
      <c r="C1300" s="4" t="s">
        <v>34</v>
      </c>
      <c r="D1300" s="4">
        <v>10</v>
      </c>
      <c r="E1300" s="4" t="s">
        <v>908</v>
      </c>
      <c r="F1300" s="4" t="s">
        <v>2940</v>
      </c>
    </row>
    <row r="1301" spans="1:6">
      <c r="A1301" s="4" t="s">
        <v>2941</v>
      </c>
      <c r="B1301" s="6" t="s">
        <v>2935</v>
      </c>
      <c r="C1301" s="4" t="s">
        <v>254</v>
      </c>
      <c r="D1301" s="4">
        <v>8</v>
      </c>
      <c r="E1301" s="4" t="s">
        <v>908</v>
      </c>
    </row>
    <row r="1302" spans="1:6">
      <c r="A1302" s="4" t="s">
        <v>2942</v>
      </c>
      <c r="B1302" s="6" t="s">
        <v>2935</v>
      </c>
      <c r="C1302" s="4" t="s">
        <v>285</v>
      </c>
      <c r="D1302" s="4">
        <v>10</v>
      </c>
      <c r="E1302" s="4" t="s">
        <v>1483</v>
      </c>
    </row>
    <row r="1303" spans="1:6">
      <c r="A1303" s="4" t="s">
        <v>2943</v>
      </c>
      <c r="B1303" s="6" t="s">
        <v>2944</v>
      </c>
      <c r="C1303" s="4" t="s">
        <v>87</v>
      </c>
      <c r="D1303" s="4">
        <v>9</v>
      </c>
      <c r="E1303" s="4" t="s">
        <v>2945</v>
      </c>
    </row>
    <row r="1304" spans="1:6">
      <c r="A1304" s="4" t="s">
        <v>2946</v>
      </c>
      <c r="B1304" s="6" t="s">
        <v>2947</v>
      </c>
      <c r="C1304" s="4" t="s">
        <v>34</v>
      </c>
      <c r="D1304" s="4">
        <v>9</v>
      </c>
      <c r="E1304" s="4" t="s">
        <v>908</v>
      </c>
      <c r="F1304" s="4" t="s">
        <v>2940</v>
      </c>
    </row>
    <row r="1305" spans="1:6">
      <c r="A1305" s="4" t="s">
        <v>2948</v>
      </c>
      <c r="B1305" s="6" t="s">
        <v>2949</v>
      </c>
      <c r="C1305" s="4" t="s">
        <v>140</v>
      </c>
      <c r="D1305" s="4">
        <v>18</v>
      </c>
      <c r="E1305" s="4" t="s">
        <v>825</v>
      </c>
    </row>
    <row r="1306" spans="1:6">
      <c r="A1306" s="4" t="s">
        <v>2950</v>
      </c>
      <c r="B1306" s="6" t="s">
        <v>2951</v>
      </c>
      <c r="C1306" s="4" t="s">
        <v>705</v>
      </c>
      <c r="D1306" s="4">
        <v>8</v>
      </c>
      <c r="E1306" s="4" t="s">
        <v>752</v>
      </c>
      <c r="F1306" s="4" t="s">
        <v>2952</v>
      </c>
    </row>
    <row r="1307" spans="1:6">
      <c r="A1307" s="4" t="s">
        <v>2953</v>
      </c>
      <c r="B1307" s="6" t="s">
        <v>2951</v>
      </c>
      <c r="C1307" s="4" t="s">
        <v>23</v>
      </c>
      <c r="D1307" s="4">
        <v>5</v>
      </c>
      <c r="E1307" s="4" t="s">
        <v>1469</v>
      </c>
    </row>
    <row r="1308" spans="1:6">
      <c r="A1308" s="4" t="s">
        <v>2954</v>
      </c>
      <c r="B1308" s="6" t="s">
        <v>2951</v>
      </c>
      <c r="C1308" s="4" t="s">
        <v>414</v>
      </c>
      <c r="D1308" s="4">
        <v>10</v>
      </c>
      <c r="E1308" s="4" t="s">
        <v>752</v>
      </c>
      <c r="F1308" s="4" t="s">
        <v>2952</v>
      </c>
    </row>
    <row r="1309" spans="1:6">
      <c r="A1309" s="4" t="s">
        <v>2955</v>
      </c>
      <c r="B1309" s="6" t="s">
        <v>2951</v>
      </c>
      <c r="C1309" s="4" t="s">
        <v>254</v>
      </c>
      <c r="D1309" s="4">
        <v>8</v>
      </c>
      <c r="E1309" s="4" t="s">
        <v>752</v>
      </c>
    </row>
    <row r="1310" spans="1:6">
      <c r="A1310" s="4" t="s">
        <v>2956</v>
      </c>
      <c r="B1310" s="6" t="s">
        <v>2951</v>
      </c>
      <c r="C1310" s="4" t="s">
        <v>254</v>
      </c>
      <c r="D1310" s="4">
        <v>12</v>
      </c>
      <c r="E1310" s="4" t="s">
        <v>752</v>
      </c>
    </row>
    <row r="1311" spans="1:6">
      <c r="A1311" s="4" t="s">
        <v>2957</v>
      </c>
      <c r="B1311" s="6" t="s">
        <v>2958</v>
      </c>
      <c r="C1311" s="4" t="s">
        <v>53</v>
      </c>
      <c r="D1311" s="4">
        <v>10</v>
      </c>
      <c r="E1311" s="4" t="s">
        <v>767</v>
      </c>
    </row>
    <row r="1312" spans="1:6">
      <c r="A1312" s="4" t="s">
        <v>2959</v>
      </c>
      <c r="B1312" s="6" t="s">
        <v>2960</v>
      </c>
      <c r="C1312" s="4" t="s">
        <v>2961</v>
      </c>
      <c r="D1312" s="4">
        <v>20</v>
      </c>
      <c r="E1312" s="4" t="s">
        <v>852</v>
      </c>
      <c r="F1312" s="4" t="s">
        <v>2962</v>
      </c>
    </row>
    <row r="1313" spans="1:6">
      <c r="A1313" s="4" t="s">
        <v>2963</v>
      </c>
      <c r="B1313" s="6" t="s">
        <v>2964</v>
      </c>
      <c r="C1313" s="4" t="s">
        <v>1078</v>
      </c>
      <c r="D1313" s="4">
        <v>15</v>
      </c>
      <c r="E1313" s="4" t="s">
        <v>2965</v>
      </c>
      <c r="F1313" s="4" t="s">
        <v>2966</v>
      </c>
    </row>
    <row r="1314" spans="1:6">
      <c r="A1314" s="4" t="s">
        <v>2967</v>
      </c>
      <c r="B1314" s="6" t="s">
        <v>2964</v>
      </c>
      <c r="C1314" s="4" t="s">
        <v>1078</v>
      </c>
      <c r="D1314" s="4">
        <v>17</v>
      </c>
      <c r="E1314" s="4" t="s">
        <v>2965</v>
      </c>
      <c r="F1314" s="4" t="s">
        <v>2966</v>
      </c>
    </row>
    <row r="1315" spans="1:6">
      <c r="A1315" s="4" t="s">
        <v>2968</v>
      </c>
      <c r="B1315" s="6" t="s">
        <v>2969</v>
      </c>
      <c r="C1315" s="4" t="s">
        <v>271</v>
      </c>
      <c r="D1315" s="4">
        <v>6</v>
      </c>
      <c r="E1315" s="4" t="s">
        <v>2970</v>
      </c>
    </row>
    <row r="1316" spans="1:6">
      <c r="A1316" s="4" t="s">
        <v>2971</v>
      </c>
      <c r="B1316" s="6" t="s">
        <v>2969</v>
      </c>
      <c r="C1316" s="4" t="s">
        <v>27</v>
      </c>
      <c r="D1316" s="4">
        <v>9</v>
      </c>
      <c r="E1316" s="4" t="s">
        <v>852</v>
      </c>
      <c r="F1316" s="4" t="s">
        <v>2972</v>
      </c>
    </row>
    <row r="1317" spans="1:6">
      <c r="A1317" s="4" t="s">
        <v>2973</v>
      </c>
      <c r="B1317" s="6" t="s">
        <v>2969</v>
      </c>
      <c r="C1317" s="4" t="s">
        <v>143</v>
      </c>
      <c r="D1317" s="4">
        <v>7</v>
      </c>
      <c r="E1317" s="4" t="s">
        <v>2974</v>
      </c>
      <c r="F1317" s="4" t="s">
        <v>2975</v>
      </c>
    </row>
    <row r="1318" spans="1:6">
      <c r="A1318" s="4" t="s">
        <v>2976</v>
      </c>
      <c r="B1318" s="6" t="s">
        <v>2977</v>
      </c>
      <c r="C1318" s="4" t="s">
        <v>53</v>
      </c>
      <c r="D1318" s="4">
        <v>17</v>
      </c>
      <c r="E1318" s="4" t="s">
        <v>2978</v>
      </c>
    </row>
    <row r="1319" spans="1:6">
      <c r="A1319" s="4" t="s">
        <v>2979</v>
      </c>
      <c r="B1319" s="6" t="s">
        <v>2980</v>
      </c>
      <c r="C1319" s="4" t="s">
        <v>49</v>
      </c>
      <c r="D1319" s="4">
        <v>7</v>
      </c>
      <c r="E1319" s="4" t="s">
        <v>2604</v>
      </c>
      <c r="F1319" s="4" t="s">
        <v>2981</v>
      </c>
    </row>
    <row r="1320" spans="1:6">
      <c r="A1320" s="4" t="s">
        <v>2982</v>
      </c>
      <c r="B1320" s="6" t="s">
        <v>2980</v>
      </c>
      <c r="C1320" s="4" t="s">
        <v>49</v>
      </c>
      <c r="D1320" s="4">
        <v>10</v>
      </c>
      <c r="E1320" s="4" t="s">
        <v>2761</v>
      </c>
      <c r="F1320" s="4" t="s">
        <v>2981</v>
      </c>
    </row>
    <row r="1321" spans="1:6">
      <c r="A1321" s="4" t="s">
        <v>2983</v>
      </c>
      <c r="B1321" s="6" t="s">
        <v>2980</v>
      </c>
      <c r="C1321" s="4" t="s">
        <v>285</v>
      </c>
      <c r="D1321" s="4">
        <v>10</v>
      </c>
      <c r="E1321" s="4" t="s">
        <v>721</v>
      </c>
    </row>
    <row r="1322" spans="1:6">
      <c r="A1322" s="4" t="s">
        <v>2984</v>
      </c>
      <c r="B1322" s="6" t="s">
        <v>2980</v>
      </c>
      <c r="C1322" s="4" t="s">
        <v>53</v>
      </c>
      <c r="D1322" s="4">
        <v>14</v>
      </c>
      <c r="E1322" s="4" t="s">
        <v>721</v>
      </c>
      <c r="F1322" s="4" t="s">
        <v>2985</v>
      </c>
    </row>
    <row r="1323" spans="1:6">
      <c r="A1323" s="4" t="s">
        <v>2986</v>
      </c>
      <c r="B1323" s="6" t="s">
        <v>2980</v>
      </c>
      <c r="C1323" s="4" t="s">
        <v>23</v>
      </c>
      <c r="D1323" s="4">
        <v>13</v>
      </c>
      <c r="E1323" s="4" t="s">
        <v>2761</v>
      </c>
    </row>
    <row r="1324" spans="1:6">
      <c r="A1324" s="4" t="s">
        <v>2987</v>
      </c>
      <c r="B1324" s="6" t="s">
        <v>2980</v>
      </c>
      <c r="C1324" s="4" t="s">
        <v>27</v>
      </c>
      <c r="D1324" s="4">
        <v>10</v>
      </c>
      <c r="F1324" s="4" t="s">
        <v>2988</v>
      </c>
    </row>
    <row r="1325" spans="1:6">
      <c r="A1325" s="4" t="s">
        <v>2989</v>
      </c>
      <c r="B1325" s="6" t="s">
        <v>2990</v>
      </c>
      <c r="C1325" s="4" t="s">
        <v>31</v>
      </c>
      <c r="D1325" s="4">
        <v>15</v>
      </c>
      <c r="E1325" s="4" t="s">
        <v>731</v>
      </c>
      <c r="F1325" s="4" t="s">
        <v>1797</v>
      </c>
    </row>
    <row r="1326" spans="1:6">
      <c r="A1326" s="4" t="s">
        <v>2991</v>
      </c>
      <c r="B1326" s="6" t="s">
        <v>2990</v>
      </c>
      <c r="C1326" s="4" t="s">
        <v>31</v>
      </c>
      <c r="D1326" s="4">
        <v>21</v>
      </c>
      <c r="E1326" s="4" t="s">
        <v>731</v>
      </c>
      <c r="F1326" s="4" t="s">
        <v>1797</v>
      </c>
    </row>
    <row r="1327" spans="1:6">
      <c r="A1327" s="4" t="s">
        <v>2992</v>
      </c>
      <c r="B1327" s="6" t="s">
        <v>2993</v>
      </c>
      <c r="C1327" s="4" t="s">
        <v>49</v>
      </c>
      <c r="D1327" s="4">
        <v>9</v>
      </c>
      <c r="E1327" s="4" t="s">
        <v>752</v>
      </c>
      <c r="F1327" s="4" t="s">
        <v>2994</v>
      </c>
    </row>
    <row r="1328" spans="1:6">
      <c r="A1328" s="4" t="s">
        <v>2995</v>
      </c>
      <c r="B1328" s="6" t="s">
        <v>2996</v>
      </c>
      <c r="C1328" s="4" t="s">
        <v>23</v>
      </c>
      <c r="D1328" s="4">
        <v>12</v>
      </c>
      <c r="E1328" s="4" t="s">
        <v>731</v>
      </c>
    </row>
    <row r="1329" spans="1:6">
      <c r="A1329" s="4" t="s">
        <v>2997</v>
      </c>
      <c r="B1329" s="6" t="s">
        <v>2996</v>
      </c>
      <c r="C1329" s="4" t="s">
        <v>34</v>
      </c>
      <c r="D1329" s="4">
        <v>12</v>
      </c>
      <c r="E1329" s="4" t="s">
        <v>731</v>
      </c>
      <c r="F1329" s="4" t="s">
        <v>2998</v>
      </c>
    </row>
    <row r="1330" spans="1:6">
      <c r="A1330" s="4" t="s">
        <v>2999</v>
      </c>
      <c r="B1330" s="6" t="s">
        <v>2996</v>
      </c>
      <c r="C1330" s="4" t="s">
        <v>121</v>
      </c>
      <c r="D1330" s="4">
        <v>9</v>
      </c>
      <c r="E1330" s="4" t="s">
        <v>731</v>
      </c>
    </row>
    <row r="1331" spans="1:6">
      <c r="A1331" s="4" t="s">
        <v>3000</v>
      </c>
      <c r="B1331" s="6" t="s">
        <v>3001</v>
      </c>
      <c r="C1331" s="4" t="s">
        <v>87</v>
      </c>
      <c r="D1331" s="4">
        <v>10</v>
      </c>
      <c r="E1331" s="4" t="s">
        <v>731</v>
      </c>
    </row>
    <row r="1332" spans="1:6">
      <c r="A1332" s="4" t="s">
        <v>3002</v>
      </c>
      <c r="B1332" s="6" t="s">
        <v>3003</v>
      </c>
      <c r="C1332" s="4" t="s">
        <v>81</v>
      </c>
      <c r="D1332" s="4">
        <v>16</v>
      </c>
      <c r="E1332" s="4" t="s">
        <v>3004</v>
      </c>
      <c r="F1332" s="4" t="s">
        <v>3005</v>
      </c>
    </row>
    <row r="1333" spans="1:6">
      <c r="A1333" s="4" t="s">
        <v>3006</v>
      </c>
      <c r="B1333" s="6" t="s">
        <v>3003</v>
      </c>
      <c r="C1333" s="4" t="s">
        <v>81</v>
      </c>
      <c r="D1333" s="4">
        <v>19</v>
      </c>
      <c r="E1333" s="4" t="s">
        <v>3004</v>
      </c>
      <c r="F1333" s="4" t="s">
        <v>3005</v>
      </c>
    </row>
    <row r="1334" spans="1:6">
      <c r="A1334" s="4" t="s">
        <v>3007</v>
      </c>
      <c r="B1334" s="6" t="s">
        <v>3008</v>
      </c>
      <c r="C1334" s="4" t="s">
        <v>57</v>
      </c>
      <c r="D1334" s="4">
        <v>17</v>
      </c>
      <c r="E1334" s="4" t="s">
        <v>731</v>
      </c>
      <c r="F1334" s="4" t="s">
        <v>3009</v>
      </c>
    </row>
    <row r="1335" spans="1:6">
      <c r="A1335" s="4" t="s">
        <v>3010</v>
      </c>
      <c r="B1335" s="6" t="s">
        <v>3008</v>
      </c>
      <c r="C1335" s="4" t="s">
        <v>275</v>
      </c>
      <c r="D1335" s="4">
        <v>16</v>
      </c>
      <c r="E1335" s="4" t="s">
        <v>731</v>
      </c>
    </row>
    <row r="1336" spans="1:6">
      <c r="A1336" s="4" t="s">
        <v>3011</v>
      </c>
      <c r="B1336" s="6" t="s">
        <v>3008</v>
      </c>
      <c r="C1336" s="4" t="s">
        <v>45</v>
      </c>
      <c r="D1336" s="4">
        <v>7</v>
      </c>
      <c r="E1336" s="4" t="s">
        <v>731</v>
      </c>
    </row>
    <row r="1337" spans="1:6">
      <c r="A1337" s="4" t="s">
        <v>3012</v>
      </c>
      <c r="B1337" s="6" t="s">
        <v>3008</v>
      </c>
      <c r="C1337" s="4" t="s">
        <v>1057</v>
      </c>
      <c r="D1337" s="4">
        <v>3</v>
      </c>
      <c r="E1337" s="4" t="s">
        <v>3013</v>
      </c>
      <c r="F1337" s="4" t="s">
        <v>3014</v>
      </c>
    </row>
    <row r="1338" spans="1:6">
      <c r="A1338" s="4" t="s">
        <v>3015</v>
      </c>
      <c r="B1338" s="6" t="s">
        <v>3008</v>
      </c>
      <c r="C1338" s="4" t="s">
        <v>81</v>
      </c>
      <c r="D1338" s="4">
        <v>20</v>
      </c>
      <c r="E1338" s="4" t="s">
        <v>731</v>
      </c>
    </row>
    <row r="1339" spans="1:6">
      <c r="A1339" s="4" t="s">
        <v>3016</v>
      </c>
      <c r="B1339" s="6" t="s">
        <v>3008</v>
      </c>
      <c r="C1339" s="4" t="s">
        <v>53</v>
      </c>
      <c r="D1339" s="4">
        <v>10</v>
      </c>
      <c r="E1339" s="4" t="s">
        <v>844</v>
      </c>
    </row>
    <row r="1340" spans="1:6">
      <c r="A1340" s="4" t="s">
        <v>3017</v>
      </c>
      <c r="B1340" s="6" t="s">
        <v>3008</v>
      </c>
      <c r="C1340" s="4" t="s">
        <v>1335</v>
      </c>
      <c r="D1340" s="4">
        <v>16</v>
      </c>
      <c r="E1340" s="4" t="s">
        <v>3018</v>
      </c>
    </row>
    <row r="1341" spans="1:6">
      <c r="A1341" s="4" t="s">
        <v>3019</v>
      </c>
      <c r="B1341" s="6" t="s">
        <v>3008</v>
      </c>
      <c r="C1341" s="4" t="s">
        <v>3020</v>
      </c>
      <c r="D1341" s="4">
        <v>23</v>
      </c>
      <c r="E1341" s="4" t="s">
        <v>731</v>
      </c>
    </row>
    <row r="1342" spans="1:6">
      <c r="A1342" s="4" t="s">
        <v>3021</v>
      </c>
      <c r="B1342" s="6" t="s">
        <v>3008</v>
      </c>
      <c r="C1342" s="4" t="s">
        <v>45</v>
      </c>
      <c r="D1342" s="4">
        <v>16</v>
      </c>
      <c r="E1342" s="4" t="s">
        <v>731</v>
      </c>
    </row>
    <row r="1343" spans="1:6">
      <c r="A1343" s="4" t="s">
        <v>3022</v>
      </c>
      <c r="B1343" s="6" t="s">
        <v>3023</v>
      </c>
      <c r="C1343" s="4" t="s">
        <v>49</v>
      </c>
      <c r="D1343" s="4">
        <v>10</v>
      </c>
      <c r="E1343" s="4" t="s">
        <v>731</v>
      </c>
    </row>
    <row r="1344" spans="1:6">
      <c r="A1344" s="4" t="s">
        <v>3024</v>
      </c>
      <c r="B1344" s="6" t="s">
        <v>3025</v>
      </c>
      <c r="C1344" s="4" t="s">
        <v>279</v>
      </c>
      <c r="D1344" s="4">
        <v>9</v>
      </c>
      <c r="E1344" s="4" t="s">
        <v>3026</v>
      </c>
    </row>
    <row r="1345" spans="1:6">
      <c r="A1345" s="4" t="s">
        <v>3027</v>
      </c>
      <c r="B1345" s="6" t="s">
        <v>3025</v>
      </c>
      <c r="C1345" s="4" t="s">
        <v>351</v>
      </c>
      <c r="D1345" s="4">
        <v>12</v>
      </c>
      <c r="E1345" s="4" t="s">
        <v>752</v>
      </c>
    </row>
    <row r="1346" spans="1:6">
      <c r="A1346" s="4" t="s">
        <v>3028</v>
      </c>
      <c r="B1346" s="6" t="s">
        <v>3025</v>
      </c>
      <c r="C1346" s="4" t="s">
        <v>81</v>
      </c>
      <c r="D1346" s="4">
        <v>12</v>
      </c>
      <c r="E1346" s="4" t="s">
        <v>752</v>
      </c>
    </row>
    <row r="1347" spans="1:6">
      <c r="A1347" s="4" t="s">
        <v>3029</v>
      </c>
      <c r="B1347" s="6" t="s">
        <v>3025</v>
      </c>
      <c r="C1347" s="4" t="s">
        <v>427</v>
      </c>
      <c r="D1347" s="4">
        <v>15</v>
      </c>
      <c r="E1347" s="4" t="s">
        <v>752</v>
      </c>
      <c r="F1347" s="4" t="s">
        <v>3030</v>
      </c>
    </row>
    <row r="1348" spans="1:6">
      <c r="A1348" s="4" t="s">
        <v>3031</v>
      </c>
      <c r="B1348" s="6" t="s">
        <v>3025</v>
      </c>
      <c r="C1348" s="4" t="s">
        <v>487</v>
      </c>
      <c r="D1348" s="4">
        <v>11</v>
      </c>
      <c r="E1348" s="4" t="s">
        <v>54</v>
      </c>
    </row>
    <row r="1349" spans="1:6">
      <c r="A1349" s="4" t="s">
        <v>3032</v>
      </c>
      <c r="B1349" s="6" t="s">
        <v>3025</v>
      </c>
      <c r="C1349" s="4" t="s">
        <v>27</v>
      </c>
      <c r="D1349" s="4">
        <v>17</v>
      </c>
      <c r="E1349" s="4" t="s">
        <v>752</v>
      </c>
    </row>
    <row r="1350" spans="1:6">
      <c r="A1350" s="4" t="s">
        <v>3033</v>
      </c>
      <c r="B1350" s="6" t="s">
        <v>3034</v>
      </c>
      <c r="C1350" s="4" t="s">
        <v>3033</v>
      </c>
      <c r="D1350" s="4">
        <v>11</v>
      </c>
      <c r="E1350" s="4" t="s">
        <v>3035</v>
      </c>
      <c r="F1350" s="4" t="s">
        <v>3036</v>
      </c>
    </row>
    <row r="1351" spans="1:6">
      <c r="A1351" s="4" t="s">
        <v>3037</v>
      </c>
      <c r="B1351" s="6" t="s">
        <v>3038</v>
      </c>
      <c r="C1351" s="4" t="s">
        <v>53</v>
      </c>
      <c r="D1351" s="4">
        <v>15</v>
      </c>
      <c r="E1351" s="4" t="s">
        <v>54</v>
      </c>
      <c r="F1351" s="4" t="s">
        <v>3039</v>
      </c>
    </row>
    <row r="1352" spans="1:6">
      <c r="A1352" s="4" t="s">
        <v>3040</v>
      </c>
      <c r="B1352" s="6" t="s">
        <v>3038</v>
      </c>
      <c r="C1352" s="4" t="s">
        <v>301</v>
      </c>
      <c r="D1352" s="4">
        <v>10</v>
      </c>
      <c r="E1352" s="4" t="s">
        <v>752</v>
      </c>
    </row>
    <row r="1353" spans="1:6">
      <c r="A1353" s="4" t="s">
        <v>3041</v>
      </c>
      <c r="B1353" s="6" t="s">
        <v>3038</v>
      </c>
      <c r="C1353" s="4" t="s">
        <v>45</v>
      </c>
      <c r="D1353" s="4">
        <v>7</v>
      </c>
      <c r="E1353" s="4" t="s">
        <v>752</v>
      </c>
    </row>
    <row r="1354" spans="1:6">
      <c r="A1354" s="4" t="s">
        <v>3042</v>
      </c>
      <c r="B1354" s="6" t="s">
        <v>3043</v>
      </c>
      <c r="C1354" s="4" t="s">
        <v>81</v>
      </c>
      <c r="D1354" s="4">
        <v>12</v>
      </c>
      <c r="E1354" s="4" t="s">
        <v>752</v>
      </c>
      <c r="F1354" s="4" t="s">
        <v>3044</v>
      </c>
    </row>
    <row r="1355" spans="1:6">
      <c r="A1355" s="4" t="s">
        <v>3045</v>
      </c>
      <c r="B1355" s="6" t="s">
        <v>3043</v>
      </c>
      <c r="C1355" s="4" t="s">
        <v>238</v>
      </c>
      <c r="D1355" s="4">
        <v>13</v>
      </c>
      <c r="E1355" s="4" t="s">
        <v>752</v>
      </c>
      <c r="F1355" s="4" t="s">
        <v>3046</v>
      </c>
    </row>
    <row r="1356" spans="1:6">
      <c r="A1356" s="4" t="s">
        <v>3047</v>
      </c>
      <c r="B1356" s="6" t="s">
        <v>3043</v>
      </c>
      <c r="C1356" s="4" t="s">
        <v>104</v>
      </c>
      <c r="D1356" s="4">
        <v>10</v>
      </c>
      <c r="E1356" s="4" t="s">
        <v>752</v>
      </c>
      <c r="F1356" s="4" t="s">
        <v>3048</v>
      </c>
    </row>
    <row r="1357" spans="1:6">
      <c r="A1357" s="4" t="s">
        <v>3049</v>
      </c>
      <c r="B1357" s="6" t="s">
        <v>3043</v>
      </c>
      <c r="C1357" s="4" t="s">
        <v>81</v>
      </c>
      <c r="D1357" s="4">
        <v>9</v>
      </c>
      <c r="E1357" s="4" t="s">
        <v>752</v>
      </c>
    </row>
    <row r="1358" spans="1:6">
      <c r="A1358" s="4" t="s">
        <v>3050</v>
      </c>
      <c r="B1358" s="6" t="s">
        <v>3043</v>
      </c>
      <c r="C1358" s="4" t="s">
        <v>104</v>
      </c>
      <c r="D1358" s="4">
        <v>10</v>
      </c>
      <c r="E1358" s="4" t="s">
        <v>752</v>
      </c>
    </row>
    <row r="1359" spans="1:6">
      <c r="A1359" s="4" t="s">
        <v>3051</v>
      </c>
      <c r="B1359" s="6" t="s">
        <v>3052</v>
      </c>
      <c r="C1359" s="4" t="s">
        <v>301</v>
      </c>
      <c r="D1359" s="4">
        <v>15</v>
      </c>
      <c r="E1359" s="4" t="s">
        <v>731</v>
      </c>
      <c r="F1359" s="4" t="s">
        <v>3053</v>
      </c>
    </row>
    <row r="1360" spans="1:6">
      <c r="A1360" s="4" t="s">
        <v>3054</v>
      </c>
      <c r="B1360" s="6" t="s">
        <v>3055</v>
      </c>
      <c r="C1360" s="4" t="s">
        <v>1248</v>
      </c>
      <c r="D1360" s="4">
        <v>16</v>
      </c>
      <c r="E1360" s="4" t="s">
        <v>789</v>
      </c>
      <c r="F1360" s="4" t="s">
        <v>3056</v>
      </c>
    </row>
    <row r="1361" spans="1:6">
      <c r="A1361" s="4" t="s">
        <v>3057</v>
      </c>
      <c r="B1361" s="6" t="s">
        <v>3055</v>
      </c>
      <c r="C1361" s="4" t="s">
        <v>458</v>
      </c>
      <c r="D1361" s="4">
        <v>18</v>
      </c>
      <c r="E1361" s="4" t="s">
        <v>789</v>
      </c>
      <c r="F1361" s="4" t="s">
        <v>1023</v>
      </c>
    </row>
    <row r="1362" spans="1:6">
      <c r="A1362" s="4" t="s">
        <v>3058</v>
      </c>
      <c r="B1362" s="6" t="s">
        <v>3055</v>
      </c>
      <c r="C1362" s="4" t="s">
        <v>271</v>
      </c>
      <c r="D1362" s="4">
        <v>14</v>
      </c>
      <c r="E1362" s="4" t="s">
        <v>789</v>
      </c>
    </row>
    <row r="1363" spans="1:6">
      <c r="A1363" s="4" t="s">
        <v>3059</v>
      </c>
      <c r="B1363" s="6" t="s">
        <v>3060</v>
      </c>
      <c r="C1363" s="4" t="s">
        <v>27</v>
      </c>
      <c r="D1363" s="4">
        <v>16</v>
      </c>
      <c r="E1363" s="4" t="s">
        <v>3061</v>
      </c>
      <c r="F1363" s="4" t="s">
        <v>3062</v>
      </c>
    </row>
    <row r="1364" spans="1:6">
      <c r="A1364" s="4" t="s">
        <v>3063</v>
      </c>
      <c r="B1364" s="6" t="s">
        <v>3060</v>
      </c>
      <c r="C1364" s="4" t="s">
        <v>27</v>
      </c>
      <c r="D1364" s="4">
        <v>7</v>
      </c>
      <c r="E1364" s="4" t="s">
        <v>3064</v>
      </c>
    </row>
    <row r="1365" spans="1:6">
      <c r="A1365" s="4" t="s">
        <v>3065</v>
      </c>
      <c r="B1365" s="6" t="s">
        <v>3060</v>
      </c>
      <c r="C1365" s="4" t="s">
        <v>27</v>
      </c>
      <c r="D1365" s="4">
        <v>19</v>
      </c>
      <c r="E1365" s="4" t="s">
        <v>3061</v>
      </c>
      <c r="F1365" s="4" t="s">
        <v>3062</v>
      </c>
    </row>
    <row r="1366" spans="1:6">
      <c r="A1366" s="4" t="s">
        <v>3066</v>
      </c>
      <c r="B1366" s="6" t="s">
        <v>3067</v>
      </c>
      <c r="C1366" s="4" t="s">
        <v>81</v>
      </c>
      <c r="D1366" s="4">
        <v>11</v>
      </c>
      <c r="E1366" s="4" t="s">
        <v>731</v>
      </c>
      <c r="F1366" s="4" t="s">
        <v>3068</v>
      </c>
    </row>
    <row r="1367" spans="1:6">
      <c r="A1367" s="4" t="s">
        <v>3069</v>
      </c>
      <c r="B1367" s="6" t="s">
        <v>3067</v>
      </c>
      <c r="C1367" s="4" t="s">
        <v>45</v>
      </c>
      <c r="D1367" s="4">
        <v>10</v>
      </c>
      <c r="E1367" s="4" t="s">
        <v>731</v>
      </c>
    </row>
    <row r="1368" spans="1:6">
      <c r="A1368" s="4" t="s">
        <v>3070</v>
      </c>
      <c r="B1368" s="6" t="s">
        <v>3071</v>
      </c>
      <c r="C1368" s="4" t="s">
        <v>87</v>
      </c>
      <c r="D1368" s="4">
        <v>9</v>
      </c>
      <c r="E1368" s="4" t="s">
        <v>825</v>
      </c>
      <c r="F1368" s="4" t="s">
        <v>3072</v>
      </c>
    </row>
    <row r="1369" spans="1:6">
      <c r="A1369" s="4" t="s">
        <v>3073</v>
      </c>
      <c r="B1369" s="6" t="s">
        <v>3071</v>
      </c>
      <c r="C1369" s="4" t="s">
        <v>87</v>
      </c>
      <c r="D1369" s="4">
        <v>13</v>
      </c>
      <c r="E1369" s="4" t="s">
        <v>3074</v>
      </c>
      <c r="F1369" s="4" t="s">
        <v>3075</v>
      </c>
    </row>
    <row r="1370" spans="1:6">
      <c r="A1370" s="4" t="s">
        <v>3076</v>
      </c>
      <c r="B1370" s="6" t="s">
        <v>3077</v>
      </c>
      <c r="C1370" s="4" t="s">
        <v>76</v>
      </c>
      <c r="D1370" s="4">
        <v>21</v>
      </c>
      <c r="E1370" s="4" t="s">
        <v>789</v>
      </c>
    </row>
    <row r="1371" spans="1:6">
      <c r="A1371" s="4" t="s">
        <v>3078</v>
      </c>
      <c r="B1371" s="6" t="s">
        <v>3079</v>
      </c>
      <c r="C1371" s="4" t="s">
        <v>464</v>
      </c>
      <c r="D1371" s="4">
        <v>5</v>
      </c>
      <c r="E1371" s="4" t="s">
        <v>892</v>
      </c>
    </row>
    <row r="1372" spans="1:6">
      <c r="A1372" s="4" t="s">
        <v>3080</v>
      </c>
      <c r="B1372" s="6" t="s">
        <v>3079</v>
      </c>
      <c r="C1372" s="4" t="s">
        <v>87</v>
      </c>
      <c r="D1372" s="4">
        <v>8</v>
      </c>
      <c r="E1372" s="4" t="s">
        <v>54</v>
      </c>
    </row>
    <row r="1373" spans="1:6">
      <c r="A1373" s="4" t="s">
        <v>3081</v>
      </c>
      <c r="B1373" s="6" t="s">
        <v>3082</v>
      </c>
      <c r="C1373" s="4" t="s">
        <v>81</v>
      </c>
      <c r="D1373" s="4">
        <v>12</v>
      </c>
      <c r="E1373" s="4" t="s">
        <v>3083</v>
      </c>
      <c r="F1373" s="4" t="s">
        <v>3084</v>
      </c>
    </row>
    <row r="1374" spans="1:6">
      <c r="A1374" s="4" t="s">
        <v>3085</v>
      </c>
      <c r="B1374" s="6" t="s">
        <v>3082</v>
      </c>
      <c r="C1374" s="4" t="s">
        <v>1078</v>
      </c>
      <c r="D1374" s="4">
        <v>8</v>
      </c>
      <c r="E1374" s="4" t="s">
        <v>3086</v>
      </c>
      <c r="F1374" s="4" t="s">
        <v>3087</v>
      </c>
    </row>
    <row r="1375" spans="1:6">
      <c r="A1375" s="4" t="s">
        <v>3088</v>
      </c>
      <c r="B1375" s="6" t="s">
        <v>3089</v>
      </c>
      <c r="C1375" s="4" t="s">
        <v>453</v>
      </c>
      <c r="D1375" s="4">
        <v>11</v>
      </c>
      <c r="E1375" s="4" t="s">
        <v>721</v>
      </c>
    </row>
    <row r="1376" spans="1:6">
      <c r="A1376" s="4" t="s">
        <v>3090</v>
      </c>
      <c r="B1376" s="6" t="s">
        <v>3089</v>
      </c>
      <c r="C1376" s="4" t="s">
        <v>474</v>
      </c>
      <c r="D1376" s="4">
        <v>4</v>
      </c>
      <c r="E1376" s="4" t="s">
        <v>2604</v>
      </c>
      <c r="F1376" s="4" t="s">
        <v>3091</v>
      </c>
    </row>
    <row r="1377" spans="1:6">
      <c r="A1377" s="4" t="s">
        <v>3092</v>
      </c>
      <c r="B1377" s="6" t="s">
        <v>3089</v>
      </c>
      <c r="C1377" s="4" t="s">
        <v>1335</v>
      </c>
      <c r="D1377" s="4">
        <v>7</v>
      </c>
      <c r="E1377" s="4" t="s">
        <v>721</v>
      </c>
      <c r="F1377" s="4" t="s">
        <v>3093</v>
      </c>
    </row>
    <row r="1378" spans="1:6">
      <c r="A1378" s="4" t="s">
        <v>3094</v>
      </c>
      <c r="B1378" s="6" t="s">
        <v>3095</v>
      </c>
      <c r="C1378" s="4" t="s">
        <v>23</v>
      </c>
      <c r="D1378" s="4">
        <v>8</v>
      </c>
      <c r="E1378" s="4" t="s">
        <v>3096</v>
      </c>
      <c r="F1378" s="4" t="s">
        <v>3097</v>
      </c>
    </row>
    <row r="1379" spans="1:6">
      <c r="A1379" s="4" t="s">
        <v>3098</v>
      </c>
      <c r="B1379" s="6" t="s">
        <v>3095</v>
      </c>
      <c r="C1379" s="4" t="s">
        <v>23</v>
      </c>
      <c r="D1379" s="4">
        <v>11</v>
      </c>
      <c r="E1379" s="4" t="s">
        <v>721</v>
      </c>
    </row>
    <row r="1380" spans="1:6">
      <c r="A1380" s="4" t="s">
        <v>3099</v>
      </c>
      <c r="B1380" s="6" t="s">
        <v>3100</v>
      </c>
      <c r="C1380" s="4" t="s">
        <v>53</v>
      </c>
      <c r="D1380" s="4">
        <v>14</v>
      </c>
      <c r="E1380" s="4" t="s">
        <v>805</v>
      </c>
    </row>
    <row r="1381" spans="1:6">
      <c r="A1381" s="4" t="s">
        <v>686</v>
      </c>
      <c r="B1381" s="6" t="s">
        <v>3101</v>
      </c>
      <c r="C1381" s="4" t="s">
        <v>686</v>
      </c>
      <c r="D1381" s="4">
        <v>4</v>
      </c>
      <c r="E1381" s="4" t="s">
        <v>721</v>
      </c>
      <c r="F1381" s="4" t="s">
        <v>1854</v>
      </c>
    </row>
    <row r="1382" spans="1:6">
      <c r="A1382" s="4" t="s">
        <v>3102</v>
      </c>
      <c r="B1382" s="6" t="s">
        <v>3103</v>
      </c>
      <c r="C1382" s="4" t="s">
        <v>461</v>
      </c>
      <c r="D1382" s="4">
        <v>13</v>
      </c>
      <c r="E1382" s="4" t="s">
        <v>721</v>
      </c>
      <c r="F1382" s="4" t="s">
        <v>97</v>
      </c>
    </row>
    <row r="1383" spans="1:6">
      <c r="A1383" s="4" t="s">
        <v>3104</v>
      </c>
      <c r="B1383" s="6" t="s">
        <v>3105</v>
      </c>
      <c r="C1383" s="4" t="s">
        <v>69</v>
      </c>
      <c r="D1383" s="4">
        <v>8</v>
      </c>
      <c r="E1383" s="4" t="s">
        <v>3106</v>
      </c>
      <c r="F1383" s="4" t="s">
        <v>3107</v>
      </c>
    </row>
    <row r="1384" spans="1:6">
      <c r="A1384" s="4" t="s">
        <v>3108</v>
      </c>
      <c r="B1384" s="6" t="s">
        <v>3109</v>
      </c>
      <c r="C1384" s="4" t="s">
        <v>708</v>
      </c>
      <c r="D1384" s="4">
        <v>8</v>
      </c>
      <c r="E1384" s="4" t="s">
        <v>3110</v>
      </c>
      <c r="F1384" s="4" t="s">
        <v>3111</v>
      </c>
    </row>
    <row r="1385" spans="1:6">
      <c r="A1385" s="4" t="s">
        <v>3112</v>
      </c>
      <c r="B1385" s="6" t="s">
        <v>3109</v>
      </c>
      <c r="C1385" s="4" t="s">
        <v>708</v>
      </c>
      <c r="D1385" s="4">
        <v>7</v>
      </c>
      <c r="E1385" s="4" t="s">
        <v>3110</v>
      </c>
      <c r="F1385" s="4" t="s">
        <v>3111</v>
      </c>
    </row>
    <row r="1386" spans="1:6">
      <c r="A1386" s="4" t="s">
        <v>3113</v>
      </c>
      <c r="B1386" s="6" t="s">
        <v>3109</v>
      </c>
      <c r="C1386" s="4" t="s">
        <v>708</v>
      </c>
      <c r="D1386" s="4">
        <v>16</v>
      </c>
      <c r="E1386" s="4" t="s">
        <v>3110</v>
      </c>
      <c r="F1386" s="4" t="s">
        <v>3111</v>
      </c>
    </row>
    <row r="1387" spans="1:6">
      <c r="A1387" s="4" t="s">
        <v>3114</v>
      </c>
      <c r="B1387" s="6" t="s">
        <v>3115</v>
      </c>
      <c r="C1387" s="4" t="s">
        <v>23</v>
      </c>
      <c r="D1387" s="4">
        <v>8</v>
      </c>
      <c r="E1387" s="4" t="s">
        <v>1305</v>
      </c>
      <c r="F1387" s="4" t="s">
        <v>3116</v>
      </c>
    </row>
    <row r="1388" spans="1:6">
      <c r="A1388" s="4" t="s">
        <v>3117</v>
      </c>
      <c r="B1388" s="6" t="s">
        <v>3118</v>
      </c>
      <c r="C1388" s="4" t="s">
        <v>686</v>
      </c>
      <c r="D1388" s="4">
        <v>6</v>
      </c>
      <c r="E1388" s="4" t="s">
        <v>805</v>
      </c>
      <c r="F1388" s="4" t="s">
        <v>3119</v>
      </c>
    </row>
    <row r="1389" spans="1:6">
      <c r="A1389" s="4" t="s">
        <v>3120</v>
      </c>
      <c r="B1389" s="6" t="s">
        <v>3121</v>
      </c>
      <c r="C1389" s="4" t="s">
        <v>14</v>
      </c>
      <c r="D1389" s="4">
        <v>11</v>
      </c>
      <c r="E1389" s="4" t="s">
        <v>972</v>
      </c>
    </row>
    <row r="1390" spans="1:6">
      <c r="A1390" s="4" t="s">
        <v>3122</v>
      </c>
      <c r="B1390" s="6" t="s">
        <v>3121</v>
      </c>
      <c r="C1390" s="4" t="s">
        <v>53</v>
      </c>
      <c r="D1390" s="4">
        <v>12</v>
      </c>
      <c r="E1390" s="4" t="s">
        <v>972</v>
      </c>
    </row>
    <row r="1391" spans="1:6">
      <c r="A1391" s="4" t="s">
        <v>3123</v>
      </c>
      <c r="B1391" s="6" t="s">
        <v>3121</v>
      </c>
      <c r="C1391" s="4" t="s">
        <v>104</v>
      </c>
      <c r="D1391" s="4">
        <v>8</v>
      </c>
      <c r="E1391" s="4" t="s">
        <v>972</v>
      </c>
    </row>
    <row r="1392" spans="1:6">
      <c r="A1392" s="4" t="s">
        <v>3124</v>
      </c>
      <c r="B1392" s="6" t="s">
        <v>3125</v>
      </c>
      <c r="C1392" s="4" t="s">
        <v>453</v>
      </c>
      <c r="D1392" s="4">
        <v>13</v>
      </c>
      <c r="E1392" s="4" t="s">
        <v>3126</v>
      </c>
      <c r="F1392" s="4" t="s">
        <v>3127</v>
      </c>
    </row>
    <row r="1393" spans="1:6">
      <c r="A1393" s="4" t="s">
        <v>3128</v>
      </c>
      <c r="B1393" s="6" t="s">
        <v>3125</v>
      </c>
      <c r="C1393" s="4" t="s">
        <v>81</v>
      </c>
      <c r="D1393" s="4">
        <v>9</v>
      </c>
      <c r="E1393" s="4" t="s">
        <v>1352</v>
      </c>
      <c r="F1393" s="4" t="s">
        <v>3129</v>
      </c>
    </row>
    <row r="1394" spans="1:6">
      <c r="A1394" s="4" t="s">
        <v>3130</v>
      </c>
      <c r="B1394" s="6" t="s">
        <v>3125</v>
      </c>
      <c r="C1394" s="4" t="s">
        <v>2818</v>
      </c>
      <c r="D1394" s="4">
        <v>14</v>
      </c>
      <c r="E1394" s="4" t="s">
        <v>3131</v>
      </c>
    </row>
    <row r="1395" spans="1:6">
      <c r="A1395" s="4" t="s">
        <v>3132</v>
      </c>
      <c r="B1395" s="6" t="s">
        <v>3125</v>
      </c>
      <c r="C1395" s="4" t="s">
        <v>104</v>
      </c>
      <c r="D1395" s="4">
        <v>10</v>
      </c>
      <c r="E1395" s="4" t="s">
        <v>805</v>
      </c>
      <c r="F1395" s="4" t="s">
        <v>3133</v>
      </c>
    </row>
    <row r="1396" spans="1:6">
      <c r="A1396" s="4" t="s">
        <v>3134</v>
      </c>
      <c r="B1396" s="6" t="s">
        <v>3135</v>
      </c>
      <c r="C1396" s="4" t="s">
        <v>23</v>
      </c>
      <c r="D1396" s="4">
        <v>9</v>
      </c>
      <c r="E1396" s="4" t="s">
        <v>752</v>
      </c>
    </row>
    <row r="1397" spans="1:6">
      <c r="A1397" s="4" t="s">
        <v>3136</v>
      </c>
      <c r="B1397" s="6" t="s">
        <v>3135</v>
      </c>
      <c r="C1397" s="4" t="s">
        <v>87</v>
      </c>
      <c r="D1397" s="4">
        <v>7</v>
      </c>
      <c r="E1397" s="4" t="s">
        <v>752</v>
      </c>
    </row>
    <row r="1398" spans="1:6">
      <c r="A1398" s="4" t="s">
        <v>3137</v>
      </c>
      <c r="B1398" s="6" t="s">
        <v>3135</v>
      </c>
      <c r="C1398" s="4" t="s">
        <v>23</v>
      </c>
      <c r="D1398" s="4">
        <v>7</v>
      </c>
      <c r="E1398" s="4" t="s">
        <v>752</v>
      </c>
      <c r="F1398" s="4" t="s">
        <v>362</v>
      </c>
    </row>
    <row r="1399" spans="1:6">
      <c r="A1399" s="4" t="s">
        <v>3138</v>
      </c>
      <c r="B1399" s="6" t="s">
        <v>3139</v>
      </c>
      <c r="C1399" s="4" t="s">
        <v>81</v>
      </c>
      <c r="D1399" s="4">
        <v>8</v>
      </c>
      <c r="E1399" s="4" t="s">
        <v>1361</v>
      </c>
      <c r="F1399" s="4" t="s">
        <v>3140</v>
      </c>
    </row>
    <row r="1400" spans="1:6">
      <c r="A1400" s="4" t="s">
        <v>3141</v>
      </c>
      <c r="B1400" s="6" t="s">
        <v>3139</v>
      </c>
      <c r="C1400" s="4" t="s">
        <v>81</v>
      </c>
      <c r="D1400" s="4">
        <v>11</v>
      </c>
      <c r="E1400" s="4" t="s">
        <v>3142</v>
      </c>
      <c r="F1400" s="4" t="s">
        <v>3143</v>
      </c>
    </row>
    <row r="1401" spans="1:6">
      <c r="A1401" s="4" t="s">
        <v>3144</v>
      </c>
      <c r="B1401" s="6" t="s">
        <v>3145</v>
      </c>
      <c r="C1401" s="4" t="s">
        <v>87</v>
      </c>
      <c r="D1401" s="4">
        <v>12</v>
      </c>
      <c r="E1401" s="4" t="s">
        <v>1305</v>
      </c>
      <c r="F1401" s="4" t="s">
        <v>3146</v>
      </c>
    </row>
    <row r="1402" spans="1:6">
      <c r="A1402" s="4" t="s">
        <v>3147</v>
      </c>
      <c r="B1402" s="6" t="s">
        <v>3145</v>
      </c>
      <c r="C1402" s="4" t="s">
        <v>464</v>
      </c>
      <c r="D1402" s="4">
        <v>9</v>
      </c>
      <c r="E1402" s="4" t="s">
        <v>1305</v>
      </c>
    </row>
    <row r="1403" spans="1:6">
      <c r="A1403" s="4" t="s">
        <v>3148</v>
      </c>
      <c r="B1403" s="6" t="s">
        <v>3145</v>
      </c>
      <c r="C1403" s="4" t="s">
        <v>354</v>
      </c>
      <c r="D1403" s="4">
        <v>9</v>
      </c>
      <c r="E1403" s="4" t="s">
        <v>1305</v>
      </c>
    </row>
    <row r="1404" spans="1:6">
      <c r="A1404" s="4" t="s">
        <v>3149</v>
      </c>
      <c r="B1404" s="6" t="s">
        <v>3145</v>
      </c>
      <c r="C1404" s="4" t="s">
        <v>1248</v>
      </c>
      <c r="D1404" s="4">
        <v>9</v>
      </c>
      <c r="E1404" s="4" t="s">
        <v>1305</v>
      </c>
      <c r="F1404" s="4" t="s">
        <v>3150</v>
      </c>
    </row>
    <row r="1405" spans="1:6">
      <c r="A1405" s="4" t="s">
        <v>3151</v>
      </c>
      <c r="B1405" s="6" t="s">
        <v>3145</v>
      </c>
      <c r="C1405" s="4" t="s">
        <v>963</v>
      </c>
      <c r="D1405" s="4">
        <v>5</v>
      </c>
      <c r="E1405" s="4" t="s">
        <v>3152</v>
      </c>
    </row>
    <row r="1406" spans="1:6">
      <c r="A1406" s="4" t="s">
        <v>3153</v>
      </c>
      <c r="B1406" s="6" t="s">
        <v>3145</v>
      </c>
      <c r="C1406" s="4" t="s">
        <v>53</v>
      </c>
      <c r="D1406" s="4">
        <v>13</v>
      </c>
      <c r="E1406" s="4" t="s">
        <v>1305</v>
      </c>
    </row>
    <row r="1407" spans="1:6">
      <c r="A1407" s="4" t="s">
        <v>3154</v>
      </c>
      <c r="B1407" s="6" t="s">
        <v>3145</v>
      </c>
      <c r="C1407" s="4" t="s">
        <v>427</v>
      </c>
      <c r="D1407" s="4">
        <v>15</v>
      </c>
      <c r="E1407" s="4" t="s">
        <v>1305</v>
      </c>
    </row>
    <row r="1408" spans="1:6">
      <c r="A1408" s="4" t="s">
        <v>3155</v>
      </c>
      <c r="B1408" s="6" t="s">
        <v>3145</v>
      </c>
      <c r="C1408" s="4" t="s">
        <v>243</v>
      </c>
      <c r="D1408" s="4">
        <v>11</v>
      </c>
      <c r="E1408" s="4" t="s">
        <v>235</v>
      </c>
    </row>
    <row r="1409" spans="1:6">
      <c r="A1409" s="4" t="s">
        <v>3156</v>
      </c>
      <c r="B1409" s="6" t="s">
        <v>3145</v>
      </c>
      <c r="C1409" s="4" t="s">
        <v>2506</v>
      </c>
      <c r="D1409" s="4">
        <v>12</v>
      </c>
      <c r="E1409" s="4" t="s">
        <v>1305</v>
      </c>
      <c r="F1409" s="4" t="s">
        <v>602</v>
      </c>
    </row>
    <row r="1410" spans="1:6">
      <c r="A1410" s="4" t="s">
        <v>3157</v>
      </c>
      <c r="B1410" s="6" t="s">
        <v>3145</v>
      </c>
      <c r="C1410" s="4" t="s">
        <v>2506</v>
      </c>
      <c r="D1410" s="4">
        <v>12</v>
      </c>
      <c r="E1410" s="4" t="s">
        <v>1305</v>
      </c>
      <c r="F1410" s="4" t="s">
        <v>602</v>
      </c>
    </row>
    <row r="1411" spans="1:6">
      <c r="A1411" s="4" t="s">
        <v>3158</v>
      </c>
      <c r="B1411" s="6" t="s">
        <v>3159</v>
      </c>
      <c r="C1411" s="4" t="s">
        <v>1335</v>
      </c>
      <c r="D1411" s="4">
        <v>6</v>
      </c>
      <c r="E1411" s="4" t="s">
        <v>3061</v>
      </c>
      <c r="F1411" s="4" t="s">
        <v>3160</v>
      </c>
    </row>
    <row r="1412" spans="1:6">
      <c r="A1412" s="4" t="s">
        <v>3161</v>
      </c>
      <c r="B1412" s="6" t="s">
        <v>3159</v>
      </c>
      <c r="C1412" s="4" t="s">
        <v>427</v>
      </c>
      <c r="D1412" s="4">
        <v>12</v>
      </c>
      <c r="E1412" s="4" t="s">
        <v>805</v>
      </c>
    </row>
    <row r="1413" spans="1:6">
      <c r="A1413" s="4" t="s">
        <v>3162</v>
      </c>
      <c r="B1413" s="6" t="s">
        <v>3159</v>
      </c>
      <c r="C1413" s="4" t="s">
        <v>917</v>
      </c>
      <c r="D1413" s="4">
        <v>5</v>
      </c>
      <c r="E1413" s="4" t="s">
        <v>3061</v>
      </c>
      <c r="F1413" s="4" t="s">
        <v>3160</v>
      </c>
    </row>
    <row r="1414" spans="1:6">
      <c r="A1414" s="4" t="s">
        <v>3163</v>
      </c>
      <c r="B1414" s="6" t="s">
        <v>3159</v>
      </c>
      <c r="C1414" s="4" t="s">
        <v>1591</v>
      </c>
      <c r="D1414" s="4">
        <v>9</v>
      </c>
      <c r="E1414" s="4" t="s">
        <v>805</v>
      </c>
      <c r="F1414" s="4" t="s">
        <v>3164</v>
      </c>
    </row>
    <row r="1415" spans="1:6">
      <c r="A1415" s="4" t="s">
        <v>3165</v>
      </c>
      <c r="B1415" s="6" t="s">
        <v>3159</v>
      </c>
      <c r="C1415" s="4" t="s">
        <v>351</v>
      </c>
      <c r="D1415" s="4">
        <v>9</v>
      </c>
      <c r="E1415" s="4" t="s">
        <v>805</v>
      </c>
    </row>
    <row r="1416" spans="1:6">
      <c r="A1416" s="4" t="s">
        <v>3166</v>
      </c>
      <c r="B1416" s="6" t="s">
        <v>3167</v>
      </c>
      <c r="C1416" s="4" t="s">
        <v>3168</v>
      </c>
      <c r="D1416" s="4">
        <v>14</v>
      </c>
      <c r="E1416" s="4" t="s">
        <v>972</v>
      </c>
      <c r="F1416" s="4" t="s">
        <v>3169</v>
      </c>
    </row>
    <row r="1417" spans="1:6">
      <c r="A1417" s="4" t="s">
        <v>3170</v>
      </c>
      <c r="B1417" s="6" t="s">
        <v>3167</v>
      </c>
      <c r="C1417" s="4" t="s">
        <v>87</v>
      </c>
      <c r="D1417" s="4">
        <v>12</v>
      </c>
      <c r="E1417" s="4" t="s">
        <v>972</v>
      </c>
    </row>
    <row r="1418" spans="1:6">
      <c r="A1418" s="4" t="s">
        <v>3171</v>
      </c>
      <c r="B1418" s="6" t="s">
        <v>3172</v>
      </c>
      <c r="C1418" s="4" t="s">
        <v>87</v>
      </c>
      <c r="D1418" s="4">
        <v>9</v>
      </c>
      <c r="E1418" s="4" t="s">
        <v>752</v>
      </c>
    </row>
    <row r="1419" spans="1:6">
      <c r="A1419" s="4" t="s">
        <v>3173</v>
      </c>
      <c r="B1419" s="6" t="s">
        <v>3172</v>
      </c>
      <c r="C1419" s="4" t="s">
        <v>301</v>
      </c>
      <c r="D1419" s="4">
        <v>9</v>
      </c>
      <c r="E1419" s="4" t="s">
        <v>3174</v>
      </c>
      <c r="F1419" s="4" t="s">
        <v>3175</v>
      </c>
    </row>
    <row r="1420" spans="1:6">
      <c r="A1420" s="4" t="s">
        <v>3176</v>
      </c>
      <c r="B1420" s="6" t="s">
        <v>3172</v>
      </c>
      <c r="C1420" s="4" t="s">
        <v>427</v>
      </c>
      <c r="D1420" s="4">
        <v>9</v>
      </c>
      <c r="E1420" s="4" t="s">
        <v>3177</v>
      </c>
      <c r="F1420" s="4" t="s">
        <v>3178</v>
      </c>
    </row>
    <row r="1421" spans="1:6">
      <c r="A1421" s="4" t="s">
        <v>3179</v>
      </c>
      <c r="B1421" s="6" t="s">
        <v>3180</v>
      </c>
      <c r="C1421" s="4" t="s">
        <v>3181</v>
      </c>
      <c r="D1421" s="4">
        <v>8</v>
      </c>
      <c r="E1421" s="4" t="s">
        <v>1305</v>
      </c>
      <c r="F1421" s="4" t="s">
        <v>1586</v>
      </c>
    </row>
    <row r="1422" spans="1:6">
      <c r="A1422" s="4" t="s">
        <v>3182</v>
      </c>
      <c r="B1422" s="6" t="s">
        <v>3183</v>
      </c>
      <c r="C1422" s="4" t="s">
        <v>74</v>
      </c>
      <c r="D1422" s="4">
        <v>4</v>
      </c>
      <c r="E1422" s="4" t="s">
        <v>2640</v>
      </c>
      <c r="F1422" s="4" t="s">
        <v>3184</v>
      </c>
    </row>
    <row r="1423" spans="1:6">
      <c r="A1423" s="4" t="s">
        <v>3185</v>
      </c>
      <c r="B1423" s="6" t="s">
        <v>3186</v>
      </c>
      <c r="C1423" s="4" t="s">
        <v>87</v>
      </c>
      <c r="D1423" s="4">
        <v>11</v>
      </c>
      <c r="E1423" s="4" t="s">
        <v>972</v>
      </c>
      <c r="F1423" s="4" t="s">
        <v>3187</v>
      </c>
    </row>
    <row r="1424" spans="1:6">
      <c r="A1424" s="4" t="s">
        <v>3188</v>
      </c>
      <c r="B1424" s="6" t="s">
        <v>3189</v>
      </c>
      <c r="C1424" s="4" t="s">
        <v>37</v>
      </c>
      <c r="D1424" s="4">
        <v>20</v>
      </c>
      <c r="E1424" s="4" t="s">
        <v>2640</v>
      </c>
      <c r="F1424" s="4" t="s">
        <v>3190</v>
      </c>
    </row>
    <row r="1425" spans="1:6">
      <c r="A1425" s="4" t="s">
        <v>538</v>
      </c>
      <c r="B1425" s="6" t="s">
        <v>3189</v>
      </c>
      <c r="C1425" s="4" t="s">
        <v>538</v>
      </c>
      <c r="D1425" s="4">
        <v>4</v>
      </c>
      <c r="E1425" s="4" t="s">
        <v>1305</v>
      </c>
      <c r="F1425" s="4" t="s">
        <v>1135</v>
      </c>
    </row>
    <row r="1426" spans="1:6">
      <c r="A1426" s="4" t="s">
        <v>3191</v>
      </c>
      <c r="B1426" s="6" t="s">
        <v>3189</v>
      </c>
      <c r="C1426" s="4" t="s">
        <v>81</v>
      </c>
      <c r="D1426" s="4">
        <v>8</v>
      </c>
      <c r="E1426" s="4" t="s">
        <v>1305</v>
      </c>
    </row>
    <row r="1427" spans="1:6">
      <c r="A1427" s="4" t="s">
        <v>3192</v>
      </c>
      <c r="B1427" s="6" t="s">
        <v>3189</v>
      </c>
      <c r="C1427" s="4" t="s">
        <v>470</v>
      </c>
      <c r="D1427" s="4">
        <v>6</v>
      </c>
      <c r="E1427" s="4" t="s">
        <v>2640</v>
      </c>
    </row>
    <row r="1428" spans="1:6">
      <c r="A1428" s="4" t="s">
        <v>3193</v>
      </c>
      <c r="B1428" s="6" t="s">
        <v>3194</v>
      </c>
      <c r="C1428" s="4" t="s">
        <v>538</v>
      </c>
      <c r="D1428" s="4">
        <v>11</v>
      </c>
      <c r="E1428" s="4" t="s">
        <v>3152</v>
      </c>
    </row>
    <row r="1429" spans="1:6">
      <c r="A1429" s="4" t="s">
        <v>3195</v>
      </c>
      <c r="B1429" s="6" t="s">
        <v>3196</v>
      </c>
      <c r="C1429" s="4" t="s">
        <v>53</v>
      </c>
      <c r="D1429" s="4">
        <v>15</v>
      </c>
      <c r="E1429" s="4" t="s">
        <v>1344</v>
      </c>
      <c r="F1429" s="4" t="s">
        <v>288</v>
      </c>
    </row>
    <row r="1430" spans="1:6">
      <c r="A1430" s="4" t="s">
        <v>3197</v>
      </c>
      <c r="B1430" s="6" t="s">
        <v>3198</v>
      </c>
      <c r="C1430" s="4" t="s">
        <v>301</v>
      </c>
      <c r="D1430" s="4">
        <v>12</v>
      </c>
      <c r="E1430" s="4" t="s">
        <v>3199</v>
      </c>
      <c r="F1430" s="4" t="s">
        <v>2533</v>
      </c>
    </row>
    <row r="1431" spans="1:6">
      <c r="A1431" s="4" t="s">
        <v>3200</v>
      </c>
      <c r="B1431" s="6" t="s">
        <v>3198</v>
      </c>
      <c r="C1431" s="4" t="s">
        <v>254</v>
      </c>
      <c r="D1431" s="4">
        <v>6</v>
      </c>
      <c r="E1431" s="4" t="s">
        <v>3004</v>
      </c>
      <c r="F1431" s="4" t="s">
        <v>3201</v>
      </c>
    </row>
    <row r="1432" spans="1:6">
      <c r="A1432" s="4" t="s">
        <v>3202</v>
      </c>
      <c r="B1432" s="6" t="s">
        <v>3198</v>
      </c>
      <c r="C1432" s="4" t="s">
        <v>87</v>
      </c>
      <c r="D1432" s="4">
        <v>15</v>
      </c>
      <c r="E1432" s="4" t="s">
        <v>805</v>
      </c>
      <c r="F1432" s="4" t="s">
        <v>3203</v>
      </c>
    </row>
    <row r="1433" spans="1:6">
      <c r="A1433" s="4" t="s">
        <v>3204</v>
      </c>
      <c r="B1433" s="6" t="s">
        <v>3198</v>
      </c>
      <c r="C1433" s="4" t="s">
        <v>104</v>
      </c>
      <c r="D1433" s="4">
        <v>13</v>
      </c>
      <c r="E1433" s="4" t="s">
        <v>3004</v>
      </c>
      <c r="F1433" s="4" t="s">
        <v>3201</v>
      </c>
    </row>
    <row r="1434" spans="1:6">
      <c r="A1434" s="4" t="s">
        <v>3205</v>
      </c>
      <c r="B1434" s="6" t="s">
        <v>3206</v>
      </c>
      <c r="C1434" s="4" t="s">
        <v>405</v>
      </c>
      <c r="D1434" s="4">
        <v>6</v>
      </c>
      <c r="E1434" s="4" t="s">
        <v>727</v>
      </c>
      <c r="F1434" s="4" t="s">
        <v>3207</v>
      </c>
    </row>
    <row r="1435" spans="1:6">
      <c r="A1435" s="4" t="s">
        <v>3208</v>
      </c>
      <c r="B1435" s="6" t="s">
        <v>3209</v>
      </c>
      <c r="C1435" s="4" t="s">
        <v>23</v>
      </c>
      <c r="D1435" s="4">
        <v>6</v>
      </c>
      <c r="E1435" s="4" t="s">
        <v>2735</v>
      </c>
      <c r="F1435" s="4" t="s">
        <v>3201</v>
      </c>
    </row>
    <row r="1436" spans="1:6">
      <c r="A1436" s="4" t="s">
        <v>3210</v>
      </c>
      <c r="B1436" s="6" t="s">
        <v>3211</v>
      </c>
      <c r="C1436" s="4" t="s">
        <v>23</v>
      </c>
      <c r="D1436" s="4">
        <v>6</v>
      </c>
      <c r="E1436" s="4" t="s">
        <v>3212</v>
      </c>
    </row>
    <row r="1437" spans="1:6">
      <c r="A1437" s="4" t="s">
        <v>3213</v>
      </c>
      <c r="B1437" s="6" t="s">
        <v>3214</v>
      </c>
      <c r="C1437" s="4" t="s">
        <v>705</v>
      </c>
      <c r="D1437" s="4">
        <v>15</v>
      </c>
      <c r="E1437" s="4" t="s">
        <v>3215</v>
      </c>
      <c r="F1437" s="4" t="s">
        <v>1326</v>
      </c>
    </row>
    <row r="1438" spans="1:6">
      <c r="A1438" s="4" t="s">
        <v>3216</v>
      </c>
      <c r="B1438" s="6" t="s">
        <v>3214</v>
      </c>
      <c r="C1438" s="4" t="s">
        <v>49</v>
      </c>
      <c r="D1438" s="4">
        <v>16</v>
      </c>
      <c r="E1438" s="4" t="s">
        <v>3215</v>
      </c>
      <c r="F1438" s="4" t="s">
        <v>3217</v>
      </c>
    </row>
    <row r="1439" spans="1:6">
      <c r="A1439" s="4" t="s">
        <v>3218</v>
      </c>
      <c r="B1439" s="6" t="s">
        <v>3214</v>
      </c>
      <c r="C1439" s="4" t="s">
        <v>705</v>
      </c>
      <c r="D1439" s="4">
        <v>16</v>
      </c>
      <c r="E1439" s="4" t="s">
        <v>3215</v>
      </c>
      <c r="F1439" s="4" t="s">
        <v>1326</v>
      </c>
    </row>
    <row r="1440" spans="1:6">
      <c r="A1440" s="4" t="s">
        <v>3219</v>
      </c>
      <c r="B1440" s="6" t="s">
        <v>3220</v>
      </c>
      <c r="C1440" s="4" t="s">
        <v>37</v>
      </c>
      <c r="D1440" s="4">
        <v>10</v>
      </c>
      <c r="E1440" s="4" t="s">
        <v>3221</v>
      </c>
      <c r="F1440" s="4" t="s">
        <v>2587</v>
      </c>
    </row>
    <row r="1441" spans="1:6">
      <c r="A1441" s="4" t="s">
        <v>3222</v>
      </c>
      <c r="B1441" s="6" t="s">
        <v>3223</v>
      </c>
      <c r="C1441" s="4" t="s">
        <v>34</v>
      </c>
      <c r="D1441" s="4">
        <v>13</v>
      </c>
      <c r="E1441" s="4" t="s">
        <v>852</v>
      </c>
      <c r="F1441" s="4" t="s">
        <v>3224</v>
      </c>
    </row>
    <row r="1442" spans="1:6">
      <c r="A1442" s="4" t="s">
        <v>3225</v>
      </c>
      <c r="B1442" s="6" t="s">
        <v>3223</v>
      </c>
      <c r="C1442" s="4" t="s">
        <v>34</v>
      </c>
      <c r="D1442" s="4">
        <v>21</v>
      </c>
      <c r="E1442" s="4" t="s">
        <v>852</v>
      </c>
      <c r="F1442" s="4" t="s">
        <v>3224</v>
      </c>
    </row>
    <row r="1443" spans="1:6">
      <c r="A1443" s="4" t="s">
        <v>3226</v>
      </c>
      <c r="B1443" s="6" t="s">
        <v>3223</v>
      </c>
      <c r="C1443" s="4" t="s">
        <v>420</v>
      </c>
      <c r="D1443" s="4">
        <v>11</v>
      </c>
      <c r="E1443" s="4" t="s">
        <v>852</v>
      </c>
      <c r="F1443" s="4" t="s">
        <v>421</v>
      </c>
    </row>
    <row r="1444" spans="1:6">
      <c r="A1444" s="4" t="s">
        <v>3227</v>
      </c>
      <c r="B1444" s="6" t="s">
        <v>3228</v>
      </c>
      <c r="C1444" s="4" t="s">
        <v>81</v>
      </c>
      <c r="D1444" s="4">
        <v>10</v>
      </c>
      <c r="E1444" s="4" t="s">
        <v>3229</v>
      </c>
      <c r="F1444" s="4" t="s">
        <v>3230</v>
      </c>
    </row>
    <row r="1445" spans="1:6">
      <c r="A1445" s="4" t="s">
        <v>3231</v>
      </c>
      <c r="B1445" s="6" t="s">
        <v>3228</v>
      </c>
      <c r="C1445" s="4" t="s">
        <v>81</v>
      </c>
      <c r="D1445" s="4">
        <v>12</v>
      </c>
      <c r="E1445" s="4" t="s">
        <v>3229</v>
      </c>
      <c r="F1445" s="4" t="s">
        <v>3230</v>
      </c>
    </row>
    <row r="1446" spans="1:6">
      <c r="A1446" s="4" t="s">
        <v>3232</v>
      </c>
      <c r="B1446" s="6" t="s">
        <v>3233</v>
      </c>
      <c r="C1446" s="4" t="s">
        <v>354</v>
      </c>
      <c r="D1446" s="4">
        <v>10</v>
      </c>
      <c r="E1446" s="4" t="s">
        <v>1394</v>
      </c>
      <c r="F1446" s="4" t="s">
        <v>3234</v>
      </c>
    </row>
    <row r="1447" spans="1:6">
      <c r="A1447" s="4" t="s">
        <v>3235</v>
      </c>
      <c r="B1447" s="6" t="s">
        <v>3233</v>
      </c>
      <c r="C1447" s="4" t="s">
        <v>69</v>
      </c>
      <c r="D1447" s="4">
        <v>4</v>
      </c>
      <c r="E1447" s="4" t="s">
        <v>908</v>
      </c>
    </row>
    <row r="1448" spans="1:6">
      <c r="A1448" s="4" t="s">
        <v>3236</v>
      </c>
      <c r="B1448" s="6" t="s">
        <v>3233</v>
      </c>
      <c r="C1448" s="4" t="s">
        <v>81</v>
      </c>
      <c r="D1448" s="4">
        <v>9</v>
      </c>
      <c r="E1448" s="4" t="s">
        <v>908</v>
      </c>
    </row>
    <row r="1449" spans="1:6">
      <c r="A1449" s="4" t="s">
        <v>3237</v>
      </c>
      <c r="B1449" s="6" t="s">
        <v>3233</v>
      </c>
      <c r="C1449" s="4" t="s">
        <v>87</v>
      </c>
      <c r="D1449" s="4">
        <v>9</v>
      </c>
      <c r="E1449" s="4" t="s">
        <v>908</v>
      </c>
    </row>
    <row r="1450" spans="1:6">
      <c r="A1450" s="4" t="s">
        <v>3238</v>
      </c>
      <c r="B1450" s="6" t="s">
        <v>3233</v>
      </c>
      <c r="C1450" s="4" t="s">
        <v>243</v>
      </c>
      <c r="D1450" s="4">
        <v>6</v>
      </c>
      <c r="E1450" s="4" t="s">
        <v>908</v>
      </c>
    </row>
    <row r="1451" spans="1:6">
      <c r="A1451" s="4" t="s">
        <v>3239</v>
      </c>
      <c r="B1451" s="6" t="s">
        <v>3233</v>
      </c>
      <c r="C1451" s="4" t="s">
        <v>976</v>
      </c>
      <c r="D1451" s="4">
        <v>6</v>
      </c>
      <c r="E1451" s="4" t="s">
        <v>908</v>
      </c>
    </row>
    <row r="1452" spans="1:6">
      <c r="A1452" s="4" t="s">
        <v>3240</v>
      </c>
      <c r="B1452" s="6" t="s">
        <v>3241</v>
      </c>
      <c r="C1452" s="4" t="s">
        <v>87</v>
      </c>
      <c r="D1452" s="4">
        <v>8</v>
      </c>
      <c r="E1452" s="4" t="s">
        <v>908</v>
      </c>
      <c r="F1452" s="4" t="s">
        <v>3242</v>
      </c>
    </row>
    <row r="1453" spans="1:6">
      <c r="A1453" s="4" t="s">
        <v>3243</v>
      </c>
      <c r="B1453" s="6" t="s">
        <v>3241</v>
      </c>
      <c r="C1453" s="4" t="s">
        <v>470</v>
      </c>
      <c r="D1453" s="4">
        <v>7</v>
      </c>
      <c r="E1453" s="4" t="s">
        <v>908</v>
      </c>
      <c r="F1453" s="4" t="s">
        <v>3242</v>
      </c>
    </row>
    <row r="1454" spans="1:6">
      <c r="A1454" s="4" t="s">
        <v>3244</v>
      </c>
      <c r="B1454" s="6" t="s">
        <v>3245</v>
      </c>
      <c r="C1454" s="4" t="s">
        <v>574</v>
      </c>
      <c r="D1454" s="4">
        <v>15</v>
      </c>
      <c r="E1454" s="4" t="s">
        <v>1378</v>
      </c>
      <c r="F1454" s="4" t="s">
        <v>1680</v>
      </c>
    </row>
    <row r="1455" spans="1:6">
      <c r="A1455" s="4" t="s">
        <v>3246</v>
      </c>
      <c r="B1455" s="6" t="s">
        <v>3245</v>
      </c>
      <c r="C1455" s="4" t="s">
        <v>34</v>
      </c>
      <c r="D1455" s="4">
        <v>12</v>
      </c>
      <c r="E1455" s="4" t="s">
        <v>1378</v>
      </c>
    </row>
    <row r="1456" spans="1:6">
      <c r="A1456" s="4" t="s">
        <v>3247</v>
      </c>
      <c r="B1456" s="6" t="s">
        <v>3245</v>
      </c>
      <c r="C1456" s="4" t="s">
        <v>351</v>
      </c>
      <c r="D1456" s="4">
        <v>14</v>
      </c>
      <c r="E1456" s="4" t="s">
        <v>1378</v>
      </c>
    </row>
    <row r="1457" spans="1:6">
      <c r="A1457" s="4" t="s">
        <v>3248</v>
      </c>
      <c r="B1457" s="6" t="s">
        <v>3245</v>
      </c>
      <c r="C1457" s="4" t="s">
        <v>104</v>
      </c>
      <c r="D1457" s="4">
        <v>13</v>
      </c>
      <c r="E1457" s="4" t="s">
        <v>1378</v>
      </c>
    </row>
    <row r="1458" spans="1:6">
      <c r="A1458" s="4" t="s">
        <v>3249</v>
      </c>
      <c r="B1458" s="6" t="s">
        <v>3250</v>
      </c>
      <c r="C1458" s="4" t="s">
        <v>104</v>
      </c>
      <c r="D1458" s="4">
        <v>13</v>
      </c>
      <c r="E1458" s="4" t="s">
        <v>2887</v>
      </c>
    </row>
    <row r="1459" spans="1:6">
      <c r="A1459" s="4" t="s">
        <v>3251</v>
      </c>
      <c r="B1459" s="6" t="s">
        <v>3250</v>
      </c>
      <c r="C1459" s="4" t="s">
        <v>23</v>
      </c>
      <c r="D1459" s="4">
        <v>12</v>
      </c>
      <c r="E1459" s="4" t="s">
        <v>2887</v>
      </c>
      <c r="F1459" s="4" t="s">
        <v>3252</v>
      </c>
    </row>
    <row r="1460" spans="1:6">
      <c r="A1460" s="4" t="s">
        <v>1216</v>
      </c>
      <c r="B1460" s="6" t="s">
        <v>3253</v>
      </c>
      <c r="C1460" s="4" t="s">
        <v>1216</v>
      </c>
      <c r="D1460" s="4">
        <v>6</v>
      </c>
      <c r="E1460" s="4" t="s">
        <v>2904</v>
      </c>
      <c r="F1460" s="4" t="s">
        <v>3254</v>
      </c>
    </row>
    <row r="1461" spans="1:6">
      <c r="A1461" s="4" t="s">
        <v>3255</v>
      </c>
      <c r="B1461" s="6" t="s">
        <v>3256</v>
      </c>
      <c r="C1461" s="4" t="s">
        <v>3255</v>
      </c>
      <c r="D1461" s="4">
        <v>5</v>
      </c>
      <c r="E1461" s="4" t="s">
        <v>150</v>
      </c>
    </row>
    <row r="1462" spans="1:6">
      <c r="A1462" s="4" t="s">
        <v>3257</v>
      </c>
      <c r="B1462" s="6" t="s">
        <v>3256</v>
      </c>
      <c r="C1462" s="4" t="s">
        <v>464</v>
      </c>
      <c r="D1462" s="4">
        <v>8</v>
      </c>
      <c r="E1462" s="4" t="s">
        <v>150</v>
      </c>
      <c r="F1462" s="4" t="s">
        <v>2774</v>
      </c>
    </row>
    <row r="1463" spans="1:6">
      <c r="A1463" s="4" t="s">
        <v>3258</v>
      </c>
      <c r="B1463" s="6" t="s">
        <v>3256</v>
      </c>
      <c r="C1463" s="4" t="s">
        <v>81</v>
      </c>
      <c r="D1463" s="4">
        <v>20</v>
      </c>
      <c r="E1463" s="4" t="s">
        <v>2887</v>
      </c>
      <c r="F1463" s="4" t="s">
        <v>2419</v>
      </c>
    </row>
    <row r="1464" spans="1:6">
      <c r="A1464" s="4" t="s">
        <v>3259</v>
      </c>
      <c r="B1464" s="6" t="s">
        <v>3256</v>
      </c>
      <c r="C1464" s="4" t="s">
        <v>301</v>
      </c>
      <c r="D1464" s="4">
        <v>12</v>
      </c>
      <c r="E1464" s="4" t="s">
        <v>2887</v>
      </c>
      <c r="F1464" s="4" t="s">
        <v>3260</v>
      </c>
    </row>
    <row r="1465" spans="1:6">
      <c r="A1465" s="4" t="s">
        <v>3261</v>
      </c>
      <c r="B1465" s="6" t="s">
        <v>3256</v>
      </c>
      <c r="C1465" s="4" t="s">
        <v>76</v>
      </c>
      <c r="D1465" s="4">
        <v>10</v>
      </c>
      <c r="E1465" s="4" t="s">
        <v>2910</v>
      </c>
    </row>
    <row r="1466" spans="1:6">
      <c r="A1466" s="4" t="s">
        <v>3262</v>
      </c>
      <c r="B1466" s="6" t="s">
        <v>3256</v>
      </c>
      <c r="C1466" s="4" t="s">
        <v>301</v>
      </c>
      <c r="D1466" s="4">
        <v>11</v>
      </c>
      <c r="E1466" s="4" t="s">
        <v>150</v>
      </c>
    </row>
    <row r="1467" spans="1:6">
      <c r="A1467" s="4" t="s">
        <v>3263</v>
      </c>
      <c r="B1467" s="6" t="s">
        <v>3256</v>
      </c>
      <c r="C1467" s="4" t="s">
        <v>23</v>
      </c>
      <c r="D1467" s="4">
        <v>8</v>
      </c>
      <c r="E1467" s="4" t="s">
        <v>3264</v>
      </c>
      <c r="F1467" s="4" t="s">
        <v>3265</v>
      </c>
    </row>
    <row r="1468" spans="1:6">
      <c r="A1468" s="4" t="s">
        <v>3266</v>
      </c>
      <c r="B1468" s="6" t="s">
        <v>3267</v>
      </c>
      <c r="C1468" s="4" t="s">
        <v>995</v>
      </c>
      <c r="D1468" s="4">
        <v>10</v>
      </c>
      <c r="E1468" s="4" t="s">
        <v>2910</v>
      </c>
      <c r="F1468" s="4" t="s">
        <v>3268</v>
      </c>
    </row>
    <row r="1469" spans="1:6">
      <c r="A1469" s="4" t="s">
        <v>3269</v>
      </c>
      <c r="B1469" s="6" t="s">
        <v>3267</v>
      </c>
      <c r="C1469" s="4" t="s">
        <v>1420</v>
      </c>
      <c r="D1469" s="4">
        <v>11</v>
      </c>
      <c r="E1469" s="4" t="s">
        <v>3264</v>
      </c>
      <c r="F1469" s="4" t="s">
        <v>3270</v>
      </c>
    </row>
    <row r="1470" spans="1:6">
      <c r="A1470" s="4" t="s">
        <v>3271</v>
      </c>
      <c r="B1470" s="6" t="s">
        <v>3272</v>
      </c>
      <c r="C1470" s="4" t="s">
        <v>995</v>
      </c>
      <c r="D1470" s="4">
        <v>9</v>
      </c>
      <c r="E1470" s="4" t="s">
        <v>2887</v>
      </c>
      <c r="F1470" s="4" t="s">
        <v>3273</v>
      </c>
    </row>
    <row r="1471" spans="1:6">
      <c r="A1471" s="4" t="s">
        <v>1425</v>
      </c>
      <c r="B1471" s="6" t="s">
        <v>3274</v>
      </c>
      <c r="C1471" s="4" t="s">
        <v>45</v>
      </c>
      <c r="D1471" s="4">
        <v>5</v>
      </c>
      <c r="E1471" s="4" t="s">
        <v>3275</v>
      </c>
      <c r="F1471" s="4" t="s">
        <v>3276</v>
      </c>
    </row>
    <row r="1472" spans="1:6">
      <c r="A1472" s="4" t="s">
        <v>3277</v>
      </c>
      <c r="B1472" s="6" t="s">
        <v>3278</v>
      </c>
      <c r="C1472" s="4" t="s">
        <v>976</v>
      </c>
      <c r="D1472" s="4">
        <v>5</v>
      </c>
      <c r="E1472" s="4" t="s">
        <v>3279</v>
      </c>
      <c r="F1472" s="4" t="s">
        <v>3280</v>
      </c>
    </row>
    <row r="1473" spans="1:6">
      <c r="A1473" s="4" t="s">
        <v>3281</v>
      </c>
      <c r="B1473" s="6" t="s">
        <v>3282</v>
      </c>
      <c r="C1473" s="4" t="s">
        <v>427</v>
      </c>
      <c r="D1473" s="4">
        <v>11</v>
      </c>
      <c r="E1473" s="4" t="s">
        <v>852</v>
      </c>
      <c r="F1473" s="4" t="s">
        <v>3283</v>
      </c>
    </row>
    <row r="1474" spans="1:6">
      <c r="A1474" s="4" t="s">
        <v>3284</v>
      </c>
      <c r="B1474" s="6" t="s">
        <v>3282</v>
      </c>
      <c r="C1474" s="4" t="s">
        <v>427</v>
      </c>
      <c r="D1474" s="4">
        <v>16</v>
      </c>
      <c r="E1474" s="4" t="s">
        <v>852</v>
      </c>
      <c r="F1474" s="4" t="s">
        <v>3283</v>
      </c>
    </row>
    <row r="1475" spans="1:6">
      <c r="A1475" s="4" t="s">
        <v>3285</v>
      </c>
      <c r="B1475" s="6" t="s">
        <v>3282</v>
      </c>
      <c r="C1475" s="4" t="s">
        <v>3033</v>
      </c>
      <c r="D1475" s="4">
        <v>25</v>
      </c>
      <c r="E1475" s="4" t="s">
        <v>752</v>
      </c>
    </row>
    <row r="1476" spans="1:6">
      <c r="A1476" s="4" t="s">
        <v>3286</v>
      </c>
      <c r="B1476" s="6" t="s">
        <v>3287</v>
      </c>
      <c r="C1476" s="4" t="s">
        <v>104</v>
      </c>
      <c r="D1476" s="4">
        <v>6</v>
      </c>
      <c r="E1476" s="4" t="s">
        <v>1449</v>
      </c>
      <c r="F1476" s="4" t="s">
        <v>3288</v>
      </c>
    </row>
    <row r="1477" spans="1:6">
      <c r="A1477" s="4" t="s">
        <v>3289</v>
      </c>
      <c r="B1477" s="6" t="s">
        <v>3287</v>
      </c>
      <c r="C1477" s="4" t="s">
        <v>705</v>
      </c>
      <c r="D1477" s="4">
        <v>11</v>
      </c>
      <c r="E1477" s="4" t="s">
        <v>1449</v>
      </c>
    </row>
    <row r="1478" spans="1:6">
      <c r="A1478" s="4" t="s">
        <v>3290</v>
      </c>
      <c r="B1478" s="6" t="s">
        <v>3291</v>
      </c>
      <c r="C1478" s="4" t="s">
        <v>1106</v>
      </c>
      <c r="D1478" s="4">
        <v>12</v>
      </c>
      <c r="E1478" s="4" t="s">
        <v>177</v>
      </c>
      <c r="F1478" s="4" t="s">
        <v>3292</v>
      </c>
    </row>
    <row r="1479" spans="1:6">
      <c r="A1479" s="4" t="s">
        <v>3293</v>
      </c>
      <c r="B1479" s="6" t="s">
        <v>3291</v>
      </c>
      <c r="C1479" s="4" t="s">
        <v>686</v>
      </c>
      <c r="D1479" s="4">
        <v>14</v>
      </c>
      <c r="E1479" s="4" t="s">
        <v>177</v>
      </c>
      <c r="F1479" s="4" t="s">
        <v>3294</v>
      </c>
    </row>
    <row r="1480" spans="1:6">
      <c r="A1480" s="4" t="s">
        <v>3295</v>
      </c>
      <c r="B1480" s="6" t="s">
        <v>3296</v>
      </c>
      <c r="C1480" s="4" t="s">
        <v>860</v>
      </c>
      <c r="D1480" s="4">
        <v>14</v>
      </c>
      <c r="E1480" s="4" t="s">
        <v>629</v>
      </c>
      <c r="F1480" s="4" t="s">
        <v>3297</v>
      </c>
    </row>
    <row r="1481" spans="1:6">
      <c r="A1481" s="4" t="s">
        <v>3298</v>
      </c>
      <c r="B1481" s="6" t="s">
        <v>3296</v>
      </c>
      <c r="C1481" s="4" t="s">
        <v>53</v>
      </c>
      <c r="D1481" s="4">
        <v>6</v>
      </c>
      <c r="E1481" s="4" t="s">
        <v>900</v>
      </c>
      <c r="F1481" s="4" t="s">
        <v>3299</v>
      </c>
    </row>
    <row r="1482" spans="1:6">
      <c r="A1482" s="4" t="s">
        <v>3300</v>
      </c>
      <c r="B1482" s="6" t="s">
        <v>3296</v>
      </c>
      <c r="C1482" s="4" t="s">
        <v>53</v>
      </c>
      <c r="D1482" s="4">
        <v>10</v>
      </c>
      <c r="E1482" s="4" t="s">
        <v>883</v>
      </c>
      <c r="F1482" s="4" t="s">
        <v>3301</v>
      </c>
    </row>
    <row r="1483" spans="1:6">
      <c r="A1483" s="4" t="s">
        <v>3302</v>
      </c>
      <c r="B1483" s="6" t="s">
        <v>3303</v>
      </c>
      <c r="C1483" s="4" t="s">
        <v>163</v>
      </c>
      <c r="D1483" s="4">
        <v>13</v>
      </c>
      <c r="E1483" s="4" t="s">
        <v>1378</v>
      </c>
    </row>
    <row r="1484" spans="1:6">
      <c r="A1484" s="4" t="s">
        <v>3304</v>
      </c>
      <c r="B1484" s="6" t="s">
        <v>3303</v>
      </c>
      <c r="C1484" s="4" t="s">
        <v>263</v>
      </c>
      <c r="D1484" s="4">
        <v>5</v>
      </c>
      <c r="E1484" s="4" t="s">
        <v>1378</v>
      </c>
    </row>
    <row r="1485" spans="1:6">
      <c r="A1485" s="4" t="s">
        <v>3305</v>
      </c>
      <c r="B1485" s="6" t="s">
        <v>3306</v>
      </c>
      <c r="C1485" s="4" t="s">
        <v>3181</v>
      </c>
      <c r="D1485" s="4">
        <v>11</v>
      </c>
      <c r="E1485" s="4" t="s">
        <v>1453</v>
      </c>
    </row>
    <row r="1486" spans="1:6">
      <c r="A1486" s="4" t="s">
        <v>3307</v>
      </c>
      <c r="B1486" s="6" t="s">
        <v>3306</v>
      </c>
      <c r="C1486" s="4" t="s">
        <v>31</v>
      </c>
      <c r="D1486" s="4">
        <v>16</v>
      </c>
      <c r="E1486" s="4" t="s">
        <v>1459</v>
      </c>
    </row>
    <row r="1487" spans="1:6">
      <c r="A1487" s="4" t="s">
        <v>3308</v>
      </c>
      <c r="B1487" s="6" t="s">
        <v>3306</v>
      </c>
      <c r="C1487" s="4" t="s">
        <v>23</v>
      </c>
      <c r="D1487" s="4">
        <v>14</v>
      </c>
      <c r="E1487" s="4" t="s">
        <v>1453</v>
      </c>
      <c r="F1487" s="4" t="s">
        <v>3309</v>
      </c>
    </row>
    <row r="1488" spans="1:6">
      <c r="A1488" s="4" t="s">
        <v>3310</v>
      </c>
      <c r="B1488" s="6" t="s">
        <v>3306</v>
      </c>
      <c r="C1488" s="4" t="s">
        <v>27</v>
      </c>
      <c r="D1488" s="4">
        <v>15</v>
      </c>
      <c r="E1488" s="4" t="s">
        <v>1453</v>
      </c>
    </row>
    <row r="1489" spans="1:6">
      <c r="A1489" s="4" t="s">
        <v>3311</v>
      </c>
      <c r="B1489" s="6" t="s">
        <v>3312</v>
      </c>
      <c r="C1489" s="4" t="s">
        <v>1530</v>
      </c>
      <c r="D1489" s="4">
        <v>16</v>
      </c>
      <c r="E1489" s="4" t="s">
        <v>767</v>
      </c>
      <c r="F1489" s="4" t="s">
        <v>3313</v>
      </c>
    </row>
    <row r="1490" spans="1:6">
      <c r="A1490" s="4" t="s">
        <v>3314</v>
      </c>
      <c r="B1490" s="6" t="s">
        <v>3315</v>
      </c>
      <c r="C1490" s="4" t="s">
        <v>179</v>
      </c>
      <c r="D1490" s="4">
        <v>11</v>
      </c>
      <c r="E1490" s="4" t="s">
        <v>3316</v>
      </c>
    </row>
    <row r="1491" spans="1:6">
      <c r="A1491" s="4" t="s">
        <v>2961</v>
      </c>
      <c r="B1491" s="6" t="s">
        <v>3315</v>
      </c>
      <c r="C1491" s="4" t="s">
        <v>2961</v>
      </c>
      <c r="D1491" s="4">
        <v>9</v>
      </c>
      <c r="E1491" s="4" t="s">
        <v>767</v>
      </c>
      <c r="F1491" s="4" t="s">
        <v>3317</v>
      </c>
    </row>
    <row r="1492" spans="1:6">
      <c r="A1492" s="4" t="s">
        <v>3318</v>
      </c>
      <c r="B1492" s="6" t="s">
        <v>3319</v>
      </c>
      <c r="C1492" s="4" t="s">
        <v>23</v>
      </c>
      <c r="D1492" s="4">
        <v>6</v>
      </c>
      <c r="E1492" s="4" t="s">
        <v>752</v>
      </c>
      <c r="F1492" s="4" t="s">
        <v>3320</v>
      </c>
    </row>
    <row r="1493" spans="1:6">
      <c r="A1493" s="4" t="s">
        <v>3321</v>
      </c>
      <c r="B1493" s="6" t="s">
        <v>3319</v>
      </c>
      <c r="C1493" s="4" t="s">
        <v>195</v>
      </c>
      <c r="D1493" s="4">
        <v>15</v>
      </c>
      <c r="E1493" s="4" t="s">
        <v>1069</v>
      </c>
    </row>
    <row r="1494" spans="1:6">
      <c r="A1494" s="4" t="s">
        <v>3322</v>
      </c>
      <c r="B1494" s="6" t="s">
        <v>3319</v>
      </c>
      <c r="C1494" s="4" t="s">
        <v>23</v>
      </c>
      <c r="D1494" s="4">
        <v>19</v>
      </c>
      <c r="E1494" s="4" t="s">
        <v>1483</v>
      </c>
    </row>
    <row r="1495" spans="1:6">
      <c r="A1495" s="4" t="s">
        <v>3323</v>
      </c>
      <c r="B1495" s="6" t="s">
        <v>3324</v>
      </c>
      <c r="C1495" s="4" t="s">
        <v>405</v>
      </c>
      <c r="D1495" s="4">
        <v>8</v>
      </c>
      <c r="E1495" s="4" t="s">
        <v>1483</v>
      </c>
    </row>
    <row r="1496" spans="1:6">
      <c r="A1496" s="4" t="s">
        <v>3325</v>
      </c>
      <c r="B1496" s="6" t="s">
        <v>3324</v>
      </c>
      <c r="C1496" s="4" t="s">
        <v>156</v>
      </c>
      <c r="D1496" s="4">
        <v>20</v>
      </c>
      <c r="E1496" s="4" t="s">
        <v>908</v>
      </c>
      <c r="F1496" s="4" t="s">
        <v>3326</v>
      </c>
    </row>
    <row r="1497" spans="1:6">
      <c r="A1497" s="4" t="s">
        <v>3327</v>
      </c>
      <c r="B1497" s="6" t="s">
        <v>3328</v>
      </c>
      <c r="C1497" s="4" t="s">
        <v>254</v>
      </c>
      <c r="D1497" s="4">
        <v>6</v>
      </c>
      <c r="E1497" s="4" t="s">
        <v>900</v>
      </c>
      <c r="F1497" s="4" t="s">
        <v>3329</v>
      </c>
    </row>
    <row r="1498" spans="1:6">
      <c r="A1498" s="4" t="s">
        <v>3330</v>
      </c>
      <c r="B1498" s="6" t="s">
        <v>3331</v>
      </c>
      <c r="C1498" s="4" t="s">
        <v>37</v>
      </c>
      <c r="D1498" s="4">
        <v>11</v>
      </c>
      <c r="E1498" s="4" t="s">
        <v>1453</v>
      </c>
      <c r="F1498" s="4" t="s">
        <v>3332</v>
      </c>
    </row>
    <row r="1499" spans="1:6">
      <c r="A1499" s="4" t="s">
        <v>3333</v>
      </c>
      <c r="B1499" s="6" t="s">
        <v>3334</v>
      </c>
      <c r="C1499" s="4" t="s">
        <v>87</v>
      </c>
      <c r="D1499" s="4">
        <v>9</v>
      </c>
      <c r="E1499" s="4" t="s">
        <v>1449</v>
      </c>
    </row>
    <row r="1500" spans="1:6">
      <c r="A1500" s="4" t="s">
        <v>3335</v>
      </c>
      <c r="B1500" s="6" t="s">
        <v>3336</v>
      </c>
      <c r="C1500" s="4" t="s">
        <v>354</v>
      </c>
      <c r="D1500" s="4">
        <v>6</v>
      </c>
      <c r="E1500" s="4" t="s">
        <v>3337</v>
      </c>
      <c r="F1500" s="4" t="s">
        <v>3338</v>
      </c>
    </row>
    <row r="1501" spans="1:6">
      <c r="A1501" s="4" t="s">
        <v>3339</v>
      </c>
      <c r="B1501" s="6" t="s">
        <v>3336</v>
      </c>
      <c r="C1501" s="4" t="s">
        <v>1756</v>
      </c>
      <c r="D1501" s="4">
        <v>4</v>
      </c>
      <c r="E1501" s="4" t="s">
        <v>177</v>
      </c>
      <c r="F1501" s="4" t="s">
        <v>481</v>
      </c>
    </row>
    <row r="1502" spans="1:6">
      <c r="A1502" s="4" t="s">
        <v>3340</v>
      </c>
      <c r="B1502" s="6" t="s">
        <v>3336</v>
      </c>
      <c r="C1502" s="4" t="s">
        <v>23</v>
      </c>
      <c r="D1502" s="4">
        <v>5</v>
      </c>
      <c r="E1502" s="4" t="s">
        <v>3337</v>
      </c>
      <c r="F1502" s="4" t="s">
        <v>3341</v>
      </c>
    </row>
    <row r="1503" spans="1:6">
      <c r="A1503" s="4" t="s">
        <v>3342</v>
      </c>
      <c r="B1503" s="6" t="s">
        <v>3336</v>
      </c>
      <c r="C1503" s="4" t="s">
        <v>461</v>
      </c>
      <c r="D1503" s="4">
        <v>9</v>
      </c>
      <c r="E1503" s="4" t="s">
        <v>177</v>
      </c>
    </row>
    <row r="1504" spans="1:6">
      <c r="A1504" s="4" t="s">
        <v>3343</v>
      </c>
      <c r="B1504" s="6" t="s">
        <v>3336</v>
      </c>
      <c r="C1504" s="4" t="s">
        <v>254</v>
      </c>
      <c r="D1504" s="4">
        <v>7</v>
      </c>
      <c r="E1504" s="4" t="s">
        <v>3337</v>
      </c>
    </row>
    <row r="1505" spans="1:6">
      <c r="A1505" s="4" t="s">
        <v>3344</v>
      </c>
      <c r="B1505" s="6" t="s">
        <v>3336</v>
      </c>
      <c r="C1505" s="4" t="s">
        <v>1335</v>
      </c>
      <c r="D1505" s="4">
        <v>9</v>
      </c>
      <c r="E1505" s="4" t="s">
        <v>177</v>
      </c>
    </row>
    <row r="1506" spans="1:6">
      <c r="A1506" s="4" t="s">
        <v>1756</v>
      </c>
      <c r="B1506" s="6" t="s">
        <v>3345</v>
      </c>
      <c r="C1506" s="4" t="s">
        <v>1756</v>
      </c>
      <c r="D1506" s="4">
        <v>2</v>
      </c>
      <c r="E1506" s="4" t="s">
        <v>177</v>
      </c>
      <c r="F1506" s="4" t="s">
        <v>1664</v>
      </c>
    </row>
    <row r="1507" spans="1:6">
      <c r="A1507" s="4" t="s">
        <v>3346</v>
      </c>
      <c r="B1507" s="6" t="s">
        <v>3345</v>
      </c>
      <c r="C1507" s="4" t="s">
        <v>254</v>
      </c>
      <c r="D1507" s="4">
        <v>8</v>
      </c>
      <c r="E1507" s="4" t="s">
        <v>177</v>
      </c>
    </row>
    <row r="1508" spans="1:6">
      <c r="A1508" s="4" t="s">
        <v>3347</v>
      </c>
      <c r="B1508" s="6" t="s">
        <v>3345</v>
      </c>
      <c r="C1508" s="4" t="s">
        <v>45</v>
      </c>
      <c r="D1508" s="4">
        <v>9</v>
      </c>
      <c r="E1508" s="4" t="s">
        <v>3337</v>
      </c>
      <c r="F1508" s="4" t="s">
        <v>3348</v>
      </c>
    </row>
    <row r="1509" spans="1:6">
      <c r="A1509" s="4" t="s">
        <v>3349</v>
      </c>
      <c r="B1509" s="6" t="s">
        <v>3350</v>
      </c>
      <c r="C1509" s="4" t="s">
        <v>686</v>
      </c>
      <c r="D1509" s="4">
        <v>13</v>
      </c>
      <c r="E1509" s="4" t="s">
        <v>1378</v>
      </c>
    </row>
    <row r="1510" spans="1:6">
      <c r="A1510" s="4" t="s">
        <v>3351</v>
      </c>
      <c r="B1510" s="6" t="s">
        <v>3350</v>
      </c>
      <c r="C1510" s="4" t="s">
        <v>238</v>
      </c>
      <c r="D1510" s="4">
        <v>7</v>
      </c>
      <c r="E1510" s="4" t="s">
        <v>1388</v>
      </c>
      <c r="F1510" s="4" t="s">
        <v>3352</v>
      </c>
    </row>
    <row r="1511" spans="1:6">
      <c r="A1511" s="4" t="s">
        <v>3353</v>
      </c>
      <c r="B1511" s="6" t="s">
        <v>3350</v>
      </c>
      <c r="C1511" s="4" t="s">
        <v>31</v>
      </c>
      <c r="D1511" s="4">
        <v>11</v>
      </c>
      <c r="E1511" s="4" t="s">
        <v>1378</v>
      </c>
    </row>
    <row r="1512" spans="1:6">
      <c r="A1512" s="4" t="s">
        <v>3354</v>
      </c>
      <c r="B1512" s="6" t="s">
        <v>3350</v>
      </c>
      <c r="C1512" s="4" t="s">
        <v>23</v>
      </c>
      <c r="D1512" s="4">
        <v>10</v>
      </c>
      <c r="E1512" s="4" t="s">
        <v>1378</v>
      </c>
    </row>
    <row r="1513" spans="1:6">
      <c r="A1513" s="4" t="s">
        <v>3355</v>
      </c>
      <c r="B1513" s="6" t="s">
        <v>3356</v>
      </c>
      <c r="C1513" s="4" t="s">
        <v>104</v>
      </c>
      <c r="D1513" s="4">
        <v>11</v>
      </c>
      <c r="E1513" s="4" t="s">
        <v>1378</v>
      </c>
    </row>
    <row r="1514" spans="1:6">
      <c r="A1514" s="4" t="s">
        <v>3357</v>
      </c>
      <c r="B1514" s="6" t="s">
        <v>3356</v>
      </c>
      <c r="C1514" s="4" t="s">
        <v>458</v>
      </c>
      <c r="D1514" s="4">
        <v>12</v>
      </c>
      <c r="E1514" s="4" t="s">
        <v>1388</v>
      </c>
      <c r="F1514" s="4" t="s">
        <v>3358</v>
      </c>
    </row>
    <row r="1515" spans="1:6">
      <c r="A1515" s="4" t="s">
        <v>3359</v>
      </c>
      <c r="B1515" s="6" t="s">
        <v>3356</v>
      </c>
      <c r="C1515" s="4" t="s">
        <v>254</v>
      </c>
      <c r="D1515" s="4">
        <v>14</v>
      </c>
      <c r="E1515" s="4" t="s">
        <v>1378</v>
      </c>
    </row>
    <row r="1516" spans="1:6">
      <c r="A1516" s="4" t="s">
        <v>3360</v>
      </c>
      <c r="B1516" s="6" t="s">
        <v>3361</v>
      </c>
      <c r="C1516" s="4" t="s">
        <v>81</v>
      </c>
      <c r="D1516" s="4">
        <v>16</v>
      </c>
      <c r="E1516" s="4" t="s">
        <v>1378</v>
      </c>
    </row>
    <row r="1517" spans="1:6">
      <c r="A1517" s="4" t="s">
        <v>3362</v>
      </c>
      <c r="B1517" s="6" t="s">
        <v>3363</v>
      </c>
      <c r="C1517" s="4" t="s">
        <v>23</v>
      </c>
      <c r="D1517" s="4">
        <v>12</v>
      </c>
      <c r="E1517" s="4" t="s">
        <v>1378</v>
      </c>
      <c r="F1517" s="4" t="s">
        <v>1797</v>
      </c>
    </row>
    <row r="1518" spans="1:6">
      <c r="A1518" s="4" t="s">
        <v>3364</v>
      </c>
      <c r="B1518" s="6" t="s">
        <v>3365</v>
      </c>
      <c r="C1518" s="4" t="s">
        <v>342</v>
      </c>
      <c r="D1518" s="4">
        <v>10</v>
      </c>
      <c r="E1518" s="4" t="s">
        <v>1696</v>
      </c>
      <c r="F1518" s="4" t="s">
        <v>3366</v>
      </c>
    </row>
    <row r="1519" spans="1:6">
      <c r="A1519" s="4" t="s">
        <v>3367</v>
      </c>
      <c r="B1519" s="6" t="s">
        <v>3368</v>
      </c>
    </row>
    <row r="1520" spans="1:6">
      <c r="A1520" s="4" t="s">
        <v>3369</v>
      </c>
      <c r="B1520" s="6" t="s">
        <v>3370</v>
      </c>
      <c r="C1520" s="4" t="s">
        <v>132</v>
      </c>
      <c r="D1520" s="4">
        <v>19</v>
      </c>
      <c r="E1520" s="4" t="s">
        <v>852</v>
      </c>
      <c r="F1520" s="4" t="s">
        <v>3371</v>
      </c>
    </row>
    <row r="1521" spans="1:6">
      <c r="A1521" s="4" t="s">
        <v>3372</v>
      </c>
      <c r="B1521" s="6" t="s">
        <v>3373</v>
      </c>
      <c r="C1521" s="4" t="s">
        <v>458</v>
      </c>
      <c r="D1521" s="4">
        <v>15</v>
      </c>
      <c r="E1521" s="4" t="s">
        <v>852</v>
      </c>
    </row>
    <row r="1522" spans="1:6">
      <c r="A1522" s="4" t="s">
        <v>3374</v>
      </c>
      <c r="B1522" s="6" t="s">
        <v>3375</v>
      </c>
      <c r="C1522" s="4" t="s">
        <v>301</v>
      </c>
      <c r="D1522" s="4">
        <v>13</v>
      </c>
      <c r="E1522" s="4" t="s">
        <v>852</v>
      </c>
      <c r="F1522" s="4" t="s">
        <v>3376</v>
      </c>
    </row>
    <row r="1523" spans="1:6">
      <c r="A1523" s="4" t="s">
        <v>3377</v>
      </c>
      <c r="B1523" s="6" t="s">
        <v>3375</v>
      </c>
      <c r="C1523" s="4" t="s">
        <v>37</v>
      </c>
      <c r="D1523" s="4">
        <v>9</v>
      </c>
      <c r="E1523" s="4" t="s">
        <v>852</v>
      </c>
      <c r="F1523" s="4" t="s">
        <v>2377</v>
      </c>
    </row>
    <row r="1524" spans="1:6">
      <c r="A1524" s="4" t="s">
        <v>3378</v>
      </c>
      <c r="B1524" s="6" t="s">
        <v>3375</v>
      </c>
      <c r="C1524" s="4" t="s">
        <v>49</v>
      </c>
      <c r="D1524" s="4">
        <v>16</v>
      </c>
      <c r="E1524" s="4" t="s">
        <v>852</v>
      </c>
      <c r="F1524" s="4" t="s">
        <v>3379</v>
      </c>
    </row>
    <row r="1525" spans="1:6">
      <c r="A1525" s="4" t="s">
        <v>3380</v>
      </c>
      <c r="B1525" s="6" t="s">
        <v>3381</v>
      </c>
      <c r="C1525" s="4" t="s">
        <v>301</v>
      </c>
      <c r="D1525" s="4">
        <v>11</v>
      </c>
      <c r="E1525" s="4" t="s">
        <v>3382</v>
      </c>
      <c r="F1525" s="4" t="s">
        <v>3383</v>
      </c>
    </row>
    <row r="1526" spans="1:6">
      <c r="A1526" s="4" t="s">
        <v>3384</v>
      </c>
      <c r="B1526" s="6" t="s">
        <v>3385</v>
      </c>
      <c r="C1526" s="4" t="s">
        <v>53</v>
      </c>
      <c r="D1526" s="4">
        <v>16</v>
      </c>
      <c r="E1526" s="4" t="s">
        <v>852</v>
      </c>
    </row>
    <row r="1527" spans="1:6">
      <c r="A1527" s="4" t="s">
        <v>3386</v>
      </c>
      <c r="B1527" s="6" t="s">
        <v>3387</v>
      </c>
      <c r="C1527" s="4" t="s">
        <v>254</v>
      </c>
      <c r="D1527" s="4">
        <v>11</v>
      </c>
      <c r="E1527" s="4" t="s">
        <v>3388</v>
      </c>
    </row>
    <row r="1528" spans="1:6">
      <c r="A1528" s="4" t="s">
        <v>3389</v>
      </c>
      <c r="B1528" s="6" t="s">
        <v>3390</v>
      </c>
      <c r="C1528" s="4" t="s">
        <v>53</v>
      </c>
      <c r="D1528" s="4">
        <v>9</v>
      </c>
      <c r="E1528" s="4" t="s">
        <v>721</v>
      </c>
    </row>
    <row r="1529" spans="1:6">
      <c r="A1529" s="4" t="s">
        <v>3391</v>
      </c>
      <c r="B1529" s="6" t="s">
        <v>3392</v>
      </c>
      <c r="C1529" s="4" t="s">
        <v>110</v>
      </c>
      <c r="D1529" s="4">
        <v>12</v>
      </c>
      <c r="E1529" s="4" t="s">
        <v>805</v>
      </c>
      <c r="F1529" s="4" t="s">
        <v>3393</v>
      </c>
    </row>
    <row r="1530" spans="1:6">
      <c r="A1530" s="4" t="s">
        <v>3394</v>
      </c>
      <c r="B1530" s="6" t="s">
        <v>3395</v>
      </c>
      <c r="C1530" s="4" t="s">
        <v>27</v>
      </c>
      <c r="D1530" s="4">
        <v>12</v>
      </c>
      <c r="E1530" s="4" t="s">
        <v>731</v>
      </c>
      <c r="F1530" s="4" t="s">
        <v>3396</v>
      </c>
    </row>
    <row r="1531" spans="1:6">
      <c r="A1531" s="4" t="s">
        <v>3397</v>
      </c>
      <c r="B1531" s="6" t="s">
        <v>3395</v>
      </c>
      <c r="C1531" s="4" t="s">
        <v>1078</v>
      </c>
      <c r="D1531" s="4">
        <v>13</v>
      </c>
      <c r="E1531" s="4" t="s">
        <v>731</v>
      </c>
    </row>
    <row r="1532" spans="1:6">
      <c r="A1532" s="4" t="s">
        <v>3398</v>
      </c>
      <c r="B1532" s="6" t="s">
        <v>3399</v>
      </c>
      <c r="C1532" s="4" t="s">
        <v>3400</v>
      </c>
      <c r="D1532" s="4">
        <v>16</v>
      </c>
      <c r="E1532" s="4" t="s">
        <v>2699</v>
      </c>
    </row>
    <row r="1533" spans="1:6">
      <c r="A1533" s="4" t="s">
        <v>3401</v>
      </c>
      <c r="B1533" s="6" t="s">
        <v>3402</v>
      </c>
      <c r="C1533" s="4" t="s">
        <v>41</v>
      </c>
      <c r="D1533" s="4">
        <v>11</v>
      </c>
      <c r="E1533" s="4" t="s">
        <v>752</v>
      </c>
      <c r="F1533" s="4" t="s">
        <v>46</v>
      </c>
    </row>
    <row r="1534" spans="1:6">
      <c r="A1534" s="4" t="s">
        <v>3403</v>
      </c>
      <c r="B1534" s="6" t="s">
        <v>3402</v>
      </c>
      <c r="C1534" s="4" t="s">
        <v>23</v>
      </c>
      <c r="D1534" s="4">
        <v>7</v>
      </c>
      <c r="E1534" s="4" t="s">
        <v>752</v>
      </c>
    </row>
    <row r="1535" spans="1:6">
      <c r="A1535" s="4" t="s">
        <v>3404</v>
      </c>
      <c r="B1535" s="6" t="s">
        <v>3405</v>
      </c>
      <c r="C1535" s="4" t="s">
        <v>27</v>
      </c>
      <c r="D1535" s="4">
        <v>7</v>
      </c>
      <c r="E1535" s="4" t="s">
        <v>752</v>
      </c>
    </row>
    <row r="1536" spans="1:6">
      <c r="A1536" s="4" t="s">
        <v>3406</v>
      </c>
      <c r="B1536" s="6" t="s">
        <v>3405</v>
      </c>
      <c r="C1536" s="4" t="s">
        <v>173</v>
      </c>
      <c r="D1536" s="4">
        <v>10</v>
      </c>
      <c r="E1536" s="4" t="s">
        <v>3279</v>
      </c>
    </row>
    <row r="1537" spans="1:6">
      <c r="A1537" s="4" t="s">
        <v>3407</v>
      </c>
      <c r="B1537" s="6" t="s">
        <v>3408</v>
      </c>
      <c r="C1537" s="4" t="s">
        <v>81</v>
      </c>
      <c r="D1537" s="4">
        <v>9</v>
      </c>
      <c r="E1537" s="4" t="s">
        <v>789</v>
      </c>
    </row>
    <row r="1538" spans="1:6">
      <c r="A1538" s="4" t="s">
        <v>3409</v>
      </c>
      <c r="B1538" s="6" t="s">
        <v>3410</v>
      </c>
      <c r="C1538" s="4" t="s">
        <v>45</v>
      </c>
      <c r="D1538" s="4">
        <v>9</v>
      </c>
      <c r="E1538" s="4" t="s">
        <v>799</v>
      </c>
    </row>
    <row r="1539" spans="1:6">
      <c r="A1539" s="4" t="s">
        <v>3411</v>
      </c>
      <c r="B1539" s="6" t="s">
        <v>3410</v>
      </c>
      <c r="C1539" s="4" t="s">
        <v>23</v>
      </c>
      <c r="D1539" s="4">
        <v>12</v>
      </c>
      <c r="E1539" s="4" t="s">
        <v>789</v>
      </c>
    </row>
    <row r="1540" spans="1:6">
      <c r="A1540" s="4" t="s">
        <v>3412</v>
      </c>
      <c r="B1540" s="6" t="s">
        <v>3413</v>
      </c>
      <c r="C1540" s="4" t="s">
        <v>81</v>
      </c>
      <c r="D1540" s="4">
        <v>13</v>
      </c>
      <c r="E1540" s="4" t="s">
        <v>727</v>
      </c>
    </row>
    <row r="1541" spans="1:6">
      <c r="A1541" s="4" t="s">
        <v>3414</v>
      </c>
      <c r="B1541" s="6" t="s">
        <v>3413</v>
      </c>
      <c r="C1541" s="4" t="s">
        <v>53</v>
      </c>
      <c r="D1541" s="4">
        <v>14</v>
      </c>
      <c r="E1541" s="4" t="s">
        <v>3415</v>
      </c>
      <c r="F1541" s="4" t="s">
        <v>3416</v>
      </c>
    </row>
    <row r="1542" spans="1:6">
      <c r="A1542" s="4" t="s">
        <v>3417</v>
      </c>
      <c r="B1542" s="6" t="s">
        <v>3413</v>
      </c>
      <c r="C1542" s="4" t="s">
        <v>81</v>
      </c>
      <c r="D1542" s="4">
        <v>13</v>
      </c>
      <c r="E1542" s="4" t="s">
        <v>727</v>
      </c>
    </row>
    <row r="1543" spans="1:6">
      <c r="A1543" s="4" t="s">
        <v>3418</v>
      </c>
      <c r="B1543" s="6" t="s">
        <v>3413</v>
      </c>
      <c r="C1543" s="4" t="s">
        <v>23</v>
      </c>
      <c r="D1543" s="4">
        <v>9</v>
      </c>
      <c r="E1543" s="4" t="s">
        <v>727</v>
      </c>
      <c r="F1543" s="4" t="s">
        <v>3419</v>
      </c>
    </row>
    <row r="1544" spans="1:6">
      <c r="A1544" s="4" t="s">
        <v>3420</v>
      </c>
      <c r="B1544" s="6" t="s">
        <v>3421</v>
      </c>
      <c r="C1544" s="4" t="s">
        <v>705</v>
      </c>
      <c r="D1544" s="4">
        <v>11</v>
      </c>
      <c r="E1544" s="4" t="s">
        <v>731</v>
      </c>
    </row>
    <row r="1545" spans="1:6">
      <c r="A1545" s="4" t="s">
        <v>3422</v>
      </c>
      <c r="B1545" s="6" t="s">
        <v>3423</v>
      </c>
      <c r="C1545" s="4" t="s">
        <v>995</v>
      </c>
      <c r="D1545" s="4">
        <v>9</v>
      </c>
      <c r="E1545" s="4" t="s">
        <v>731</v>
      </c>
      <c r="F1545" s="4" t="s">
        <v>1036</v>
      </c>
    </row>
    <row r="1546" spans="1:6">
      <c r="A1546" s="4" t="s">
        <v>3424</v>
      </c>
      <c r="B1546" s="6" t="s">
        <v>3425</v>
      </c>
      <c r="C1546" s="4" t="s">
        <v>34</v>
      </c>
      <c r="D1546" s="4">
        <v>7</v>
      </c>
      <c r="E1546" s="4" t="s">
        <v>752</v>
      </c>
    </row>
    <row r="1547" spans="1:6">
      <c r="A1547" s="4" t="s">
        <v>3426</v>
      </c>
      <c r="B1547" s="6" t="s">
        <v>3425</v>
      </c>
      <c r="C1547" s="4" t="s">
        <v>254</v>
      </c>
      <c r="D1547" s="4">
        <v>6</v>
      </c>
      <c r="E1547" s="4" t="s">
        <v>752</v>
      </c>
    </row>
    <row r="1548" spans="1:6">
      <c r="A1548" s="4" t="s">
        <v>3427</v>
      </c>
      <c r="B1548" s="6" t="s">
        <v>3428</v>
      </c>
      <c r="C1548" s="4" t="s">
        <v>81</v>
      </c>
      <c r="D1548" s="4">
        <v>15</v>
      </c>
      <c r="E1548" s="4" t="s">
        <v>2970</v>
      </c>
      <c r="F1548" s="4" t="s">
        <v>1797</v>
      </c>
    </row>
    <row r="1549" spans="1:6">
      <c r="A1549" s="4" t="s">
        <v>3429</v>
      </c>
      <c r="B1549" s="6" t="s">
        <v>3430</v>
      </c>
      <c r="C1549" s="4" t="s">
        <v>81</v>
      </c>
      <c r="D1549" s="4">
        <v>9</v>
      </c>
      <c r="E1549" s="4" t="s">
        <v>752</v>
      </c>
      <c r="F1549" s="4" t="s">
        <v>3431</v>
      </c>
    </row>
    <row r="1550" spans="1:6">
      <c r="A1550" s="4" t="s">
        <v>3432</v>
      </c>
      <c r="B1550" s="6" t="s">
        <v>3433</v>
      </c>
      <c r="C1550" s="4" t="s">
        <v>87</v>
      </c>
      <c r="D1550" s="4">
        <v>11</v>
      </c>
      <c r="E1550" s="4" t="s">
        <v>825</v>
      </c>
      <c r="F1550" s="4" t="s">
        <v>3434</v>
      </c>
    </row>
    <row r="1551" spans="1:6">
      <c r="A1551" s="4" t="s">
        <v>3435</v>
      </c>
      <c r="B1551" s="6" t="s">
        <v>3436</v>
      </c>
      <c r="C1551" s="4" t="s">
        <v>605</v>
      </c>
      <c r="D1551" s="4">
        <v>5</v>
      </c>
      <c r="E1551" s="4" t="s">
        <v>752</v>
      </c>
      <c r="F1551" s="4" t="s">
        <v>3437</v>
      </c>
    </row>
    <row r="1552" spans="1:6">
      <c r="A1552" s="4" t="s">
        <v>3438</v>
      </c>
      <c r="B1552" s="6" t="s">
        <v>3439</v>
      </c>
      <c r="C1552" s="4" t="s">
        <v>23</v>
      </c>
      <c r="D1552" s="4">
        <v>5</v>
      </c>
      <c r="E1552" s="4" t="s">
        <v>721</v>
      </c>
      <c r="F1552" s="4" t="s">
        <v>3440</v>
      </c>
    </row>
    <row r="1553" spans="1:6">
      <c r="A1553" s="4" t="s">
        <v>3441</v>
      </c>
      <c r="B1553" s="6" t="s">
        <v>3442</v>
      </c>
      <c r="C1553" s="4" t="s">
        <v>23</v>
      </c>
      <c r="D1553" s="4">
        <v>11</v>
      </c>
      <c r="E1553" s="4" t="s">
        <v>852</v>
      </c>
    </row>
    <row r="1554" spans="1:6">
      <c r="A1554" s="4" t="s">
        <v>3443</v>
      </c>
      <c r="B1554" s="6" t="s">
        <v>3442</v>
      </c>
      <c r="C1554" s="4" t="s">
        <v>34</v>
      </c>
      <c r="D1554" s="4">
        <v>12</v>
      </c>
      <c r="E1554" s="4" t="s">
        <v>805</v>
      </c>
    </row>
    <row r="1555" spans="1:6">
      <c r="A1555" s="4" t="s">
        <v>3444</v>
      </c>
      <c r="B1555" s="6" t="s">
        <v>3442</v>
      </c>
      <c r="C1555" s="4" t="s">
        <v>315</v>
      </c>
      <c r="D1555" s="4">
        <v>18</v>
      </c>
      <c r="E1555" s="4" t="s">
        <v>3445</v>
      </c>
      <c r="F1555" s="4" t="s">
        <v>3446</v>
      </c>
    </row>
    <row r="1556" spans="1:6">
      <c r="A1556" s="4" t="s">
        <v>3447</v>
      </c>
      <c r="B1556" s="6" t="s">
        <v>3442</v>
      </c>
      <c r="C1556" s="4" t="s">
        <v>487</v>
      </c>
      <c r="D1556" s="4">
        <v>12</v>
      </c>
      <c r="E1556" s="4" t="s">
        <v>727</v>
      </c>
    </row>
    <row r="1557" spans="1:6">
      <c r="A1557" s="4" t="s">
        <v>3448</v>
      </c>
      <c r="B1557" s="6" t="s">
        <v>3442</v>
      </c>
      <c r="C1557" s="4" t="s">
        <v>271</v>
      </c>
      <c r="D1557" s="4">
        <v>12</v>
      </c>
      <c r="E1557" s="4" t="s">
        <v>727</v>
      </c>
    </row>
    <row r="1558" spans="1:6">
      <c r="A1558" s="4" t="s">
        <v>3449</v>
      </c>
      <c r="B1558" s="6" t="s">
        <v>3450</v>
      </c>
      <c r="C1558" s="4" t="s">
        <v>2085</v>
      </c>
      <c r="D1558" s="4">
        <v>10</v>
      </c>
      <c r="E1558" s="4" t="s">
        <v>1378</v>
      </c>
      <c r="F1558" s="4" t="s">
        <v>3280</v>
      </c>
    </row>
    <row r="1559" spans="1:6">
      <c r="A1559" s="4" t="s">
        <v>3451</v>
      </c>
      <c r="B1559" s="6" t="s">
        <v>3452</v>
      </c>
      <c r="C1559" s="4" t="s">
        <v>27</v>
      </c>
      <c r="D1559" s="4">
        <v>7</v>
      </c>
      <c r="E1559" s="4" t="s">
        <v>731</v>
      </c>
    </row>
    <row r="1560" spans="1:6">
      <c r="A1560" s="4" t="s">
        <v>69</v>
      </c>
      <c r="B1560" s="6" t="s">
        <v>3452</v>
      </c>
      <c r="C1560" s="4" t="s">
        <v>69</v>
      </c>
      <c r="D1560" s="4">
        <v>2</v>
      </c>
    </row>
    <row r="1561" spans="1:6">
      <c r="A1561" s="4" t="s">
        <v>3453</v>
      </c>
      <c r="B1561" s="6" t="s">
        <v>3452</v>
      </c>
      <c r="C1561" s="4" t="s">
        <v>285</v>
      </c>
      <c r="D1561" s="4">
        <v>12</v>
      </c>
      <c r="E1561" s="4" t="s">
        <v>731</v>
      </c>
      <c r="F1561" s="4" t="s">
        <v>3454</v>
      </c>
    </row>
    <row r="1562" spans="1:6">
      <c r="A1562" s="4" t="s">
        <v>3455</v>
      </c>
      <c r="B1562" s="6" t="s">
        <v>3456</v>
      </c>
      <c r="C1562" s="4" t="s">
        <v>254</v>
      </c>
      <c r="D1562" s="4">
        <v>8</v>
      </c>
      <c r="E1562" s="4" t="s">
        <v>731</v>
      </c>
      <c r="F1562" s="4" t="s">
        <v>3457</v>
      </c>
    </row>
    <row r="1563" spans="1:6">
      <c r="A1563" s="4" t="s">
        <v>3458</v>
      </c>
      <c r="B1563" s="6" t="s">
        <v>3459</v>
      </c>
      <c r="C1563" s="4" t="s">
        <v>81</v>
      </c>
      <c r="D1563" s="4">
        <v>14</v>
      </c>
      <c r="E1563" s="4" t="s">
        <v>752</v>
      </c>
    </row>
    <row r="1564" spans="1:6">
      <c r="A1564" s="4" t="s">
        <v>3460</v>
      </c>
      <c r="B1564" s="6" t="s">
        <v>3461</v>
      </c>
      <c r="C1564" s="4" t="s">
        <v>2610</v>
      </c>
      <c r="D1564" s="4">
        <v>6</v>
      </c>
      <c r="E1564" s="4" t="s">
        <v>752</v>
      </c>
      <c r="F1564" s="4" t="s">
        <v>3462</v>
      </c>
    </row>
    <row r="1565" spans="1:6">
      <c r="A1565" s="4" t="s">
        <v>3463</v>
      </c>
      <c r="B1565" s="6" t="s">
        <v>3461</v>
      </c>
      <c r="C1565" s="4" t="s">
        <v>34</v>
      </c>
      <c r="D1565" s="4">
        <v>9</v>
      </c>
      <c r="E1565" s="4" t="s">
        <v>2735</v>
      </c>
    </row>
    <row r="1566" spans="1:6">
      <c r="A1566" s="4" t="s">
        <v>3464</v>
      </c>
      <c r="B1566" s="6" t="s">
        <v>3461</v>
      </c>
      <c r="C1566" s="4" t="s">
        <v>1328</v>
      </c>
      <c r="D1566" s="4">
        <v>6</v>
      </c>
      <c r="E1566" s="4" t="s">
        <v>752</v>
      </c>
    </row>
    <row r="1567" spans="1:6">
      <c r="A1567" s="4" t="s">
        <v>3465</v>
      </c>
      <c r="B1567" s="6" t="s">
        <v>3461</v>
      </c>
      <c r="C1567" s="4" t="s">
        <v>53</v>
      </c>
      <c r="D1567" s="4">
        <v>10</v>
      </c>
      <c r="E1567" s="4" t="s">
        <v>752</v>
      </c>
    </row>
    <row r="1568" spans="1:6">
      <c r="A1568" s="4" t="s">
        <v>3466</v>
      </c>
      <c r="B1568" s="6" t="s">
        <v>3467</v>
      </c>
      <c r="C1568" s="4" t="s">
        <v>223</v>
      </c>
      <c r="D1568" s="4">
        <v>18</v>
      </c>
      <c r="E1568" s="4" t="s">
        <v>874</v>
      </c>
      <c r="F1568" s="4" t="s">
        <v>3468</v>
      </c>
    </row>
    <row r="1569" spans="1:6">
      <c r="A1569" s="4" t="s">
        <v>3469</v>
      </c>
      <c r="B1569" s="6" t="s">
        <v>3467</v>
      </c>
      <c r="C1569" s="4" t="s">
        <v>31</v>
      </c>
      <c r="D1569" s="4">
        <v>12</v>
      </c>
      <c r="E1569" s="4" t="s">
        <v>874</v>
      </c>
    </row>
    <row r="1570" spans="1:6">
      <c r="A1570" s="4" t="s">
        <v>3470</v>
      </c>
      <c r="B1570" s="6" t="s">
        <v>3471</v>
      </c>
      <c r="C1570" s="4" t="s">
        <v>427</v>
      </c>
      <c r="D1570" s="4">
        <v>11</v>
      </c>
      <c r="E1570" s="4" t="s">
        <v>900</v>
      </c>
    </row>
    <row r="1571" spans="1:6">
      <c r="A1571" s="4" t="s">
        <v>3472</v>
      </c>
      <c r="B1571" s="6" t="s">
        <v>3473</v>
      </c>
      <c r="C1571" s="4" t="s">
        <v>448</v>
      </c>
      <c r="D1571" s="4">
        <v>5</v>
      </c>
      <c r="E1571" s="4" t="s">
        <v>939</v>
      </c>
      <c r="F1571" s="4" t="s">
        <v>1471</v>
      </c>
    </row>
    <row r="1572" spans="1:6">
      <c r="A1572" s="4" t="s">
        <v>3474</v>
      </c>
      <c r="B1572" s="6" t="s">
        <v>3475</v>
      </c>
      <c r="C1572" s="4" t="s">
        <v>87</v>
      </c>
      <c r="D1572" s="4">
        <v>8</v>
      </c>
      <c r="E1572" s="4" t="s">
        <v>900</v>
      </c>
      <c r="F1572" s="4" t="s">
        <v>2141</v>
      </c>
    </row>
    <row r="1573" spans="1:6">
      <c r="A1573" s="4" t="s">
        <v>3476</v>
      </c>
      <c r="B1573" s="6" t="s">
        <v>3477</v>
      </c>
      <c r="C1573" s="4" t="s">
        <v>182</v>
      </c>
      <c r="D1573" s="4">
        <v>3</v>
      </c>
      <c r="E1573" s="4" t="s">
        <v>3478</v>
      </c>
      <c r="F1573" s="4" t="s">
        <v>3479</v>
      </c>
    </row>
    <row r="1574" spans="1:6">
      <c r="A1574" s="4" t="s">
        <v>3480</v>
      </c>
      <c r="B1574" s="6" t="s">
        <v>3481</v>
      </c>
      <c r="C1574" s="4" t="s">
        <v>34</v>
      </c>
      <c r="D1574" s="4">
        <v>6</v>
      </c>
      <c r="E1574" s="4" t="s">
        <v>752</v>
      </c>
    </row>
    <row r="1575" spans="1:6">
      <c r="A1575" s="4" t="s">
        <v>3482</v>
      </c>
      <c r="B1575" s="6" t="s">
        <v>3481</v>
      </c>
      <c r="C1575" s="4" t="s">
        <v>45</v>
      </c>
      <c r="D1575" s="4">
        <v>11</v>
      </c>
      <c r="E1575" s="4" t="s">
        <v>752</v>
      </c>
    </row>
    <row r="1576" spans="1:6">
      <c r="A1576" s="4" t="s">
        <v>3483</v>
      </c>
      <c r="B1576" s="6" t="s">
        <v>3481</v>
      </c>
      <c r="C1576" s="4" t="s">
        <v>3484</v>
      </c>
      <c r="D1576" s="4">
        <v>10</v>
      </c>
      <c r="E1576" s="4" t="s">
        <v>752</v>
      </c>
    </row>
    <row r="1577" spans="1:6">
      <c r="A1577" s="4" t="s">
        <v>3485</v>
      </c>
      <c r="B1577" s="6" t="s">
        <v>3481</v>
      </c>
      <c r="C1577" s="4" t="s">
        <v>23</v>
      </c>
      <c r="D1577" s="4">
        <v>5</v>
      </c>
      <c r="E1577" s="4" t="s">
        <v>752</v>
      </c>
      <c r="F1577" s="4" t="s">
        <v>3486</v>
      </c>
    </row>
    <row r="1578" spans="1:6">
      <c r="A1578" s="4" t="s">
        <v>3487</v>
      </c>
      <c r="B1578" s="6" t="s">
        <v>3481</v>
      </c>
      <c r="C1578" s="4" t="s">
        <v>315</v>
      </c>
      <c r="D1578" s="4">
        <v>11</v>
      </c>
      <c r="E1578" s="4" t="s">
        <v>752</v>
      </c>
      <c r="F1578" s="4" t="s">
        <v>3488</v>
      </c>
    </row>
    <row r="1579" spans="1:6">
      <c r="A1579" s="4" t="s">
        <v>3489</v>
      </c>
      <c r="B1579" s="6" t="s">
        <v>3490</v>
      </c>
      <c r="C1579" s="4" t="s">
        <v>301</v>
      </c>
      <c r="D1579" s="4">
        <v>15</v>
      </c>
      <c r="E1579" s="4" t="s">
        <v>877</v>
      </c>
    </row>
    <row r="1580" spans="1:6">
      <c r="A1580" s="4" t="s">
        <v>3491</v>
      </c>
      <c r="B1580" s="6" t="s">
        <v>3490</v>
      </c>
      <c r="C1580" s="4" t="s">
        <v>27</v>
      </c>
      <c r="D1580" s="4">
        <v>16</v>
      </c>
      <c r="E1580" s="4" t="s">
        <v>972</v>
      </c>
    </row>
    <row r="1581" spans="1:6">
      <c r="A1581" s="4" t="s">
        <v>3492</v>
      </c>
      <c r="B1581" s="6" t="s">
        <v>3490</v>
      </c>
      <c r="C1581" s="4" t="s">
        <v>81</v>
      </c>
      <c r="D1581" s="4">
        <v>17</v>
      </c>
      <c r="E1581" s="4" t="s">
        <v>972</v>
      </c>
      <c r="F1581" s="4" t="s">
        <v>3493</v>
      </c>
    </row>
    <row r="1582" spans="1:6">
      <c r="A1582" s="4" t="s">
        <v>23</v>
      </c>
      <c r="B1582" s="6" t="s">
        <v>3494</v>
      </c>
      <c r="C1582" s="4" t="s">
        <v>23</v>
      </c>
      <c r="D1582" s="4">
        <v>3</v>
      </c>
      <c r="E1582" s="4" t="s">
        <v>752</v>
      </c>
      <c r="F1582" s="4" t="s">
        <v>3495</v>
      </c>
    </row>
    <row r="1583" spans="1:6">
      <c r="A1583" s="4" t="s">
        <v>3496</v>
      </c>
      <c r="B1583" s="6" t="s">
        <v>3497</v>
      </c>
      <c r="C1583" s="4" t="s">
        <v>271</v>
      </c>
      <c r="D1583" s="4">
        <v>8</v>
      </c>
      <c r="E1583" s="4" t="s">
        <v>1344</v>
      </c>
      <c r="F1583" s="4" t="s">
        <v>3498</v>
      </c>
    </row>
    <row r="1584" spans="1:6">
      <c r="A1584" s="4" t="s">
        <v>3499</v>
      </c>
      <c r="B1584" s="6" t="s">
        <v>3497</v>
      </c>
      <c r="C1584" s="4" t="s">
        <v>976</v>
      </c>
      <c r="D1584" s="4">
        <v>7</v>
      </c>
      <c r="E1584" s="4" t="s">
        <v>1344</v>
      </c>
      <c r="F1584" s="4" t="s">
        <v>3500</v>
      </c>
    </row>
    <row r="1585" spans="1:6">
      <c r="A1585" s="4" t="s">
        <v>3501</v>
      </c>
      <c r="B1585" s="6" t="s">
        <v>3497</v>
      </c>
      <c r="C1585" s="4" t="s">
        <v>271</v>
      </c>
      <c r="D1585" s="4">
        <v>9</v>
      </c>
      <c r="E1585" s="4" t="s">
        <v>1344</v>
      </c>
      <c r="F1585" s="4" t="s">
        <v>3500</v>
      </c>
    </row>
    <row r="1586" spans="1:6">
      <c r="A1586" s="4" t="s">
        <v>3502</v>
      </c>
      <c r="B1586" s="6" t="s">
        <v>3497</v>
      </c>
      <c r="C1586" s="4" t="s">
        <v>1180</v>
      </c>
      <c r="D1586" s="4">
        <v>10</v>
      </c>
      <c r="E1586" s="4" t="s">
        <v>1344</v>
      </c>
      <c r="F1586" s="4" t="s">
        <v>3500</v>
      </c>
    </row>
    <row r="1587" spans="1:6">
      <c r="A1587" s="4" t="s">
        <v>3503</v>
      </c>
      <c r="B1587" s="6" t="s">
        <v>3504</v>
      </c>
      <c r="C1587" s="4" t="s">
        <v>354</v>
      </c>
      <c r="D1587" s="4">
        <v>8</v>
      </c>
      <c r="E1587" s="4" t="s">
        <v>752</v>
      </c>
      <c r="F1587" s="4" t="s">
        <v>3505</v>
      </c>
    </row>
    <row r="1588" spans="1:6">
      <c r="A1588" s="4" t="s">
        <v>3506</v>
      </c>
      <c r="B1588" s="6" t="s">
        <v>3507</v>
      </c>
      <c r="C1588" s="4" t="s">
        <v>87</v>
      </c>
      <c r="D1588" s="4">
        <v>13</v>
      </c>
      <c r="E1588" s="4" t="s">
        <v>852</v>
      </c>
      <c r="F1588" s="4" t="s">
        <v>1346</v>
      </c>
    </row>
    <row r="1589" spans="1:6">
      <c r="A1589" s="4" t="s">
        <v>3508</v>
      </c>
      <c r="B1589" s="6" t="s">
        <v>3507</v>
      </c>
      <c r="C1589" s="4" t="s">
        <v>87</v>
      </c>
      <c r="D1589" s="4">
        <v>11</v>
      </c>
      <c r="E1589" s="4" t="s">
        <v>852</v>
      </c>
      <c r="F1589" s="4" t="s">
        <v>1346</v>
      </c>
    </row>
    <row r="1590" spans="1:6">
      <c r="A1590" s="4" t="s">
        <v>3509</v>
      </c>
      <c r="B1590" s="6" t="s">
        <v>3510</v>
      </c>
      <c r="C1590" s="4" t="s">
        <v>81</v>
      </c>
      <c r="D1590" s="4">
        <v>16</v>
      </c>
      <c r="E1590" s="4" t="s">
        <v>852</v>
      </c>
      <c r="F1590" s="4" t="s">
        <v>3511</v>
      </c>
    </row>
    <row r="1591" spans="1:6">
      <c r="A1591" s="4" t="s">
        <v>3512</v>
      </c>
      <c r="B1591" s="6" t="s">
        <v>3510</v>
      </c>
      <c r="C1591" s="4" t="s">
        <v>81</v>
      </c>
      <c r="D1591" s="4">
        <v>15</v>
      </c>
      <c r="E1591" s="4" t="s">
        <v>852</v>
      </c>
      <c r="F1591" s="4" t="s">
        <v>3511</v>
      </c>
    </row>
    <row r="1592" spans="1:6">
      <c r="A1592" s="4" t="s">
        <v>3513</v>
      </c>
      <c r="B1592" s="6" t="s">
        <v>3514</v>
      </c>
      <c r="C1592" s="4" t="s">
        <v>121</v>
      </c>
      <c r="D1592" s="4">
        <v>9</v>
      </c>
      <c r="E1592" s="4" t="s">
        <v>3515</v>
      </c>
      <c r="F1592" s="4" t="s">
        <v>3516</v>
      </c>
    </row>
    <row r="1593" spans="1:6">
      <c r="A1593" s="4" t="s">
        <v>3517</v>
      </c>
      <c r="B1593" s="6" t="s">
        <v>3518</v>
      </c>
      <c r="C1593" s="4" t="s">
        <v>31</v>
      </c>
      <c r="D1593" s="4">
        <v>12</v>
      </c>
      <c r="E1593" s="4" t="s">
        <v>3519</v>
      </c>
      <c r="F1593" s="4" t="s">
        <v>3520</v>
      </c>
    </row>
    <row r="1594" spans="1:6">
      <c r="A1594" s="4" t="s">
        <v>3521</v>
      </c>
      <c r="B1594" s="6" t="s">
        <v>3522</v>
      </c>
      <c r="C1594" s="4" t="s">
        <v>37</v>
      </c>
      <c r="D1594" s="4">
        <v>17</v>
      </c>
      <c r="E1594" s="4" t="s">
        <v>2887</v>
      </c>
    </row>
    <row r="1595" spans="1:6">
      <c r="A1595" s="4" t="s">
        <v>3523</v>
      </c>
      <c r="B1595" s="6" t="s">
        <v>3524</v>
      </c>
      <c r="C1595" s="4" t="s">
        <v>81</v>
      </c>
      <c r="D1595" s="4">
        <v>13</v>
      </c>
      <c r="E1595" s="4" t="s">
        <v>2887</v>
      </c>
    </row>
    <row r="1596" spans="1:6">
      <c r="A1596" s="4" t="s">
        <v>3525</v>
      </c>
      <c r="B1596" s="6" t="s">
        <v>3524</v>
      </c>
      <c r="C1596" s="4" t="s">
        <v>34</v>
      </c>
      <c r="D1596" s="4">
        <v>14</v>
      </c>
      <c r="E1596" s="4" t="s">
        <v>2887</v>
      </c>
    </row>
    <row r="1597" spans="1:6">
      <c r="A1597" s="4" t="s">
        <v>3526</v>
      </c>
      <c r="B1597" s="6" t="s">
        <v>3524</v>
      </c>
      <c r="C1597" s="4" t="s">
        <v>2111</v>
      </c>
      <c r="D1597" s="4">
        <v>11</v>
      </c>
      <c r="E1597" s="4" t="s">
        <v>2887</v>
      </c>
    </row>
    <row r="1598" spans="1:6">
      <c r="A1598" s="4" t="s">
        <v>3527</v>
      </c>
      <c r="B1598" s="6" t="s">
        <v>3528</v>
      </c>
      <c r="C1598" s="4" t="s">
        <v>439</v>
      </c>
      <c r="D1598" s="4">
        <v>13</v>
      </c>
      <c r="E1598" s="4" t="s">
        <v>3529</v>
      </c>
      <c r="F1598" s="4" t="s">
        <v>3530</v>
      </c>
    </row>
    <row r="1599" spans="1:6">
      <c r="A1599" s="4" t="s">
        <v>3531</v>
      </c>
      <c r="B1599" s="6" t="s">
        <v>3528</v>
      </c>
      <c r="C1599" s="4" t="s">
        <v>53</v>
      </c>
      <c r="D1599" s="4">
        <v>16</v>
      </c>
      <c r="E1599" s="4" t="s">
        <v>1043</v>
      </c>
      <c r="F1599" s="4" t="s">
        <v>3532</v>
      </c>
    </row>
    <row r="1600" spans="1:6">
      <c r="A1600" s="4" t="s">
        <v>31</v>
      </c>
      <c r="B1600" s="6" t="s">
        <v>3533</v>
      </c>
      <c r="C1600" s="4" t="s">
        <v>31</v>
      </c>
      <c r="D1600" s="4">
        <v>4</v>
      </c>
      <c r="E1600" s="4" t="s">
        <v>2904</v>
      </c>
      <c r="F1600" s="4" t="s">
        <v>2419</v>
      </c>
    </row>
    <row r="1601" spans="1:6">
      <c r="A1601" s="4" t="s">
        <v>3534</v>
      </c>
      <c r="B1601" s="6" t="s">
        <v>3533</v>
      </c>
      <c r="C1601" s="4" t="s">
        <v>27</v>
      </c>
      <c r="D1601" s="4">
        <v>14</v>
      </c>
      <c r="E1601" s="4" t="s">
        <v>3535</v>
      </c>
    </row>
    <row r="1602" spans="1:6">
      <c r="A1602" s="4" t="s">
        <v>3536</v>
      </c>
      <c r="B1602" s="6" t="s">
        <v>3537</v>
      </c>
      <c r="C1602" s="4" t="s">
        <v>81</v>
      </c>
      <c r="D1602" s="4">
        <v>8</v>
      </c>
      <c r="E1602" s="4" t="s">
        <v>908</v>
      </c>
      <c r="F1602" s="4" t="s">
        <v>3538</v>
      </c>
    </row>
    <row r="1603" spans="1:6">
      <c r="A1603" s="4" t="s">
        <v>3539</v>
      </c>
      <c r="B1603" s="6" t="s">
        <v>3540</v>
      </c>
      <c r="C1603" s="4" t="s">
        <v>87</v>
      </c>
      <c r="D1603" s="4">
        <v>15</v>
      </c>
      <c r="E1603" s="4" t="s">
        <v>2904</v>
      </c>
      <c r="F1603" s="4" t="s">
        <v>3541</v>
      </c>
    </row>
    <row r="1604" spans="1:6">
      <c r="A1604" s="4" t="s">
        <v>3542</v>
      </c>
      <c r="B1604" s="6" t="s">
        <v>3540</v>
      </c>
      <c r="C1604" s="4" t="s">
        <v>23</v>
      </c>
      <c r="D1604" s="4">
        <v>12</v>
      </c>
      <c r="E1604" s="4" t="s">
        <v>3543</v>
      </c>
    </row>
    <row r="1605" spans="1:6">
      <c r="A1605" s="4" t="s">
        <v>3544</v>
      </c>
      <c r="B1605" s="6" t="s">
        <v>3540</v>
      </c>
      <c r="C1605" s="4" t="s">
        <v>34</v>
      </c>
      <c r="D1605" s="4">
        <v>10</v>
      </c>
      <c r="E1605" s="4" t="s">
        <v>2904</v>
      </c>
    </row>
    <row r="1606" spans="1:6">
      <c r="A1606" s="4" t="s">
        <v>3545</v>
      </c>
      <c r="B1606" s="6" t="s">
        <v>3540</v>
      </c>
      <c r="C1606" s="4" t="s">
        <v>92</v>
      </c>
      <c r="D1606" s="4">
        <v>21</v>
      </c>
      <c r="E1606" s="4" t="s">
        <v>3546</v>
      </c>
    </row>
    <row r="1607" spans="1:6">
      <c r="A1607" s="4" t="s">
        <v>3547</v>
      </c>
      <c r="B1607" s="6" t="s">
        <v>3540</v>
      </c>
      <c r="C1607" s="4" t="s">
        <v>23</v>
      </c>
      <c r="D1607" s="4">
        <v>24</v>
      </c>
      <c r="E1607" s="4" t="s">
        <v>3546</v>
      </c>
    </row>
    <row r="1608" spans="1:6">
      <c r="A1608" s="4" t="s">
        <v>3548</v>
      </c>
      <c r="B1608" s="6" t="s">
        <v>3549</v>
      </c>
      <c r="C1608" s="4" t="s">
        <v>23</v>
      </c>
      <c r="D1608" s="4">
        <v>6</v>
      </c>
      <c r="E1608" s="4" t="s">
        <v>908</v>
      </c>
      <c r="F1608" s="4" t="s">
        <v>3550</v>
      </c>
    </row>
    <row r="1609" spans="1:6">
      <c r="A1609" s="4" t="s">
        <v>3551</v>
      </c>
      <c r="B1609" s="6" t="s">
        <v>3549</v>
      </c>
      <c r="C1609" s="4" t="s">
        <v>23</v>
      </c>
      <c r="D1609" s="4">
        <v>16</v>
      </c>
      <c r="E1609" s="4" t="s">
        <v>1069</v>
      </c>
      <c r="F1609" s="4" t="s">
        <v>3552</v>
      </c>
    </row>
    <row r="1610" spans="1:6">
      <c r="A1610" s="4" t="s">
        <v>3553</v>
      </c>
      <c r="B1610" s="6" t="s">
        <v>3554</v>
      </c>
      <c r="C1610" s="4" t="s">
        <v>31</v>
      </c>
      <c r="D1610" s="4">
        <v>14</v>
      </c>
      <c r="E1610" s="4" t="s">
        <v>2887</v>
      </c>
    </row>
    <row r="1611" spans="1:6">
      <c r="A1611" s="4" t="s">
        <v>3555</v>
      </c>
      <c r="B1611" s="6" t="s">
        <v>3556</v>
      </c>
      <c r="C1611" s="4" t="s">
        <v>275</v>
      </c>
      <c r="D1611" s="4">
        <v>13</v>
      </c>
      <c r="E1611" s="4" t="s">
        <v>2887</v>
      </c>
      <c r="F1611" s="4" t="s">
        <v>3557</v>
      </c>
    </row>
    <row r="1612" spans="1:6">
      <c r="A1612" s="4" t="s">
        <v>3558</v>
      </c>
      <c r="B1612" s="6" t="s">
        <v>3559</v>
      </c>
      <c r="C1612" s="4" t="s">
        <v>574</v>
      </c>
      <c r="D1612" s="4">
        <v>12</v>
      </c>
      <c r="E1612" s="4" t="s">
        <v>852</v>
      </c>
      <c r="F1612" s="4" t="s">
        <v>3560</v>
      </c>
    </row>
    <row r="1613" spans="1:6">
      <c r="A1613" s="4" t="s">
        <v>3561</v>
      </c>
      <c r="B1613" s="6" t="s">
        <v>3562</v>
      </c>
      <c r="C1613" s="4" t="s">
        <v>3563</v>
      </c>
      <c r="D1613" s="4">
        <v>6</v>
      </c>
      <c r="E1613" s="4" t="s">
        <v>1388</v>
      </c>
    </row>
    <row r="1614" spans="1:6">
      <c r="A1614" s="4" t="s">
        <v>3564</v>
      </c>
      <c r="B1614" s="6" t="s">
        <v>3562</v>
      </c>
      <c r="C1614" s="4" t="s">
        <v>87</v>
      </c>
      <c r="D1614" s="4">
        <v>7</v>
      </c>
      <c r="E1614" s="4" t="s">
        <v>1378</v>
      </c>
    </row>
    <row r="1615" spans="1:6">
      <c r="A1615" s="4" t="s">
        <v>3565</v>
      </c>
      <c r="B1615" s="6" t="s">
        <v>3562</v>
      </c>
      <c r="C1615" s="4" t="s">
        <v>405</v>
      </c>
      <c r="D1615" s="4">
        <v>11</v>
      </c>
      <c r="E1615" s="4" t="s">
        <v>1378</v>
      </c>
      <c r="F1615" s="4" t="s">
        <v>3566</v>
      </c>
    </row>
    <row r="1616" spans="1:6">
      <c r="A1616" s="4" t="s">
        <v>3567</v>
      </c>
      <c r="B1616" s="6" t="s">
        <v>3562</v>
      </c>
      <c r="C1616" s="4" t="s">
        <v>23</v>
      </c>
      <c r="D1616" s="4">
        <v>15</v>
      </c>
      <c r="E1616" s="4" t="s">
        <v>1378</v>
      </c>
      <c r="F1616" s="4" t="s">
        <v>3568</v>
      </c>
    </row>
    <row r="1617" spans="1:6">
      <c r="A1617" s="4" t="s">
        <v>3569</v>
      </c>
      <c r="B1617" s="6" t="s">
        <v>3562</v>
      </c>
      <c r="C1617" s="4" t="s">
        <v>3563</v>
      </c>
      <c r="D1617" s="4">
        <v>10</v>
      </c>
      <c r="E1617" s="4" t="s">
        <v>1388</v>
      </c>
    </row>
    <row r="1618" spans="1:6">
      <c r="A1618" s="4" t="s">
        <v>3570</v>
      </c>
      <c r="B1618" s="6" t="s">
        <v>3562</v>
      </c>
      <c r="C1618" s="4" t="s">
        <v>23</v>
      </c>
      <c r="D1618" s="4">
        <v>15</v>
      </c>
      <c r="E1618" s="4" t="s">
        <v>1378</v>
      </c>
      <c r="F1618" s="4" t="s">
        <v>3568</v>
      </c>
    </row>
    <row r="1619" spans="1:6">
      <c r="A1619" s="4" t="s">
        <v>3571</v>
      </c>
      <c r="B1619" s="6" t="s">
        <v>3562</v>
      </c>
      <c r="C1619" s="4" t="s">
        <v>558</v>
      </c>
      <c r="D1619" s="4">
        <v>7</v>
      </c>
      <c r="E1619" s="4" t="s">
        <v>1378</v>
      </c>
      <c r="F1619" s="4" t="s">
        <v>3566</v>
      </c>
    </row>
    <row r="1620" spans="1:6">
      <c r="A1620" s="4" t="s">
        <v>3563</v>
      </c>
      <c r="B1620" s="6" t="s">
        <v>3572</v>
      </c>
      <c r="C1620" s="4" t="s">
        <v>3563</v>
      </c>
      <c r="D1620" s="4">
        <v>4</v>
      </c>
      <c r="E1620" s="4" t="s">
        <v>1378</v>
      </c>
    </row>
    <row r="1621" spans="1:6">
      <c r="A1621" s="4" t="s">
        <v>3573</v>
      </c>
      <c r="B1621" s="6" t="s">
        <v>3574</v>
      </c>
      <c r="C1621" s="4" t="s">
        <v>87</v>
      </c>
      <c r="D1621" s="4">
        <v>16</v>
      </c>
      <c r="E1621" s="4" t="s">
        <v>3575</v>
      </c>
      <c r="F1621" s="4" t="s">
        <v>3576</v>
      </c>
    </row>
    <row r="1622" spans="1:6">
      <c r="A1622" s="4" t="s">
        <v>3577</v>
      </c>
      <c r="B1622" s="6" t="s">
        <v>3578</v>
      </c>
      <c r="C1622" s="4" t="s">
        <v>458</v>
      </c>
      <c r="D1622" s="4">
        <v>9</v>
      </c>
      <c r="E1622" s="4" t="s">
        <v>721</v>
      </c>
      <c r="F1622" s="4" t="s">
        <v>3579</v>
      </c>
    </row>
    <row r="1623" spans="1:6">
      <c r="A1623" s="4" t="s">
        <v>3580</v>
      </c>
      <c r="B1623" s="6" t="s">
        <v>3578</v>
      </c>
      <c r="C1623" s="4" t="s">
        <v>37</v>
      </c>
      <c r="D1623" s="4">
        <v>13</v>
      </c>
      <c r="E1623" s="4" t="s">
        <v>1305</v>
      </c>
      <c r="F1623" s="4" t="s">
        <v>3581</v>
      </c>
    </row>
    <row r="1624" spans="1:6">
      <c r="A1624" s="4" t="s">
        <v>3582</v>
      </c>
      <c r="B1624" s="6" t="s">
        <v>3578</v>
      </c>
      <c r="C1624" s="4" t="s">
        <v>427</v>
      </c>
      <c r="D1624" s="4">
        <v>15</v>
      </c>
      <c r="E1624" s="4" t="s">
        <v>721</v>
      </c>
    </row>
    <row r="1625" spans="1:6">
      <c r="A1625" s="4" t="s">
        <v>3583</v>
      </c>
      <c r="B1625" s="6" t="s">
        <v>3584</v>
      </c>
      <c r="C1625" s="4" t="s">
        <v>45</v>
      </c>
      <c r="D1625" s="4">
        <v>13</v>
      </c>
      <c r="E1625" s="4" t="s">
        <v>731</v>
      </c>
      <c r="F1625" s="4" t="s">
        <v>3585</v>
      </c>
    </row>
    <row r="1626" spans="1:6">
      <c r="A1626" s="4" t="s">
        <v>3586</v>
      </c>
      <c r="B1626" s="6" t="s">
        <v>3587</v>
      </c>
      <c r="C1626" s="4" t="s">
        <v>81</v>
      </c>
      <c r="D1626" s="4">
        <v>7</v>
      </c>
      <c r="E1626" s="4" t="s">
        <v>1352</v>
      </c>
      <c r="F1626" s="4" t="s">
        <v>3588</v>
      </c>
    </row>
    <row r="1627" spans="1:6">
      <c r="A1627" s="4" t="s">
        <v>3589</v>
      </c>
      <c r="B1627" s="6" t="s">
        <v>3590</v>
      </c>
      <c r="C1627" s="4" t="s">
        <v>271</v>
      </c>
      <c r="D1627" s="4">
        <v>8</v>
      </c>
      <c r="E1627" s="4" t="s">
        <v>2887</v>
      </c>
    </row>
    <row r="1628" spans="1:6">
      <c r="A1628" s="4" t="s">
        <v>3591</v>
      </c>
      <c r="B1628" s="6" t="s">
        <v>3590</v>
      </c>
      <c r="C1628" s="4" t="s">
        <v>53</v>
      </c>
      <c r="D1628" s="4">
        <v>12</v>
      </c>
      <c r="E1628" s="4" t="s">
        <v>2887</v>
      </c>
    </row>
    <row r="1629" spans="1:6">
      <c r="A1629" s="4" t="s">
        <v>3592</v>
      </c>
      <c r="B1629" s="6" t="s">
        <v>3590</v>
      </c>
      <c r="C1629" s="4" t="s">
        <v>705</v>
      </c>
      <c r="D1629" s="4">
        <v>8</v>
      </c>
      <c r="E1629" s="4" t="s">
        <v>2887</v>
      </c>
    </row>
    <row r="1630" spans="1:6">
      <c r="A1630" s="4" t="s">
        <v>3593</v>
      </c>
      <c r="B1630" s="6" t="s">
        <v>3594</v>
      </c>
      <c r="C1630" s="4" t="s">
        <v>315</v>
      </c>
      <c r="D1630" s="4">
        <v>13</v>
      </c>
      <c r="E1630" s="4" t="s">
        <v>752</v>
      </c>
      <c r="F1630" s="4" t="s">
        <v>3595</v>
      </c>
    </row>
    <row r="1631" spans="1:6">
      <c r="A1631" s="4" t="s">
        <v>3596</v>
      </c>
      <c r="B1631" s="6" t="s">
        <v>3594</v>
      </c>
      <c r="C1631" s="4" t="s">
        <v>104</v>
      </c>
      <c r="D1631" s="4">
        <v>19</v>
      </c>
      <c r="E1631" s="4" t="s">
        <v>752</v>
      </c>
    </row>
    <row r="1632" spans="1:6">
      <c r="A1632" s="4" t="s">
        <v>3597</v>
      </c>
      <c r="B1632" s="6" t="s">
        <v>3598</v>
      </c>
      <c r="C1632" s="4" t="s">
        <v>110</v>
      </c>
      <c r="D1632" s="4">
        <v>17</v>
      </c>
      <c r="E1632" s="4" t="s">
        <v>825</v>
      </c>
    </row>
    <row r="1633" spans="1:6">
      <c r="A1633" s="4" t="s">
        <v>3599</v>
      </c>
      <c r="B1633" s="6" t="s">
        <v>3598</v>
      </c>
      <c r="C1633" s="4" t="s">
        <v>427</v>
      </c>
      <c r="D1633" s="4">
        <v>12</v>
      </c>
      <c r="E1633" s="4" t="s">
        <v>825</v>
      </c>
    </row>
    <row r="1634" spans="1:6">
      <c r="A1634" s="4" t="s">
        <v>3600</v>
      </c>
      <c r="B1634" s="6" t="s">
        <v>3601</v>
      </c>
      <c r="C1634" s="4" t="s">
        <v>31</v>
      </c>
      <c r="D1634" s="4">
        <v>12</v>
      </c>
      <c r="E1634" s="4" t="s">
        <v>731</v>
      </c>
    </row>
    <row r="1635" spans="1:6">
      <c r="A1635" s="4" t="s">
        <v>3602</v>
      </c>
      <c r="B1635" s="6" t="s">
        <v>3603</v>
      </c>
      <c r="C1635" s="4" t="s">
        <v>221</v>
      </c>
      <c r="D1635" s="4">
        <v>11</v>
      </c>
      <c r="E1635" s="4" t="s">
        <v>852</v>
      </c>
      <c r="F1635" s="4" t="s">
        <v>3604</v>
      </c>
    </row>
    <row r="1636" spans="1:6">
      <c r="A1636" s="4" t="s">
        <v>3605</v>
      </c>
      <c r="B1636" s="6" t="s">
        <v>3606</v>
      </c>
      <c r="C1636" s="4" t="s">
        <v>37</v>
      </c>
      <c r="D1636" s="4">
        <v>15</v>
      </c>
      <c r="E1636" s="4" t="s">
        <v>721</v>
      </c>
    </row>
    <row r="1637" spans="1:6">
      <c r="A1637" s="4" t="s">
        <v>3607</v>
      </c>
      <c r="B1637" s="6" t="s">
        <v>3608</v>
      </c>
      <c r="C1637" s="4" t="s">
        <v>223</v>
      </c>
      <c r="D1637" s="4">
        <v>13</v>
      </c>
      <c r="E1637" s="4" t="s">
        <v>3609</v>
      </c>
      <c r="F1637" s="4" t="s">
        <v>3610</v>
      </c>
    </row>
    <row r="1638" spans="1:6">
      <c r="A1638" s="4" t="s">
        <v>3611</v>
      </c>
      <c r="B1638" s="6" t="s">
        <v>3612</v>
      </c>
      <c r="C1638" s="4" t="s">
        <v>223</v>
      </c>
      <c r="D1638" s="4">
        <v>14</v>
      </c>
      <c r="E1638" s="4" t="s">
        <v>721</v>
      </c>
    </row>
    <row r="1639" spans="1:6">
      <c r="A1639" s="4" t="s">
        <v>3613</v>
      </c>
      <c r="B1639" s="6" t="s">
        <v>3614</v>
      </c>
      <c r="C1639" s="4" t="s">
        <v>53</v>
      </c>
      <c r="D1639" s="4">
        <v>9</v>
      </c>
      <c r="E1639" s="4" t="s">
        <v>1305</v>
      </c>
      <c r="F1639" s="4" t="s">
        <v>3615</v>
      </c>
    </row>
    <row r="1640" spans="1:6">
      <c r="A1640" s="4" t="s">
        <v>3616</v>
      </c>
      <c r="B1640" s="6" t="s">
        <v>3614</v>
      </c>
      <c r="C1640" s="4" t="s">
        <v>53</v>
      </c>
      <c r="D1640" s="4">
        <v>10</v>
      </c>
      <c r="E1640" s="4" t="s">
        <v>1305</v>
      </c>
    </row>
    <row r="1641" spans="1:6">
      <c r="A1641" s="4" t="s">
        <v>3617</v>
      </c>
      <c r="B1641" s="6" t="s">
        <v>3614</v>
      </c>
      <c r="C1641" s="4" t="s">
        <v>271</v>
      </c>
      <c r="D1641" s="4">
        <v>8</v>
      </c>
      <c r="E1641" s="4" t="s">
        <v>1305</v>
      </c>
    </row>
    <row r="1642" spans="1:6">
      <c r="A1642" s="4" t="s">
        <v>3618</v>
      </c>
      <c r="B1642" s="6" t="s">
        <v>3619</v>
      </c>
      <c r="C1642" s="4" t="s">
        <v>81</v>
      </c>
      <c r="D1642" s="4">
        <v>9</v>
      </c>
      <c r="E1642" s="4" t="s">
        <v>805</v>
      </c>
    </row>
    <row r="1643" spans="1:6">
      <c r="A1643" s="4" t="s">
        <v>3620</v>
      </c>
      <c r="B1643" s="6" t="s">
        <v>3621</v>
      </c>
      <c r="C1643" s="4" t="s">
        <v>27</v>
      </c>
      <c r="D1643" s="4">
        <v>8</v>
      </c>
      <c r="E1643" s="4" t="s">
        <v>972</v>
      </c>
      <c r="F1643" s="4" t="s">
        <v>3622</v>
      </c>
    </row>
    <row r="1644" spans="1:6">
      <c r="A1644" s="4" t="s">
        <v>3623</v>
      </c>
      <c r="B1644" s="6" t="s">
        <v>3624</v>
      </c>
      <c r="C1644" s="4" t="s">
        <v>254</v>
      </c>
      <c r="D1644" s="4">
        <v>10</v>
      </c>
      <c r="E1644" s="4" t="s">
        <v>752</v>
      </c>
    </row>
    <row r="1645" spans="1:6">
      <c r="A1645" s="4" t="s">
        <v>3625</v>
      </c>
      <c r="B1645" s="6" t="s">
        <v>3624</v>
      </c>
      <c r="C1645" s="4" t="s">
        <v>23</v>
      </c>
      <c r="D1645" s="4">
        <v>11</v>
      </c>
      <c r="E1645" s="4" t="s">
        <v>752</v>
      </c>
    </row>
    <row r="1646" spans="1:6">
      <c r="A1646" s="4" t="s">
        <v>3626</v>
      </c>
      <c r="B1646" s="6" t="s">
        <v>3627</v>
      </c>
      <c r="C1646" s="4" t="s">
        <v>1425</v>
      </c>
      <c r="D1646" s="4">
        <v>8</v>
      </c>
      <c r="E1646" s="4" t="s">
        <v>3628</v>
      </c>
      <c r="F1646" s="4" t="s">
        <v>3629</v>
      </c>
    </row>
    <row r="1647" spans="1:6">
      <c r="A1647" s="4" t="s">
        <v>3630</v>
      </c>
      <c r="B1647" s="6" t="s">
        <v>3631</v>
      </c>
      <c r="C1647" s="4" t="s">
        <v>41</v>
      </c>
      <c r="D1647" s="4">
        <v>10</v>
      </c>
      <c r="E1647" s="4" t="s">
        <v>1310</v>
      </c>
      <c r="F1647" s="4" t="s">
        <v>3632</v>
      </c>
    </row>
    <row r="1648" spans="1:6">
      <c r="A1648" s="4" t="s">
        <v>3633</v>
      </c>
      <c r="B1648" s="6" t="s">
        <v>3631</v>
      </c>
      <c r="C1648" s="4" t="s">
        <v>223</v>
      </c>
      <c r="D1648" s="4">
        <v>11</v>
      </c>
      <c r="E1648" s="4" t="s">
        <v>1305</v>
      </c>
      <c r="F1648" s="4" t="s">
        <v>3634</v>
      </c>
    </row>
    <row r="1649" spans="1:6">
      <c r="A1649" s="4" t="s">
        <v>3635</v>
      </c>
      <c r="B1649" s="6" t="s">
        <v>3631</v>
      </c>
      <c r="C1649" s="4" t="s">
        <v>121</v>
      </c>
      <c r="D1649" s="4">
        <v>6</v>
      </c>
      <c r="E1649" s="4" t="s">
        <v>1305</v>
      </c>
    </row>
    <row r="1650" spans="1:6">
      <c r="A1650" s="4" t="s">
        <v>3636</v>
      </c>
      <c r="B1650" s="6" t="s">
        <v>3637</v>
      </c>
      <c r="C1650" s="4" t="s">
        <v>1262</v>
      </c>
      <c r="D1650" s="4">
        <v>14</v>
      </c>
      <c r="E1650" s="4" t="s">
        <v>1344</v>
      </c>
      <c r="F1650" s="4" t="s">
        <v>3638</v>
      </c>
    </row>
    <row r="1651" spans="1:6">
      <c r="A1651" s="4" t="s">
        <v>3639</v>
      </c>
      <c r="B1651" s="6" t="s">
        <v>3637</v>
      </c>
      <c r="C1651" s="4" t="s">
        <v>23</v>
      </c>
      <c r="D1651" s="4">
        <v>10</v>
      </c>
      <c r="E1651" s="4" t="s">
        <v>1344</v>
      </c>
    </row>
    <row r="1652" spans="1:6">
      <c r="A1652" s="4" t="s">
        <v>3640</v>
      </c>
      <c r="B1652" s="6" t="s">
        <v>3641</v>
      </c>
      <c r="C1652" s="4" t="s">
        <v>27</v>
      </c>
      <c r="D1652" s="4">
        <v>13</v>
      </c>
      <c r="E1652" s="4" t="s">
        <v>805</v>
      </c>
      <c r="F1652" s="4" t="s">
        <v>3642</v>
      </c>
    </row>
    <row r="1653" spans="1:6">
      <c r="A1653" s="4" t="s">
        <v>3643</v>
      </c>
      <c r="B1653" s="6" t="s">
        <v>3644</v>
      </c>
      <c r="C1653" s="4" t="s">
        <v>254</v>
      </c>
      <c r="D1653" s="4">
        <v>12</v>
      </c>
      <c r="E1653" s="4" t="s">
        <v>805</v>
      </c>
    </row>
    <row r="1654" spans="1:6">
      <c r="A1654" s="4" t="s">
        <v>3645</v>
      </c>
      <c r="B1654" s="6" t="s">
        <v>3646</v>
      </c>
      <c r="C1654" s="4" t="s">
        <v>1335</v>
      </c>
      <c r="D1654" s="4">
        <v>7</v>
      </c>
      <c r="E1654" s="4" t="s">
        <v>972</v>
      </c>
      <c r="F1654" s="4" t="s">
        <v>3647</v>
      </c>
    </row>
    <row r="1655" spans="1:6">
      <c r="A1655" s="4" t="s">
        <v>3648</v>
      </c>
      <c r="B1655" s="6" t="s">
        <v>3646</v>
      </c>
      <c r="C1655" s="4" t="s">
        <v>81</v>
      </c>
      <c r="D1655" s="4">
        <v>10</v>
      </c>
      <c r="E1655" s="4" t="s">
        <v>972</v>
      </c>
    </row>
    <row r="1656" spans="1:6">
      <c r="A1656" s="4" t="s">
        <v>3649</v>
      </c>
      <c r="B1656" s="6" t="s">
        <v>3650</v>
      </c>
      <c r="C1656" s="4" t="s">
        <v>34</v>
      </c>
      <c r="D1656" s="4">
        <v>11</v>
      </c>
      <c r="E1656" s="4" t="s">
        <v>752</v>
      </c>
      <c r="F1656" s="4" t="s">
        <v>3651</v>
      </c>
    </row>
    <row r="1657" spans="1:6">
      <c r="A1657" s="4" t="s">
        <v>3652</v>
      </c>
      <c r="B1657" s="6" t="s">
        <v>3653</v>
      </c>
      <c r="C1657" s="4" t="s">
        <v>49</v>
      </c>
      <c r="D1657" s="4">
        <v>8</v>
      </c>
      <c r="E1657" s="4" t="s">
        <v>1307</v>
      </c>
      <c r="F1657" s="4" t="s">
        <v>3654</v>
      </c>
    </row>
    <row r="1658" spans="1:6">
      <c r="A1658" s="4" t="s">
        <v>3655</v>
      </c>
      <c r="B1658" s="6" t="s">
        <v>3656</v>
      </c>
      <c r="C1658" s="4" t="s">
        <v>53</v>
      </c>
      <c r="D1658" s="4">
        <v>11</v>
      </c>
      <c r="E1658" s="4" t="s">
        <v>972</v>
      </c>
    </row>
    <row r="1659" spans="1:6">
      <c r="A1659" s="4" t="s">
        <v>3657</v>
      </c>
      <c r="B1659" s="6" t="s">
        <v>3656</v>
      </c>
      <c r="C1659" s="4" t="s">
        <v>27</v>
      </c>
      <c r="D1659" s="4">
        <v>13</v>
      </c>
      <c r="E1659" s="4" t="s">
        <v>972</v>
      </c>
    </row>
    <row r="1660" spans="1:6">
      <c r="A1660" s="4" t="s">
        <v>3658</v>
      </c>
      <c r="B1660" s="6" t="s">
        <v>3659</v>
      </c>
      <c r="C1660" s="4" t="s">
        <v>708</v>
      </c>
      <c r="D1660" s="4">
        <v>4</v>
      </c>
      <c r="E1660" s="4" t="s">
        <v>752</v>
      </c>
      <c r="F1660" s="4" t="s">
        <v>3276</v>
      </c>
    </row>
    <row r="1661" spans="1:6">
      <c r="A1661" s="4" t="s">
        <v>3660</v>
      </c>
      <c r="B1661" s="6" t="s">
        <v>3661</v>
      </c>
      <c r="C1661" s="4" t="s">
        <v>1431</v>
      </c>
      <c r="D1661" s="4">
        <v>10</v>
      </c>
      <c r="E1661" s="4" t="s">
        <v>1378</v>
      </c>
      <c r="F1661" s="4" t="s">
        <v>3662</v>
      </c>
    </row>
    <row r="1662" spans="1:6">
      <c r="A1662" s="4" t="s">
        <v>3663</v>
      </c>
      <c r="B1662" s="6" t="s">
        <v>3661</v>
      </c>
      <c r="C1662" s="4" t="s">
        <v>53</v>
      </c>
      <c r="D1662" s="4">
        <v>7</v>
      </c>
      <c r="E1662" s="4" t="s">
        <v>3664</v>
      </c>
    </row>
    <row r="1663" spans="1:6">
      <c r="A1663" s="4" t="s">
        <v>3665</v>
      </c>
      <c r="B1663" s="6" t="s">
        <v>3666</v>
      </c>
      <c r="C1663" s="4" t="s">
        <v>268</v>
      </c>
      <c r="D1663" s="4">
        <v>14</v>
      </c>
      <c r="E1663" s="4" t="s">
        <v>883</v>
      </c>
      <c r="F1663" s="4" t="s">
        <v>2419</v>
      </c>
    </row>
    <row r="1664" spans="1:6">
      <c r="A1664" s="4" t="s">
        <v>3667</v>
      </c>
      <c r="B1664" s="6" t="s">
        <v>3666</v>
      </c>
      <c r="C1664" s="4" t="s">
        <v>2818</v>
      </c>
      <c r="D1664" s="4">
        <v>5</v>
      </c>
      <c r="E1664" s="4" t="s">
        <v>883</v>
      </c>
    </row>
    <row r="1665" spans="1:6">
      <c r="A1665" s="4" t="s">
        <v>3668</v>
      </c>
      <c r="B1665" s="6" t="s">
        <v>3666</v>
      </c>
      <c r="C1665" s="4" t="s">
        <v>2818</v>
      </c>
      <c r="D1665" s="4">
        <v>12</v>
      </c>
      <c r="E1665" s="4" t="s">
        <v>883</v>
      </c>
    </row>
    <row r="1666" spans="1:6">
      <c r="A1666" s="4" t="s">
        <v>3669</v>
      </c>
      <c r="B1666" s="6" t="s">
        <v>3666</v>
      </c>
      <c r="C1666" s="4" t="s">
        <v>285</v>
      </c>
      <c r="D1666" s="4">
        <v>15</v>
      </c>
      <c r="E1666" s="4" t="s">
        <v>883</v>
      </c>
    </row>
    <row r="1667" spans="1:6">
      <c r="A1667" s="4" t="s">
        <v>3670</v>
      </c>
      <c r="B1667" s="6" t="s">
        <v>3671</v>
      </c>
      <c r="C1667" s="4" t="s">
        <v>605</v>
      </c>
      <c r="D1667" s="4">
        <v>8</v>
      </c>
      <c r="E1667" s="4" t="s">
        <v>3672</v>
      </c>
      <c r="F1667" s="4" t="s">
        <v>3673</v>
      </c>
    </row>
    <row r="1668" spans="1:6">
      <c r="A1668" s="4" t="s">
        <v>3674</v>
      </c>
      <c r="B1668" s="6" t="s">
        <v>3675</v>
      </c>
      <c r="C1668" s="4" t="s">
        <v>49</v>
      </c>
      <c r="D1668" s="4">
        <v>11</v>
      </c>
      <c r="E1668" s="4" t="s">
        <v>877</v>
      </c>
    </row>
    <row r="1669" spans="1:6">
      <c r="A1669" s="4" t="s">
        <v>3676</v>
      </c>
      <c r="B1669" s="6" t="s">
        <v>3677</v>
      </c>
      <c r="C1669" s="4" t="s">
        <v>27</v>
      </c>
      <c r="D1669" s="4">
        <v>6</v>
      </c>
      <c r="E1669" s="4" t="s">
        <v>852</v>
      </c>
    </row>
    <row r="1670" spans="1:6">
      <c r="A1670" s="4" t="s">
        <v>3678</v>
      </c>
      <c r="B1670" s="6" t="s">
        <v>3677</v>
      </c>
      <c r="C1670" s="4" t="s">
        <v>121</v>
      </c>
      <c r="D1670" s="4">
        <v>9</v>
      </c>
      <c r="E1670" s="4" t="s">
        <v>3679</v>
      </c>
    </row>
    <row r="1671" spans="1:6">
      <c r="A1671" s="4" t="s">
        <v>3680</v>
      </c>
      <c r="B1671" s="6" t="s">
        <v>3677</v>
      </c>
      <c r="C1671" s="4" t="s">
        <v>485</v>
      </c>
      <c r="D1671" s="4">
        <v>11</v>
      </c>
      <c r="E1671" s="4" t="s">
        <v>852</v>
      </c>
    </row>
    <row r="1672" spans="1:6">
      <c r="A1672" s="4" t="s">
        <v>3681</v>
      </c>
      <c r="B1672" s="6" t="s">
        <v>3677</v>
      </c>
      <c r="C1672" s="4" t="s">
        <v>218</v>
      </c>
      <c r="D1672" s="4">
        <v>10</v>
      </c>
      <c r="E1672" s="4" t="s">
        <v>852</v>
      </c>
    </row>
    <row r="1673" spans="1:6">
      <c r="A1673" s="4" t="s">
        <v>3682</v>
      </c>
      <c r="B1673" s="6" t="s">
        <v>3683</v>
      </c>
      <c r="C1673" s="4" t="s">
        <v>34</v>
      </c>
      <c r="D1673" s="4">
        <v>8</v>
      </c>
      <c r="E1673" s="4" t="s">
        <v>789</v>
      </c>
    </row>
    <row r="1674" spans="1:6">
      <c r="A1674" s="4" t="s">
        <v>3684</v>
      </c>
      <c r="B1674" s="6" t="s">
        <v>3683</v>
      </c>
      <c r="C1674" s="4" t="s">
        <v>34</v>
      </c>
      <c r="D1674" s="4">
        <v>18</v>
      </c>
      <c r="E1674" s="4" t="s">
        <v>789</v>
      </c>
    </row>
    <row r="1675" spans="1:6">
      <c r="A1675" s="4" t="s">
        <v>3685</v>
      </c>
      <c r="B1675" s="6" t="s">
        <v>3683</v>
      </c>
      <c r="C1675" s="4" t="s">
        <v>41</v>
      </c>
      <c r="D1675" s="4">
        <v>14</v>
      </c>
      <c r="E1675" s="4" t="s">
        <v>789</v>
      </c>
      <c r="F1675" s="4" t="s">
        <v>3686</v>
      </c>
    </row>
    <row r="1676" spans="1:6">
      <c r="A1676" s="4" t="s">
        <v>3687</v>
      </c>
      <c r="B1676" s="6" t="s">
        <v>3688</v>
      </c>
      <c r="C1676" s="4" t="s">
        <v>81</v>
      </c>
      <c r="D1676" s="4">
        <v>10</v>
      </c>
      <c r="E1676" s="4" t="s">
        <v>1609</v>
      </c>
    </row>
    <row r="1677" spans="1:6">
      <c r="A1677" s="4" t="s">
        <v>3689</v>
      </c>
      <c r="B1677" s="6" t="s">
        <v>3690</v>
      </c>
      <c r="C1677" s="4" t="s">
        <v>53</v>
      </c>
      <c r="D1677" s="4">
        <v>8</v>
      </c>
      <c r="F1677" s="4" t="s">
        <v>3691</v>
      </c>
    </row>
    <row r="1678" spans="1:6">
      <c r="A1678" s="4" t="s">
        <v>3692</v>
      </c>
      <c r="B1678" s="6" t="s">
        <v>3693</v>
      </c>
      <c r="C1678" s="4" t="s">
        <v>2818</v>
      </c>
      <c r="D1678" s="4">
        <v>7</v>
      </c>
      <c r="E1678" s="4" t="s">
        <v>908</v>
      </c>
      <c r="F1678" s="4" t="s">
        <v>3694</v>
      </c>
    </row>
    <row r="1679" spans="1:6">
      <c r="A1679" s="4" t="s">
        <v>3695</v>
      </c>
      <c r="B1679" s="6" t="s">
        <v>3693</v>
      </c>
      <c r="C1679" s="4" t="s">
        <v>53</v>
      </c>
      <c r="D1679" s="4">
        <v>10</v>
      </c>
      <c r="E1679" s="4" t="s">
        <v>908</v>
      </c>
      <c r="F1679" s="4" t="s">
        <v>3696</v>
      </c>
    </row>
    <row r="1680" spans="1:6">
      <c r="A1680" s="4" t="s">
        <v>3697</v>
      </c>
      <c r="B1680" s="6" t="s">
        <v>3698</v>
      </c>
      <c r="C1680" s="4" t="s">
        <v>3181</v>
      </c>
      <c r="D1680" s="4">
        <v>17</v>
      </c>
      <c r="E1680" s="4" t="s">
        <v>1378</v>
      </c>
    </row>
    <row r="1681" spans="1:6">
      <c r="A1681" s="4" t="s">
        <v>3699</v>
      </c>
      <c r="B1681" s="6" t="s">
        <v>3700</v>
      </c>
      <c r="C1681" s="4" t="s">
        <v>705</v>
      </c>
      <c r="D1681" s="4">
        <v>13</v>
      </c>
      <c r="E1681" s="4" t="s">
        <v>731</v>
      </c>
      <c r="F1681" s="4" t="s">
        <v>3701</v>
      </c>
    </row>
    <row r="1682" spans="1:6">
      <c r="A1682" s="4" t="s">
        <v>3702</v>
      </c>
      <c r="B1682" s="6" t="s">
        <v>3700</v>
      </c>
      <c r="C1682" s="4" t="s">
        <v>705</v>
      </c>
      <c r="D1682" s="4">
        <v>19</v>
      </c>
      <c r="E1682" s="4" t="s">
        <v>731</v>
      </c>
      <c r="F1682" s="4" t="s">
        <v>3701</v>
      </c>
    </row>
    <row r="1683" spans="1:6">
      <c r="A1683" s="4" t="s">
        <v>1248</v>
      </c>
      <c r="B1683" s="6" t="s">
        <v>3703</v>
      </c>
      <c r="C1683" s="4" t="s">
        <v>1248</v>
      </c>
      <c r="D1683" s="4">
        <v>4</v>
      </c>
      <c r="E1683" s="4" t="s">
        <v>2887</v>
      </c>
      <c r="F1683" s="4" t="s">
        <v>3704</v>
      </c>
    </row>
    <row r="1684" spans="1:6">
      <c r="A1684" s="4" t="s">
        <v>3705</v>
      </c>
      <c r="B1684" s="6" t="s">
        <v>3706</v>
      </c>
      <c r="C1684" s="4" t="s">
        <v>254</v>
      </c>
      <c r="D1684" s="4">
        <v>13</v>
      </c>
      <c r="E1684" s="4" t="s">
        <v>852</v>
      </c>
      <c r="F1684" s="4" t="s">
        <v>3707</v>
      </c>
    </row>
    <row r="1685" spans="1:6">
      <c r="A1685" s="4" t="s">
        <v>3708</v>
      </c>
      <c r="B1685" s="6" t="s">
        <v>3709</v>
      </c>
      <c r="C1685" s="4" t="s">
        <v>104</v>
      </c>
      <c r="D1685" s="4">
        <v>6</v>
      </c>
      <c r="E1685" s="4" t="s">
        <v>3710</v>
      </c>
      <c r="F1685" s="4" t="s">
        <v>3711</v>
      </c>
    </row>
    <row r="1686" spans="1:6">
      <c r="A1686" s="4" t="s">
        <v>3712</v>
      </c>
      <c r="B1686" s="6" t="s">
        <v>3713</v>
      </c>
      <c r="C1686" s="4" t="s">
        <v>92</v>
      </c>
      <c r="D1686" s="4">
        <v>24</v>
      </c>
      <c r="E1686" s="4" t="s">
        <v>208</v>
      </c>
    </row>
    <row r="1687" spans="1:6">
      <c r="A1687" s="4" t="s">
        <v>3714</v>
      </c>
      <c r="B1687" s="6" t="s">
        <v>3715</v>
      </c>
      <c r="C1687" s="4" t="s">
        <v>81</v>
      </c>
      <c r="D1687" s="4">
        <v>10</v>
      </c>
      <c r="E1687" s="4" t="s">
        <v>908</v>
      </c>
      <c r="F1687" s="4" t="s">
        <v>1446</v>
      </c>
    </row>
    <row r="1688" spans="1:6">
      <c r="A1688" s="4" t="s">
        <v>3716</v>
      </c>
      <c r="B1688" s="6" t="s">
        <v>3717</v>
      </c>
      <c r="C1688" s="4" t="s">
        <v>3716</v>
      </c>
      <c r="D1688" s="4">
        <v>2</v>
      </c>
      <c r="E1688" s="4" t="s">
        <v>235</v>
      </c>
    </row>
    <row r="1689" spans="1:6">
      <c r="A1689" s="4" t="s">
        <v>3718</v>
      </c>
      <c r="B1689" s="6" t="s">
        <v>3719</v>
      </c>
      <c r="C1689" s="4" t="s">
        <v>173</v>
      </c>
      <c r="D1689" s="4">
        <v>7</v>
      </c>
      <c r="E1689" s="4" t="s">
        <v>1479</v>
      </c>
      <c r="F1689" s="4" t="s">
        <v>3720</v>
      </c>
    </row>
    <row r="1690" spans="1:6">
      <c r="A1690" s="4" t="s">
        <v>3721</v>
      </c>
      <c r="B1690" s="6" t="s">
        <v>3722</v>
      </c>
      <c r="C1690" s="4" t="s">
        <v>3716</v>
      </c>
      <c r="D1690" s="4">
        <v>5</v>
      </c>
      <c r="E1690" s="4" t="s">
        <v>1453</v>
      </c>
      <c r="F1690" s="4" t="s">
        <v>3723</v>
      </c>
    </row>
    <row r="1691" spans="1:6">
      <c r="A1691" s="4" t="s">
        <v>3724</v>
      </c>
      <c r="B1691" s="6" t="s">
        <v>3725</v>
      </c>
      <c r="C1691" s="4" t="s">
        <v>23</v>
      </c>
      <c r="D1691" s="4">
        <v>13</v>
      </c>
      <c r="E1691" s="4" t="s">
        <v>900</v>
      </c>
      <c r="F1691" s="4" t="s">
        <v>3726</v>
      </c>
    </row>
    <row r="1692" spans="1:6">
      <c r="A1692" s="4" t="s">
        <v>3727</v>
      </c>
      <c r="B1692" s="6" t="s">
        <v>3728</v>
      </c>
      <c r="C1692" s="4" t="s">
        <v>317</v>
      </c>
      <c r="D1692" s="4">
        <v>10</v>
      </c>
      <c r="E1692" s="4" t="s">
        <v>2887</v>
      </c>
      <c r="F1692" s="4" t="s">
        <v>3729</v>
      </c>
    </row>
    <row r="1693" spans="1:6">
      <c r="A1693" s="4" t="s">
        <v>3730</v>
      </c>
      <c r="B1693" s="6" t="s">
        <v>3731</v>
      </c>
      <c r="C1693" s="4" t="s">
        <v>27</v>
      </c>
      <c r="D1693" s="4">
        <v>12</v>
      </c>
      <c r="E1693" s="4" t="s">
        <v>2887</v>
      </c>
      <c r="F1693" s="4" t="s">
        <v>1336</v>
      </c>
    </row>
    <row r="1694" spans="1:6">
      <c r="A1694" s="4" t="s">
        <v>3732</v>
      </c>
      <c r="B1694" s="6" t="s">
        <v>3731</v>
      </c>
      <c r="C1694" s="4" t="s">
        <v>354</v>
      </c>
      <c r="D1694" s="4">
        <v>8</v>
      </c>
      <c r="E1694" s="4" t="s">
        <v>2887</v>
      </c>
      <c r="F1694" s="4" t="s">
        <v>2972</v>
      </c>
    </row>
    <row r="1695" spans="1:6">
      <c r="A1695" s="4" t="s">
        <v>3733</v>
      </c>
      <c r="B1695" s="6" t="s">
        <v>3731</v>
      </c>
      <c r="C1695" s="4" t="s">
        <v>81</v>
      </c>
      <c r="D1695" s="4">
        <v>15</v>
      </c>
      <c r="E1695" s="4" t="s">
        <v>748</v>
      </c>
    </row>
    <row r="1696" spans="1:6">
      <c r="A1696" s="4" t="s">
        <v>3734</v>
      </c>
      <c r="B1696" s="6" t="s">
        <v>3735</v>
      </c>
      <c r="C1696" s="4" t="s">
        <v>53</v>
      </c>
      <c r="D1696" s="4">
        <v>11</v>
      </c>
      <c r="E1696" s="4" t="s">
        <v>900</v>
      </c>
      <c r="F1696" s="4" t="s">
        <v>3736</v>
      </c>
    </row>
    <row r="1697" spans="1:6">
      <c r="A1697" s="4" t="s">
        <v>3737</v>
      </c>
      <c r="B1697" s="6" t="s">
        <v>3735</v>
      </c>
      <c r="C1697" s="4" t="s">
        <v>268</v>
      </c>
      <c r="D1697" s="4">
        <v>22</v>
      </c>
      <c r="E1697" s="4" t="s">
        <v>908</v>
      </c>
    </row>
    <row r="1698" spans="1:6">
      <c r="A1698" s="4" t="s">
        <v>3738</v>
      </c>
      <c r="B1698" s="6" t="s">
        <v>3739</v>
      </c>
      <c r="C1698" s="4" t="s">
        <v>271</v>
      </c>
      <c r="D1698" s="4">
        <v>10</v>
      </c>
      <c r="E1698" s="4" t="s">
        <v>2887</v>
      </c>
      <c r="F1698" s="4" t="s">
        <v>3740</v>
      </c>
    </row>
    <row r="1699" spans="1:6">
      <c r="A1699" s="4" t="s">
        <v>3741</v>
      </c>
      <c r="B1699" s="6" t="s">
        <v>3739</v>
      </c>
      <c r="C1699" s="4" t="s">
        <v>271</v>
      </c>
      <c r="D1699" s="4">
        <v>16</v>
      </c>
      <c r="E1699" s="4" t="s">
        <v>2887</v>
      </c>
      <c r="F1699" s="4" t="s">
        <v>3740</v>
      </c>
    </row>
    <row r="1700" spans="1:6">
      <c r="A1700" s="4" t="s">
        <v>3742</v>
      </c>
      <c r="B1700" s="6" t="s">
        <v>3739</v>
      </c>
      <c r="C1700" s="4" t="s">
        <v>271</v>
      </c>
      <c r="D1700" s="4">
        <v>11</v>
      </c>
      <c r="E1700" s="4" t="s">
        <v>2887</v>
      </c>
      <c r="F1700" s="4" t="s">
        <v>3740</v>
      </c>
    </row>
    <row r="1701" spans="1:6">
      <c r="A1701" s="4" t="s">
        <v>3743</v>
      </c>
      <c r="B1701" s="6" t="s">
        <v>3739</v>
      </c>
      <c r="C1701" s="4" t="s">
        <v>271</v>
      </c>
      <c r="D1701" s="4">
        <v>15</v>
      </c>
      <c r="E1701" s="4" t="s">
        <v>2887</v>
      </c>
      <c r="F1701" s="4" t="s">
        <v>3740</v>
      </c>
    </row>
    <row r="1702" spans="1:6">
      <c r="A1702" s="4" t="s">
        <v>3744</v>
      </c>
      <c r="B1702" s="6" t="s">
        <v>3739</v>
      </c>
      <c r="C1702" s="4" t="s">
        <v>271</v>
      </c>
      <c r="D1702" s="4">
        <v>16</v>
      </c>
      <c r="E1702" s="4" t="s">
        <v>2887</v>
      </c>
      <c r="F1702" s="4" t="s">
        <v>3740</v>
      </c>
    </row>
    <row r="1703" spans="1:6">
      <c r="A1703" s="4" t="s">
        <v>2568</v>
      </c>
      <c r="B1703" s="6" t="s">
        <v>3745</v>
      </c>
      <c r="C1703" s="4" t="s">
        <v>2568</v>
      </c>
      <c r="D1703" s="4">
        <v>7</v>
      </c>
      <c r="E1703" s="4" t="s">
        <v>2887</v>
      </c>
      <c r="F1703" s="4" t="s">
        <v>1036</v>
      </c>
    </row>
    <row r="1704" spans="1:6">
      <c r="A1704" s="4" t="s">
        <v>3746</v>
      </c>
      <c r="B1704" s="6" t="s">
        <v>3745</v>
      </c>
      <c r="C1704" s="4" t="s">
        <v>1591</v>
      </c>
      <c r="D1704" s="4">
        <v>9</v>
      </c>
      <c r="E1704" s="4" t="s">
        <v>2895</v>
      </c>
      <c r="F1704" s="4" t="s">
        <v>3747</v>
      </c>
    </row>
    <row r="1705" spans="1:6">
      <c r="A1705" s="4" t="s">
        <v>3748</v>
      </c>
      <c r="B1705" s="6" t="s">
        <v>3745</v>
      </c>
      <c r="C1705" s="4" t="s">
        <v>254</v>
      </c>
      <c r="D1705" s="4">
        <v>9</v>
      </c>
      <c r="E1705" s="4" t="s">
        <v>2887</v>
      </c>
    </row>
    <row r="1706" spans="1:6">
      <c r="A1706" s="4" t="s">
        <v>3749</v>
      </c>
      <c r="B1706" s="6" t="s">
        <v>3750</v>
      </c>
      <c r="C1706" s="4" t="s">
        <v>271</v>
      </c>
      <c r="D1706" s="4">
        <v>7</v>
      </c>
      <c r="E1706" s="4" t="s">
        <v>3751</v>
      </c>
    </row>
    <row r="1707" spans="1:6">
      <c r="A1707" s="4" t="s">
        <v>3752</v>
      </c>
      <c r="B1707" s="6" t="s">
        <v>3750</v>
      </c>
      <c r="C1707" s="4" t="s">
        <v>705</v>
      </c>
      <c r="D1707" s="4">
        <v>7</v>
      </c>
      <c r="E1707" s="4" t="s">
        <v>3751</v>
      </c>
    </row>
    <row r="1708" spans="1:6">
      <c r="A1708" s="4" t="s">
        <v>3753</v>
      </c>
      <c r="B1708" s="6" t="s">
        <v>3754</v>
      </c>
      <c r="C1708" s="4" t="s">
        <v>1078</v>
      </c>
      <c r="D1708" s="4">
        <v>12</v>
      </c>
      <c r="E1708" s="4" t="s">
        <v>825</v>
      </c>
    </row>
    <row r="1709" spans="1:6">
      <c r="A1709" s="4" t="s">
        <v>3755</v>
      </c>
      <c r="B1709" s="6" t="s">
        <v>3754</v>
      </c>
      <c r="C1709" s="4" t="s">
        <v>34</v>
      </c>
      <c r="D1709" s="4">
        <v>9</v>
      </c>
      <c r="E1709" s="4" t="s">
        <v>3756</v>
      </c>
    </row>
    <row r="1710" spans="1:6">
      <c r="A1710" s="4" t="s">
        <v>3757</v>
      </c>
      <c r="B1710" s="6" t="s">
        <v>3754</v>
      </c>
      <c r="C1710" s="4" t="s">
        <v>1078</v>
      </c>
      <c r="D1710" s="4">
        <v>11</v>
      </c>
      <c r="E1710" s="4" t="s">
        <v>825</v>
      </c>
    </row>
    <row r="1711" spans="1:6">
      <c r="A1711" s="4" t="s">
        <v>3758</v>
      </c>
      <c r="B1711" s="6" t="s">
        <v>3759</v>
      </c>
      <c r="C1711" s="4" t="s">
        <v>34</v>
      </c>
      <c r="D1711" s="4">
        <v>8</v>
      </c>
      <c r="E1711" s="4" t="s">
        <v>748</v>
      </c>
    </row>
    <row r="1712" spans="1:6">
      <c r="A1712" s="4" t="s">
        <v>3760</v>
      </c>
      <c r="B1712" s="6" t="s">
        <v>3759</v>
      </c>
      <c r="C1712" s="4" t="s">
        <v>140</v>
      </c>
      <c r="D1712" s="4">
        <v>16</v>
      </c>
      <c r="E1712" s="4" t="s">
        <v>2887</v>
      </c>
    </row>
    <row r="1713" spans="1:6">
      <c r="A1713" s="4" t="s">
        <v>3761</v>
      </c>
      <c r="B1713" s="6" t="s">
        <v>3762</v>
      </c>
      <c r="C1713" s="4" t="s">
        <v>53</v>
      </c>
      <c r="D1713" s="4">
        <v>16</v>
      </c>
      <c r="E1713" s="4" t="s">
        <v>908</v>
      </c>
      <c r="F1713" s="4" t="s">
        <v>3763</v>
      </c>
    </row>
    <row r="1714" spans="1:6">
      <c r="A1714" s="4" t="s">
        <v>3764</v>
      </c>
      <c r="B1714" s="6" t="s">
        <v>3762</v>
      </c>
      <c r="C1714" s="4" t="s">
        <v>254</v>
      </c>
      <c r="D1714" s="4">
        <v>14</v>
      </c>
      <c r="E1714" s="4" t="s">
        <v>908</v>
      </c>
    </row>
    <row r="1715" spans="1:6">
      <c r="A1715" s="4" t="s">
        <v>3765</v>
      </c>
      <c r="B1715" s="6" t="s">
        <v>3762</v>
      </c>
      <c r="C1715" s="4" t="s">
        <v>23</v>
      </c>
      <c r="D1715" s="4">
        <v>12</v>
      </c>
      <c r="E1715" s="4" t="s">
        <v>908</v>
      </c>
    </row>
    <row r="1716" spans="1:6">
      <c r="A1716" s="4" t="s">
        <v>3766</v>
      </c>
      <c r="B1716" s="6" t="s">
        <v>3762</v>
      </c>
      <c r="C1716" s="4" t="s">
        <v>49</v>
      </c>
      <c r="D1716" s="4">
        <v>15</v>
      </c>
      <c r="E1716" s="4" t="s">
        <v>908</v>
      </c>
    </row>
    <row r="1717" spans="1:6">
      <c r="A1717" s="4" t="s">
        <v>3767</v>
      </c>
      <c r="B1717" s="6" t="s">
        <v>3762</v>
      </c>
      <c r="C1717" s="4" t="s">
        <v>14</v>
      </c>
      <c r="D1717" s="4">
        <v>15</v>
      </c>
      <c r="E1717" s="4" t="s">
        <v>908</v>
      </c>
    </row>
    <row r="1718" spans="1:6">
      <c r="A1718" s="4" t="s">
        <v>3768</v>
      </c>
      <c r="B1718" s="6" t="s">
        <v>3769</v>
      </c>
      <c r="C1718" s="4" t="s">
        <v>1679</v>
      </c>
      <c r="D1718" s="4">
        <v>18</v>
      </c>
      <c r="E1718" s="4" t="s">
        <v>3770</v>
      </c>
    </row>
    <row r="1719" spans="1:6">
      <c r="A1719" s="4" t="s">
        <v>3771</v>
      </c>
      <c r="B1719" s="6" t="s">
        <v>3772</v>
      </c>
      <c r="C1719" s="4" t="s">
        <v>53</v>
      </c>
      <c r="D1719" s="4">
        <v>12</v>
      </c>
      <c r="E1719" s="4" t="s">
        <v>2887</v>
      </c>
    </row>
    <row r="1720" spans="1:6">
      <c r="A1720" s="4" t="s">
        <v>3773</v>
      </c>
      <c r="B1720" s="6" t="s">
        <v>3772</v>
      </c>
      <c r="C1720" s="4" t="s">
        <v>53</v>
      </c>
      <c r="D1720" s="4">
        <v>17</v>
      </c>
      <c r="E1720" s="4" t="s">
        <v>2887</v>
      </c>
    </row>
    <row r="1721" spans="1:6">
      <c r="A1721" s="4" t="s">
        <v>3774</v>
      </c>
      <c r="B1721" s="6" t="s">
        <v>3775</v>
      </c>
      <c r="C1721" s="4" t="s">
        <v>301</v>
      </c>
      <c r="D1721" s="4">
        <v>18</v>
      </c>
      <c r="E1721" s="4" t="s">
        <v>2887</v>
      </c>
      <c r="F1721" s="4" t="s">
        <v>3776</v>
      </c>
    </row>
    <row r="1722" spans="1:6">
      <c r="A1722" s="4" t="s">
        <v>3777</v>
      </c>
      <c r="B1722" s="6" t="s">
        <v>3775</v>
      </c>
      <c r="C1722" s="4" t="s">
        <v>439</v>
      </c>
      <c r="D1722" s="4">
        <v>17</v>
      </c>
      <c r="E1722" s="4" t="s">
        <v>2887</v>
      </c>
    </row>
    <row r="1723" spans="1:6">
      <c r="A1723" s="4" t="s">
        <v>3778</v>
      </c>
      <c r="B1723" s="6" t="s">
        <v>3779</v>
      </c>
      <c r="C1723" s="4" t="s">
        <v>1433</v>
      </c>
      <c r="D1723" s="4">
        <v>17</v>
      </c>
      <c r="E1723" s="4" t="s">
        <v>908</v>
      </c>
      <c r="F1723" s="4" t="s">
        <v>3780</v>
      </c>
    </row>
    <row r="1724" spans="1:6">
      <c r="A1724" s="4" t="s">
        <v>3781</v>
      </c>
      <c r="B1724" s="6" t="s">
        <v>3782</v>
      </c>
      <c r="C1724" s="4" t="s">
        <v>351</v>
      </c>
      <c r="D1724" s="4">
        <v>16</v>
      </c>
      <c r="E1724" s="4" t="s">
        <v>3770</v>
      </c>
    </row>
    <row r="1725" spans="1:6">
      <c r="A1725" s="4" t="s">
        <v>3783</v>
      </c>
      <c r="B1725" s="6" t="s">
        <v>3784</v>
      </c>
      <c r="C1725" s="4" t="s">
        <v>254</v>
      </c>
      <c r="D1725" s="4">
        <v>10</v>
      </c>
      <c r="E1725" s="4" t="s">
        <v>2887</v>
      </c>
    </row>
    <row r="1726" spans="1:6">
      <c r="A1726" s="4" t="s">
        <v>3785</v>
      </c>
      <c r="B1726" s="6" t="s">
        <v>3784</v>
      </c>
      <c r="C1726" s="4" t="s">
        <v>254</v>
      </c>
      <c r="D1726" s="4">
        <v>15</v>
      </c>
      <c r="E1726" s="4" t="s">
        <v>2887</v>
      </c>
    </row>
    <row r="1727" spans="1:6">
      <c r="A1727" s="4" t="s">
        <v>3786</v>
      </c>
      <c r="B1727" s="6" t="s">
        <v>3787</v>
      </c>
      <c r="C1727" s="4" t="s">
        <v>254</v>
      </c>
      <c r="D1727" s="4">
        <v>6</v>
      </c>
      <c r="E1727" s="4" t="s">
        <v>2887</v>
      </c>
      <c r="F1727" s="4" t="s">
        <v>3788</v>
      </c>
    </row>
    <row r="1728" spans="1:6">
      <c r="A1728" s="4" t="s">
        <v>3789</v>
      </c>
      <c r="B1728" s="6" t="s">
        <v>3787</v>
      </c>
      <c r="C1728" s="4" t="s">
        <v>254</v>
      </c>
      <c r="D1728" s="4">
        <v>11</v>
      </c>
      <c r="E1728" s="4" t="s">
        <v>2887</v>
      </c>
      <c r="F1728" s="4" t="s">
        <v>3790</v>
      </c>
    </row>
    <row r="1729" spans="1:6">
      <c r="A1729" s="4" t="s">
        <v>3791</v>
      </c>
      <c r="B1729" s="6" t="s">
        <v>3787</v>
      </c>
      <c r="C1729" s="4" t="s">
        <v>315</v>
      </c>
      <c r="D1729" s="4">
        <v>17</v>
      </c>
      <c r="E1729" s="4" t="s">
        <v>2887</v>
      </c>
      <c r="F1729" s="4" t="s">
        <v>3792</v>
      </c>
    </row>
    <row r="1730" spans="1:6">
      <c r="A1730" s="4" t="s">
        <v>3793</v>
      </c>
      <c r="B1730" s="6" t="s">
        <v>3794</v>
      </c>
      <c r="C1730" s="4" t="s">
        <v>315</v>
      </c>
      <c r="D1730" s="4">
        <v>15</v>
      </c>
      <c r="E1730" s="4" t="s">
        <v>908</v>
      </c>
      <c r="F1730" s="4" t="s">
        <v>3795</v>
      </c>
    </row>
    <row r="1731" spans="1:6">
      <c r="A1731" s="4" t="s">
        <v>3796</v>
      </c>
      <c r="B1731" s="6" t="s">
        <v>3797</v>
      </c>
      <c r="C1731" s="4" t="s">
        <v>254</v>
      </c>
      <c r="D1731" s="4">
        <v>12</v>
      </c>
      <c r="E1731" s="4" t="s">
        <v>2904</v>
      </c>
    </row>
    <row r="1732" spans="1:6">
      <c r="A1732" s="4" t="s">
        <v>3798</v>
      </c>
      <c r="B1732" s="6" t="s">
        <v>3797</v>
      </c>
      <c r="C1732" s="4" t="s">
        <v>53</v>
      </c>
      <c r="D1732" s="4">
        <v>8</v>
      </c>
      <c r="E1732" s="4" t="s">
        <v>2904</v>
      </c>
    </row>
    <row r="1733" spans="1:6">
      <c r="A1733" s="4" t="s">
        <v>3799</v>
      </c>
      <c r="B1733" s="6" t="s">
        <v>3797</v>
      </c>
      <c r="C1733" s="4" t="s">
        <v>53</v>
      </c>
      <c r="D1733" s="4">
        <v>10</v>
      </c>
      <c r="E1733" s="4" t="s">
        <v>2904</v>
      </c>
    </row>
    <row r="1734" spans="1:6">
      <c r="A1734" s="4" t="s">
        <v>3800</v>
      </c>
      <c r="B1734" s="6" t="s">
        <v>3801</v>
      </c>
      <c r="C1734" s="4" t="s">
        <v>254</v>
      </c>
      <c r="D1734" s="4">
        <v>4</v>
      </c>
      <c r="E1734" s="4" t="s">
        <v>874</v>
      </c>
      <c r="F1734" s="4" t="s">
        <v>3802</v>
      </c>
    </row>
    <row r="1735" spans="1:6">
      <c r="A1735" s="4" t="s">
        <v>315</v>
      </c>
      <c r="B1735" s="6" t="s">
        <v>3801</v>
      </c>
      <c r="C1735" s="4" t="s">
        <v>315</v>
      </c>
      <c r="D1735" s="4">
        <v>8</v>
      </c>
      <c r="E1735" s="4" t="s">
        <v>874</v>
      </c>
      <c r="F1735" s="4" t="s">
        <v>1176</v>
      </c>
    </row>
    <row r="1736" spans="1:6">
      <c r="A1736" s="4" t="s">
        <v>3803</v>
      </c>
      <c r="B1736" s="6" t="s">
        <v>3801</v>
      </c>
      <c r="C1736" s="4" t="s">
        <v>223</v>
      </c>
      <c r="D1736" s="4">
        <v>10</v>
      </c>
      <c r="E1736" s="4" t="s">
        <v>877</v>
      </c>
      <c r="F1736" s="4" t="s">
        <v>3804</v>
      </c>
    </row>
    <row r="1737" spans="1:6">
      <c r="A1737" s="4" t="s">
        <v>3805</v>
      </c>
      <c r="B1737" s="6" t="s">
        <v>3801</v>
      </c>
      <c r="C1737" s="4" t="s">
        <v>285</v>
      </c>
      <c r="D1737" s="4">
        <v>11</v>
      </c>
      <c r="E1737" s="4" t="s">
        <v>877</v>
      </c>
    </row>
    <row r="1738" spans="1:6">
      <c r="A1738" s="4" t="s">
        <v>3806</v>
      </c>
      <c r="B1738" s="6" t="s">
        <v>3807</v>
      </c>
      <c r="C1738" s="4" t="s">
        <v>301</v>
      </c>
      <c r="D1738" s="4">
        <v>11</v>
      </c>
      <c r="E1738" s="4" t="s">
        <v>854</v>
      </c>
      <c r="F1738" s="4" t="s">
        <v>3808</v>
      </c>
    </row>
    <row r="1739" spans="1:6">
      <c r="A1739" s="4" t="s">
        <v>3809</v>
      </c>
      <c r="B1739" s="6" t="s">
        <v>3807</v>
      </c>
      <c r="C1739" s="4" t="s">
        <v>405</v>
      </c>
      <c r="D1739" s="4">
        <v>8</v>
      </c>
      <c r="E1739" s="4" t="s">
        <v>854</v>
      </c>
      <c r="F1739" s="4" t="s">
        <v>2328</v>
      </c>
    </row>
    <row r="1740" spans="1:6">
      <c r="A1740" s="4" t="s">
        <v>3810</v>
      </c>
      <c r="B1740" s="6" t="s">
        <v>3807</v>
      </c>
      <c r="C1740" s="4" t="s">
        <v>268</v>
      </c>
      <c r="D1740" s="4">
        <v>22</v>
      </c>
      <c r="E1740" s="4" t="s">
        <v>854</v>
      </c>
      <c r="F1740" s="4" t="s">
        <v>3811</v>
      </c>
    </row>
    <row r="1741" spans="1:6">
      <c r="A1741" s="4" t="s">
        <v>3812</v>
      </c>
      <c r="B1741" s="6" t="s">
        <v>3807</v>
      </c>
      <c r="C1741" s="4" t="s">
        <v>76</v>
      </c>
      <c r="D1741" s="4">
        <v>12</v>
      </c>
      <c r="E1741" s="4" t="s">
        <v>852</v>
      </c>
    </row>
    <row r="1742" spans="1:6">
      <c r="A1742" s="4" t="s">
        <v>3813</v>
      </c>
      <c r="B1742" s="6" t="s">
        <v>3807</v>
      </c>
      <c r="C1742" s="4" t="s">
        <v>271</v>
      </c>
      <c r="D1742" s="4">
        <v>9</v>
      </c>
      <c r="E1742" s="4" t="s">
        <v>852</v>
      </c>
    </row>
    <row r="1743" spans="1:6">
      <c r="A1743" s="4" t="s">
        <v>3814</v>
      </c>
      <c r="B1743" s="6" t="s">
        <v>3807</v>
      </c>
      <c r="C1743" s="4" t="s">
        <v>49</v>
      </c>
      <c r="D1743" s="4">
        <v>9</v>
      </c>
      <c r="E1743" s="4" t="s">
        <v>852</v>
      </c>
      <c r="F1743" s="4" t="s">
        <v>1500</v>
      </c>
    </row>
    <row r="1744" spans="1:6">
      <c r="A1744" s="4" t="s">
        <v>3815</v>
      </c>
      <c r="B1744" s="6" t="s">
        <v>3816</v>
      </c>
      <c r="C1744" s="4" t="s">
        <v>351</v>
      </c>
      <c r="D1744" s="4">
        <v>10</v>
      </c>
      <c r="E1744" s="4" t="s">
        <v>852</v>
      </c>
    </row>
    <row r="1745" spans="1:6">
      <c r="A1745" s="4" t="s">
        <v>3817</v>
      </c>
      <c r="B1745" s="6" t="s">
        <v>3818</v>
      </c>
      <c r="C1745" s="4" t="s">
        <v>34</v>
      </c>
      <c r="D1745" s="4">
        <v>15</v>
      </c>
      <c r="E1745" s="4" t="s">
        <v>2978</v>
      </c>
      <c r="F1745" s="4" t="s">
        <v>1986</v>
      </c>
    </row>
    <row r="1746" spans="1:6">
      <c r="A1746" s="4" t="s">
        <v>3819</v>
      </c>
      <c r="B1746" s="6" t="s">
        <v>3818</v>
      </c>
      <c r="C1746" s="4" t="s">
        <v>1078</v>
      </c>
      <c r="D1746" s="4">
        <v>12</v>
      </c>
      <c r="E1746" s="4" t="s">
        <v>2978</v>
      </c>
    </row>
    <row r="1747" spans="1:6">
      <c r="A1747" s="4" t="s">
        <v>3820</v>
      </c>
      <c r="B1747" s="6" t="s">
        <v>3821</v>
      </c>
      <c r="C1747" s="4" t="s">
        <v>315</v>
      </c>
      <c r="D1747" s="4">
        <v>19</v>
      </c>
      <c r="E1747" s="4" t="s">
        <v>854</v>
      </c>
      <c r="F1747" s="4" t="s">
        <v>3822</v>
      </c>
    </row>
    <row r="1748" spans="1:6">
      <c r="A1748" s="4" t="s">
        <v>3823</v>
      </c>
      <c r="B1748" s="6" t="s">
        <v>3821</v>
      </c>
      <c r="C1748" s="4" t="s">
        <v>351</v>
      </c>
      <c r="D1748" s="4">
        <v>8</v>
      </c>
      <c r="E1748" s="4" t="s">
        <v>852</v>
      </c>
    </row>
    <row r="1749" spans="1:6">
      <c r="A1749" s="4" t="s">
        <v>3824</v>
      </c>
      <c r="B1749" s="6" t="s">
        <v>3821</v>
      </c>
      <c r="C1749" s="4" t="s">
        <v>1328</v>
      </c>
      <c r="D1749" s="4">
        <v>12</v>
      </c>
      <c r="E1749" s="4" t="s">
        <v>2970</v>
      </c>
    </row>
    <row r="1750" spans="1:6">
      <c r="A1750" s="4" t="s">
        <v>3825</v>
      </c>
      <c r="B1750" s="6" t="s">
        <v>3826</v>
      </c>
      <c r="C1750" s="4" t="s">
        <v>1129</v>
      </c>
      <c r="D1750" s="4">
        <v>19</v>
      </c>
      <c r="E1750" s="4" t="s">
        <v>3827</v>
      </c>
      <c r="F1750" s="4" t="s">
        <v>3828</v>
      </c>
    </row>
    <row r="1751" spans="1:6">
      <c r="A1751" s="4" t="s">
        <v>3829</v>
      </c>
      <c r="B1751" s="6" t="s">
        <v>3826</v>
      </c>
      <c r="C1751" s="4" t="s">
        <v>140</v>
      </c>
      <c r="D1751" s="4">
        <v>20</v>
      </c>
      <c r="E1751" s="4" t="s">
        <v>3827</v>
      </c>
    </row>
    <row r="1752" spans="1:6">
      <c r="A1752" s="4" t="s">
        <v>3830</v>
      </c>
      <c r="B1752" s="6" t="s">
        <v>3826</v>
      </c>
      <c r="C1752" s="4" t="s">
        <v>705</v>
      </c>
      <c r="D1752" s="4">
        <v>9</v>
      </c>
      <c r="E1752" s="4" t="s">
        <v>852</v>
      </c>
    </row>
    <row r="1753" spans="1:6">
      <c r="A1753" s="4" t="s">
        <v>3831</v>
      </c>
      <c r="B1753" s="6" t="s">
        <v>3826</v>
      </c>
      <c r="C1753" s="4" t="s">
        <v>705</v>
      </c>
      <c r="D1753" s="4">
        <v>10</v>
      </c>
      <c r="E1753" s="4" t="s">
        <v>852</v>
      </c>
    </row>
    <row r="1754" spans="1:6">
      <c r="A1754" s="4" t="s">
        <v>3832</v>
      </c>
      <c r="B1754" s="6" t="s">
        <v>3833</v>
      </c>
      <c r="C1754" s="4" t="s">
        <v>268</v>
      </c>
      <c r="D1754" s="4">
        <v>16</v>
      </c>
      <c r="E1754" s="4" t="s">
        <v>1378</v>
      </c>
    </row>
    <row r="1755" spans="1:6">
      <c r="A1755" s="4" t="s">
        <v>3834</v>
      </c>
      <c r="B1755" s="6" t="s">
        <v>3835</v>
      </c>
      <c r="C1755" s="4" t="s">
        <v>271</v>
      </c>
      <c r="D1755" s="4">
        <v>15</v>
      </c>
      <c r="E1755" s="4" t="s">
        <v>3575</v>
      </c>
    </row>
    <row r="1756" spans="1:6">
      <c r="A1756" s="4" t="s">
        <v>3836</v>
      </c>
      <c r="B1756" s="6" t="s">
        <v>3835</v>
      </c>
      <c r="C1756" s="4" t="s">
        <v>605</v>
      </c>
      <c r="D1756" s="4">
        <v>10</v>
      </c>
      <c r="E1756" s="4" t="s">
        <v>3837</v>
      </c>
    </row>
    <row r="1757" spans="1:6">
      <c r="A1757" s="4" t="s">
        <v>3838</v>
      </c>
      <c r="B1757" s="6" t="s">
        <v>3839</v>
      </c>
      <c r="C1757" s="4" t="s">
        <v>485</v>
      </c>
      <c r="D1757" s="4">
        <v>17</v>
      </c>
      <c r="E1757" s="4" t="s">
        <v>1378</v>
      </c>
      <c r="F1757" s="4" t="s">
        <v>3840</v>
      </c>
    </row>
    <row r="1758" spans="1:6">
      <c r="A1758" s="4" t="s">
        <v>3841</v>
      </c>
      <c r="B1758" s="6" t="s">
        <v>3842</v>
      </c>
      <c r="C1758" s="4" t="s">
        <v>390</v>
      </c>
      <c r="D1758" s="4">
        <v>22</v>
      </c>
      <c r="E1758" s="4" t="s">
        <v>1378</v>
      </c>
    </row>
    <row r="1759" spans="1:6">
      <c r="A1759" s="4" t="s">
        <v>3843</v>
      </c>
      <c r="B1759" s="6" t="s">
        <v>3844</v>
      </c>
      <c r="C1759" s="4" t="s">
        <v>3845</v>
      </c>
      <c r="D1759" s="4">
        <v>10</v>
      </c>
      <c r="E1759" s="4" t="s">
        <v>1378</v>
      </c>
      <c r="F1759" s="4" t="s">
        <v>3846</v>
      </c>
    </row>
    <row r="1760" spans="1:6">
      <c r="A1760" s="4" t="s">
        <v>3847</v>
      </c>
      <c r="B1760" s="6" t="s">
        <v>3844</v>
      </c>
      <c r="C1760" s="4" t="s">
        <v>37</v>
      </c>
      <c r="D1760" s="4">
        <v>10</v>
      </c>
      <c r="E1760" s="4" t="s">
        <v>1378</v>
      </c>
      <c r="F1760" s="4" t="s">
        <v>3848</v>
      </c>
    </row>
    <row r="1761" spans="1:6">
      <c r="A1761" s="4" t="s">
        <v>1624</v>
      </c>
      <c r="B1761" s="6" t="s">
        <v>3844</v>
      </c>
      <c r="C1761" s="4" t="s">
        <v>1624</v>
      </c>
      <c r="D1761" s="4">
        <v>3</v>
      </c>
    </row>
    <row r="1762" spans="1:6">
      <c r="A1762" s="4" t="s">
        <v>3849</v>
      </c>
      <c r="B1762" s="6" t="s">
        <v>3844</v>
      </c>
      <c r="C1762" s="4" t="s">
        <v>3849</v>
      </c>
      <c r="D1762" s="4">
        <v>4</v>
      </c>
      <c r="E1762" s="4" t="s">
        <v>1388</v>
      </c>
    </row>
    <row r="1763" spans="1:6">
      <c r="A1763" s="4" t="s">
        <v>3850</v>
      </c>
      <c r="B1763" s="6" t="s">
        <v>3844</v>
      </c>
      <c r="C1763" s="4" t="s">
        <v>317</v>
      </c>
      <c r="D1763" s="4">
        <v>16</v>
      </c>
      <c r="E1763" s="4" t="s">
        <v>1378</v>
      </c>
      <c r="F1763" s="4" t="s">
        <v>3851</v>
      </c>
    </row>
    <row r="1764" spans="1:6">
      <c r="A1764" s="4" t="s">
        <v>3852</v>
      </c>
      <c r="B1764" s="6" t="s">
        <v>3853</v>
      </c>
      <c r="C1764" s="4" t="s">
        <v>485</v>
      </c>
      <c r="D1764" s="4">
        <v>13</v>
      </c>
      <c r="E1764" s="4" t="s">
        <v>3854</v>
      </c>
    </row>
    <row r="1765" spans="1:6">
      <c r="A1765" s="4" t="s">
        <v>3855</v>
      </c>
      <c r="B1765" s="6" t="s">
        <v>3853</v>
      </c>
      <c r="C1765" s="4" t="s">
        <v>461</v>
      </c>
      <c r="D1765" s="4">
        <v>8</v>
      </c>
      <c r="E1765" s="4" t="s">
        <v>1140</v>
      </c>
      <c r="F1765" s="4" t="s">
        <v>3856</v>
      </c>
    </row>
    <row r="1766" spans="1:6">
      <c r="A1766" s="4" t="s">
        <v>3857</v>
      </c>
      <c r="B1766" s="6" t="s">
        <v>3853</v>
      </c>
      <c r="C1766" s="4" t="s">
        <v>354</v>
      </c>
      <c r="D1766" s="4">
        <v>12</v>
      </c>
      <c r="E1766" s="4" t="s">
        <v>3858</v>
      </c>
    </row>
    <row r="1767" spans="1:6">
      <c r="A1767" s="4" t="s">
        <v>3859</v>
      </c>
      <c r="B1767" s="6" t="s">
        <v>3853</v>
      </c>
      <c r="C1767" s="4" t="s">
        <v>121</v>
      </c>
      <c r="D1767" s="4">
        <v>8</v>
      </c>
      <c r="E1767" s="4" t="s">
        <v>1378</v>
      </c>
    </row>
    <row r="1768" spans="1:6">
      <c r="A1768" s="4" t="s">
        <v>3860</v>
      </c>
      <c r="B1768" s="6" t="s">
        <v>3853</v>
      </c>
      <c r="C1768" s="4" t="s">
        <v>45</v>
      </c>
      <c r="D1768" s="4">
        <v>11</v>
      </c>
      <c r="E1768" s="4" t="s">
        <v>1378</v>
      </c>
      <c r="F1768" s="4" t="s">
        <v>3861</v>
      </c>
    </row>
    <row r="1769" spans="1:6">
      <c r="A1769" s="4" t="s">
        <v>3862</v>
      </c>
      <c r="B1769" s="6" t="s">
        <v>3853</v>
      </c>
      <c r="C1769" s="4" t="s">
        <v>285</v>
      </c>
      <c r="D1769" s="4">
        <v>7</v>
      </c>
      <c r="E1769" s="4" t="s">
        <v>1140</v>
      </c>
    </row>
    <row r="1770" spans="1:6">
      <c r="A1770" s="4" t="s">
        <v>3863</v>
      </c>
      <c r="B1770" s="6" t="s">
        <v>3853</v>
      </c>
      <c r="C1770" s="4" t="s">
        <v>285</v>
      </c>
      <c r="D1770" s="4">
        <v>11</v>
      </c>
      <c r="E1770" s="4" t="s">
        <v>1378</v>
      </c>
      <c r="F1770" s="4" t="s">
        <v>3864</v>
      </c>
    </row>
    <row r="1771" spans="1:6">
      <c r="A1771" s="4" t="s">
        <v>3865</v>
      </c>
      <c r="B1771" s="6" t="s">
        <v>3853</v>
      </c>
      <c r="C1771" s="4" t="s">
        <v>296</v>
      </c>
      <c r="D1771" s="4">
        <v>14</v>
      </c>
      <c r="E1771" s="4" t="s">
        <v>1378</v>
      </c>
      <c r="F1771" s="4" t="s">
        <v>1391</v>
      </c>
    </row>
    <row r="1772" spans="1:6">
      <c r="A1772" s="4" t="s">
        <v>3866</v>
      </c>
      <c r="B1772" s="6" t="s">
        <v>3853</v>
      </c>
      <c r="C1772" s="4" t="s">
        <v>53</v>
      </c>
      <c r="D1772" s="4">
        <v>12</v>
      </c>
      <c r="E1772" s="4" t="s">
        <v>3867</v>
      </c>
    </row>
    <row r="1773" spans="1:6">
      <c r="A1773" s="4" t="s">
        <v>3868</v>
      </c>
      <c r="B1773" s="6" t="s">
        <v>3853</v>
      </c>
      <c r="C1773" s="4" t="s">
        <v>27</v>
      </c>
      <c r="D1773" s="4">
        <v>11</v>
      </c>
      <c r="E1773" s="4" t="s">
        <v>1378</v>
      </c>
      <c r="F1773" s="4" t="s">
        <v>3864</v>
      </c>
    </row>
    <row r="1774" spans="1:6">
      <c r="A1774" s="4" t="s">
        <v>3869</v>
      </c>
      <c r="B1774" s="6" t="s">
        <v>3853</v>
      </c>
      <c r="C1774" s="4" t="s">
        <v>420</v>
      </c>
      <c r="D1774" s="4">
        <v>10</v>
      </c>
      <c r="E1774" s="4" t="s">
        <v>1378</v>
      </c>
    </row>
    <row r="1775" spans="1:6">
      <c r="A1775" s="4" t="s">
        <v>3870</v>
      </c>
      <c r="B1775" s="6" t="s">
        <v>3853</v>
      </c>
      <c r="C1775" s="4" t="s">
        <v>53</v>
      </c>
      <c r="D1775" s="4">
        <v>12</v>
      </c>
      <c r="E1775" s="4" t="s">
        <v>3867</v>
      </c>
    </row>
    <row r="1776" spans="1:6">
      <c r="A1776" s="4" t="s">
        <v>3871</v>
      </c>
      <c r="B1776" s="6" t="s">
        <v>3853</v>
      </c>
      <c r="C1776" s="4" t="s">
        <v>53</v>
      </c>
      <c r="D1776" s="4">
        <v>13</v>
      </c>
      <c r="E1776" s="4" t="s">
        <v>3872</v>
      </c>
    </row>
    <row r="1777" spans="1:6">
      <c r="A1777" s="4" t="s">
        <v>3873</v>
      </c>
      <c r="B1777" s="6" t="s">
        <v>3853</v>
      </c>
      <c r="C1777" s="4" t="s">
        <v>1129</v>
      </c>
      <c r="D1777" s="4">
        <v>21</v>
      </c>
      <c r="E1777" s="4" t="s">
        <v>1047</v>
      </c>
      <c r="F1777" s="4" t="s">
        <v>3874</v>
      </c>
    </row>
    <row r="1778" spans="1:6">
      <c r="A1778" s="4" t="s">
        <v>3875</v>
      </c>
      <c r="B1778" s="6" t="s">
        <v>3853</v>
      </c>
      <c r="C1778" s="4" t="s">
        <v>317</v>
      </c>
      <c r="D1778" s="4">
        <v>8</v>
      </c>
      <c r="E1778" s="4" t="s">
        <v>1378</v>
      </c>
      <c r="F1778" s="4" t="s">
        <v>3876</v>
      </c>
    </row>
    <row r="1779" spans="1:6">
      <c r="A1779" s="4" t="s">
        <v>3877</v>
      </c>
      <c r="B1779" s="6" t="s">
        <v>3853</v>
      </c>
      <c r="C1779" s="4" t="s">
        <v>271</v>
      </c>
      <c r="D1779" s="4">
        <v>10</v>
      </c>
      <c r="E1779" s="4" t="s">
        <v>1378</v>
      </c>
      <c r="F1779" s="4" t="s">
        <v>3498</v>
      </c>
    </row>
    <row r="1780" spans="1:6">
      <c r="A1780" s="4" t="s">
        <v>3878</v>
      </c>
      <c r="B1780" s="6" t="s">
        <v>3853</v>
      </c>
      <c r="C1780" s="4" t="s">
        <v>27</v>
      </c>
      <c r="D1780" s="4">
        <v>7</v>
      </c>
      <c r="E1780" s="4" t="s">
        <v>3879</v>
      </c>
    </row>
    <row r="1781" spans="1:6">
      <c r="A1781" s="4" t="s">
        <v>3880</v>
      </c>
      <c r="B1781" s="6" t="s">
        <v>3853</v>
      </c>
      <c r="C1781" s="4" t="s">
        <v>285</v>
      </c>
      <c r="D1781" s="4">
        <v>12</v>
      </c>
      <c r="E1781" s="4" t="s">
        <v>1378</v>
      </c>
      <c r="F1781" s="4" t="s">
        <v>3864</v>
      </c>
    </row>
    <row r="1782" spans="1:6">
      <c r="A1782" s="4" t="s">
        <v>3881</v>
      </c>
      <c r="B1782" s="6" t="s">
        <v>3882</v>
      </c>
      <c r="C1782" s="4" t="s">
        <v>301</v>
      </c>
      <c r="D1782" s="4">
        <v>9</v>
      </c>
      <c r="E1782" s="4" t="s">
        <v>3664</v>
      </c>
    </row>
    <row r="1783" spans="1:6">
      <c r="A1783" s="4" t="s">
        <v>214</v>
      </c>
      <c r="B1783" s="6" t="s">
        <v>3882</v>
      </c>
      <c r="C1783" s="4" t="s">
        <v>214</v>
      </c>
      <c r="D1783" s="4">
        <v>3</v>
      </c>
      <c r="E1783" s="4" t="s">
        <v>3664</v>
      </c>
      <c r="F1783" s="4" t="s">
        <v>3883</v>
      </c>
    </row>
    <row r="1784" spans="1:6">
      <c r="A1784" s="4" t="s">
        <v>3884</v>
      </c>
      <c r="B1784" s="6" t="s">
        <v>3882</v>
      </c>
      <c r="C1784" s="4" t="s">
        <v>53</v>
      </c>
      <c r="D1784" s="4">
        <v>6</v>
      </c>
      <c r="E1784" s="4" t="s">
        <v>1378</v>
      </c>
      <c r="F1784" s="4" t="s">
        <v>3885</v>
      </c>
    </row>
    <row r="1785" spans="1:6">
      <c r="A1785" s="4" t="s">
        <v>487</v>
      </c>
      <c r="B1785" s="6" t="s">
        <v>3882</v>
      </c>
      <c r="C1785" s="4" t="s">
        <v>487</v>
      </c>
      <c r="D1785" s="4">
        <v>2</v>
      </c>
      <c r="E1785" s="4" t="s">
        <v>1378</v>
      </c>
    </row>
    <row r="1786" spans="1:6">
      <c r="A1786" s="4" t="s">
        <v>3886</v>
      </c>
      <c r="B1786" s="6" t="s">
        <v>3887</v>
      </c>
      <c r="C1786" s="4" t="s">
        <v>149</v>
      </c>
      <c r="D1786" s="4">
        <v>12</v>
      </c>
      <c r="E1786" s="4" t="s">
        <v>1378</v>
      </c>
      <c r="F1786" s="4" t="s">
        <v>3888</v>
      </c>
    </row>
    <row r="1787" spans="1:6">
      <c r="A1787" s="4" t="s">
        <v>3889</v>
      </c>
      <c r="B1787" s="6" t="s">
        <v>3890</v>
      </c>
      <c r="C1787" s="4" t="s">
        <v>53</v>
      </c>
      <c r="D1787" s="4">
        <v>12</v>
      </c>
      <c r="E1787" s="4" t="s">
        <v>1609</v>
      </c>
    </row>
    <row r="1788" spans="1:6">
      <c r="A1788" s="4" t="s">
        <v>3891</v>
      </c>
      <c r="B1788" s="6" t="s">
        <v>3892</v>
      </c>
      <c r="C1788" s="4" t="s">
        <v>34</v>
      </c>
      <c r="D1788" s="4">
        <v>11</v>
      </c>
      <c r="E1788" s="4" t="s">
        <v>1378</v>
      </c>
    </row>
    <row r="1789" spans="1:6">
      <c r="A1789" s="4" t="s">
        <v>3893</v>
      </c>
      <c r="B1789" s="6" t="s">
        <v>3894</v>
      </c>
      <c r="C1789" s="4" t="s">
        <v>34</v>
      </c>
      <c r="D1789" s="4">
        <v>7</v>
      </c>
      <c r="E1789" s="4" t="s">
        <v>3519</v>
      </c>
      <c r="F1789" s="4" t="s">
        <v>3895</v>
      </c>
    </row>
    <row r="1790" spans="1:6">
      <c r="A1790" s="4" t="s">
        <v>3896</v>
      </c>
      <c r="B1790" s="6" t="s">
        <v>3894</v>
      </c>
      <c r="C1790" s="4" t="s">
        <v>254</v>
      </c>
      <c r="D1790" s="4">
        <v>6</v>
      </c>
      <c r="E1790" s="4" t="s">
        <v>2881</v>
      </c>
    </row>
    <row r="1791" spans="1:6">
      <c r="A1791" s="4" t="s">
        <v>3897</v>
      </c>
      <c r="B1791" s="6" t="s">
        <v>3894</v>
      </c>
      <c r="C1791" s="4" t="s">
        <v>14</v>
      </c>
      <c r="D1791" s="4">
        <v>7</v>
      </c>
      <c r="E1791" s="4" t="s">
        <v>2881</v>
      </c>
    </row>
    <row r="1792" spans="1:6">
      <c r="A1792" s="4" t="s">
        <v>3898</v>
      </c>
      <c r="B1792" s="6" t="s">
        <v>3899</v>
      </c>
      <c r="C1792" s="4" t="s">
        <v>81</v>
      </c>
      <c r="D1792" s="4">
        <v>7</v>
      </c>
      <c r="E1792" s="4" t="s">
        <v>1378</v>
      </c>
      <c r="F1792" s="4" t="s">
        <v>3900</v>
      </c>
    </row>
    <row r="1793" spans="1:6">
      <c r="A1793" s="4" t="s">
        <v>3901</v>
      </c>
      <c r="B1793" s="6" t="s">
        <v>3899</v>
      </c>
      <c r="C1793" s="4" t="s">
        <v>104</v>
      </c>
      <c r="D1793" s="4">
        <v>16</v>
      </c>
      <c r="E1793" s="4" t="s">
        <v>1378</v>
      </c>
    </row>
    <row r="1794" spans="1:6">
      <c r="A1794" s="4" t="s">
        <v>3902</v>
      </c>
      <c r="B1794" s="6" t="s">
        <v>3903</v>
      </c>
      <c r="C1794" s="4" t="s">
        <v>390</v>
      </c>
      <c r="D1794" s="4">
        <v>19</v>
      </c>
      <c r="E1794" s="4" t="s">
        <v>3609</v>
      </c>
    </row>
    <row r="1795" spans="1:6">
      <c r="A1795" s="4" t="s">
        <v>3904</v>
      </c>
      <c r="B1795" s="6" t="s">
        <v>3903</v>
      </c>
      <c r="C1795" s="4" t="s">
        <v>520</v>
      </c>
      <c r="D1795" s="4">
        <v>23</v>
      </c>
      <c r="E1795" s="4" t="s">
        <v>3609</v>
      </c>
    </row>
    <row r="1796" spans="1:6">
      <c r="A1796" s="4" t="s">
        <v>3905</v>
      </c>
      <c r="B1796" s="6" t="s">
        <v>3906</v>
      </c>
      <c r="C1796" s="4" t="s">
        <v>53</v>
      </c>
      <c r="D1796" s="4">
        <v>7</v>
      </c>
      <c r="E1796" s="4" t="s">
        <v>3907</v>
      </c>
      <c r="F1796" s="4" t="s">
        <v>3908</v>
      </c>
    </row>
    <row r="1797" spans="1:6">
      <c r="A1797" s="4" t="s">
        <v>3909</v>
      </c>
      <c r="B1797" s="6" t="s">
        <v>3906</v>
      </c>
      <c r="C1797" s="4" t="s">
        <v>53</v>
      </c>
      <c r="D1797" s="4">
        <v>8</v>
      </c>
      <c r="E1797" s="4" t="s">
        <v>3907</v>
      </c>
      <c r="F1797" s="4" t="s">
        <v>3908</v>
      </c>
    </row>
    <row r="1798" spans="1:6">
      <c r="A1798" s="4" t="s">
        <v>3910</v>
      </c>
      <c r="B1798" s="6" t="s">
        <v>3906</v>
      </c>
      <c r="C1798" s="4" t="s">
        <v>351</v>
      </c>
      <c r="D1798" s="4">
        <v>11</v>
      </c>
      <c r="E1798" s="4" t="s">
        <v>3907</v>
      </c>
      <c r="F1798" s="4" t="s">
        <v>3908</v>
      </c>
    </row>
    <row r="1799" spans="1:6">
      <c r="A1799" s="4" t="s">
        <v>3911</v>
      </c>
      <c r="B1799" s="6" t="s">
        <v>3912</v>
      </c>
      <c r="C1799" s="4" t="s">
        <v>285</v>
      </c>
      <c r="D1799" s="4">
        <v>12</v>
      </c>
      <c r="E1799" s="4" t="s">
        <v>3913</v>
      </c>
      <c r="F1799" s="4" t="s">
        <v>3914</v>
      </c>
    </row>
    <row r="1800" spans="1:6">
      <c r="A1800" s="4" t="s">
        <v>3915</v>
      </c>
      <c r="B1800" s="6" t="s">
        <v>3912</v>
      </c>
      <c r="C1800" s="4" t="s">
        <v>49</v>
      </c>
      <c r="D1800" s="4">
        <v>18</v>
      </c>
      <c r="E1800" s="4" t="s">
        <v>3913</v>
      </c>
      <c r="F1800" s="4" t="s">
        <v>3916</v>
      </c>
    </row>
    <row r="1801" spans="1:6">
      <c r="A1801" s="4" t="s">
        <v>3917</v>
      </c>
      <c r="B1801" s="6" t="s">
        <v>3912</v>
      </c>
      <c r="C1801" s="4" t="s">
        <v>254</v>
      </c>
      <c r="D1801" s="4">
        <v>17</v>
      </c>
      <c r="E1801" s="4" t="s">
        <v>3913</v>
      </c>
    </row>
    <row r="1802" spans="1:6">
      <c r="A1802" s="4" t="s">
        <v>3918</v>
      </c>
      <c r="B1802" s="6" t="s">
        <v>3912</v>
      </c>
      <c r="C1802" s="4" t="s">
        <v>14</v>
      </c>
      <c r="D1802" s="4">
        <v>11</v>
      </c>
      <c r="E1802" s="4" t="s">
        <v>3919</v>
      </c>
    </row>
    <row r="1803" spans="1:6">
      <c r="A1803" s="4" t="s">
        <v>3920</v>
      </c>
      <c r="B1803" s="6" t="s">
        <v>3921</v>
      </c>
      <c r="C1803" s="4" t="s">
        <v>53</v>
      </c>
      <c r="D1803" s="4">
        <v>20</v>
      </c>
      <c r="E1803" s="4" t="s">
        <v>3913</v>
      </c>
    </row>
    <row r="1804" spans="1:6">
      <c r="A1804" s="4" t="s">
        <v>3922</v>
      </c>
      <c r="B1804" s="6" t="s">
        <v>3921</v>
      </c>
      <c r="C1804" s="4" t="s">
        <v>49</v>
      </c>
      <c r="D1804" s="4">
        <v>19</v>
      </c>
      <c r="E1804" s="4" t="s">
        <v>3913</v>
      </c>
    </row>
    <row r="1805" spans="1:6">
      <c r="A1805" s="4" t="s">
        <v>3923</v>
      </c>
      <c r="B1805" s="6" t="s">
        <v>3921</v>
      </c>
      <c r="C1805" s="4" t="s">
        <v>87</v>
      </c>
      <c r="D1805" s="4">
        <v>20</v>
      </c>
      <c r="E1805" s="4" t="s">
        <v>3913</v>
      </c>
    </row>
    <row r="1806" spans="1:6">
      <c r="A1806" s="4" t="s">
        <v>3924</v>
      </c>
      <c r="B1806" s="6" t="s">
        <v>3925</v>
      </c>
      <c r="C1806" s="4" t="s">
        <v>87</v>
      </c>
      <c r="D1806" s="4">
        <v>13</v>
      </c>
      <c r="E1806" s="4" t="s">
        <v>1439</v>
      </c>
      <c r="F1806" s="4" t="s">
        <v>3926</v>
      </c>
    </row>
    <row r="1807" spans="1:6">
      <c r="A1807" s="4" t="s">
        <v>3927</v>
      </c>
      <c r="B1807" s="6" t="s">
        <v>3925</v>
      </c>
      <c r="C1807" s="4" t="s">
        <v>179</v>
      </c>
      <c r="D1807" s="4">
        <v>9</v>
      </c>
      <c r="E1807" s="4" t="s">
        <v>1439</v>
      </c>
    </row>
    <row r="1808" spans="1:6">
      <c r="A1808" s="4" t="s">
        <v>3928</v>
      </c>
      <c r="B1808" s="6" t="s">
        <v>3925</v>
      </c>
      <c r="C1808" s="4" t="s">
        <v>41</v>
      </c>
      <c r="D1808" s="4">
        <v>12</v>
      </c>
      <c r="E1808" s="4" t="s">
        <v>1439</v>
      </c>
    </row>
    <row r="1809" spans="1:6">
      <c r="A1809" s="4" t="s">
        <v>3929</v>
      </c>
      <c r="B1809" s="6" t="s">
        <v>3925</v>
      </c>
      <c r="C1809" s="4" t="s">
        <v>53</v>
      </c>
      <c r="D1809" s="4">
        <v>13</v>
      </c>
      <c r="E1809" s="4" t="s">
        <v>3930</v>
      </c>
    </row>
    <row r="1810" spans="1:6">
      <c r="A1810" s="4" t="s">
        <v>3931</v>
      </c>
      <c r="B1810" s="6" t="s">
        <v>3925</v>
      </c>
      <c r="C1810" s="4" t="s">
        <v>427</v>
      </c>
      <c r="D1810" s="4">
        <v>16</v>
      </c>
      <c r="E1810" s="4" t="s">
        <v>1439</v>
      </c>
    </row>
    <row r="1811" spans="1:6">
      <c r="A1811" s="4" t="s">
        <v>3932</v>
      </c>
      <c r="B1811" s="6" t="s">
        <v>3933</v>
      </c>
      <c r="C1811" s="4" t="s">
        <v>870</v>
      </c>
      <c r="D1811" s="4">
        <v>9</v>
      </c>
      <c r="F1811" s="4" t="s">
        <v>3934</v>
      </c>
    </row>
    <row r="1812" spans="1:6">
      <c r="A1812" s="4" t="s">
        <v>3935</v>
      </c>
      <c r="B1812" s="6" t="s">
        <v>3936</v>
      </c>
      <c r="C1812" s="4" t="s">
        <v>34</v>
      </c>
      <c r="D1812" s="4">
        <v>15</v>
      </c>
      <c r="E1812" s="4" t="s">
        <v>1439</v>
      </c>
    </row>
    <row r="1813" spans="1:6">
      <c r="A1813" s="4" t="s">
        <v>3937</v>
      </c>
      <c r="B1813" s="6" t="s">
        <v>3936</v>
      </c>
      <c r="C1813" s="4" t="s">
        <v>2111</v>
      </c>
      <c r="D1813" s="4">
        <v>7</v>
      </c>
      <c r="E1813" s="4" t="s">
        <v>1439</v>
      </c>
    </row>
    <row r="1814" spans="1:6">
      <c r="A1814" s="4" t="s">
        <v>3938</v>
      </c>
      <c r="B1814" s="6" t="s">
        <v>3936</v>
      </c>
      <c r="C1814" s="4" t="s">
        <v>76</v>
      </c>
      <c r="D1814" s="4">
        <v>17</v>
      </c>
      <c r="E1814" s="4" t="s">
        <v>1439</v>
      </c>
    </row>
    <row r="1815" spans="1:6">
      <c r="A1815" s="4" t="s">
        <v>3939</v>
      </c>
      <c r="B1815" s="6" t="s">
        <v>3940</v>
      </c>
      <c r="C1815" s="4" t="s">
        <v>705</v>
      </c>
      <c r="D1815" s="4">
        <v>7</v>
      </c>
      <c r="E1815" s="4" t="s">
        <v>1439</v>
      </c>
      <c r="F1815" s="4" t="s">
        <v>3941</v>
      </c>
    </row>
    <row r="1816" spans="1:6">
      <c r="A1816" s="4" t="s">
        <v>3942</v>
      </c>
      <c r="B1816" s="6" t="s">
        <v>3940</v>
      </c>
      <c r="C1816" s="4" t="s">
        <v>705</v>
      </c>
      <c r="D1816" s="4">
        <v>12</v>
      </c>
      <c r="E1816" s="4" t="s">
        <v>1439</v>
      </c>
      <c r="F1816" s="4" t="s">
        <v>3941</v>
      </c>
    </row>
    <row r="1817" spans="1:6">
      <c r="A1817" s="4" t="s">
        <v>3943</v>
      </c>
      <c r="B1817" s="6" t="s">
        <v>3944</v>
      </c>
      <c r="C1817" s="4" t="s">
        <v>870</v>
      </c>
      <c r="D1817" s="4">
        <v>11</v>
      </c>
    </row>
    <row r="1818" spans="1:6">
      <c r="A1818" s="4" t="s">
        <v>3945</v>
      </c>
      <c r="B1818" s="6" t="s">
        <v>3946</v>
      </c>
      <c r="C1818" s="4" t="s">
        <v>23</v>
      </c>
      <c r="D1818" s="4">
        <v>9</v>
      </c>
      <c r="E1818" s="4" t="s">
        <v>1439</v>
      </c>
    </row>
    <row r="1819" spans="1:6">
      <c r="A1819" s="4" t="s">
        <v>3947</v>
      </c>
      <c r="B1819" s="6" t="s">
        <v>3948</v>
      </c>
      <c r="C1819" s="4" t="s">
        <v>2568</v>
      </c>
      <c r="D1819" s="4">
        <v>17</v>
      </c>
      <c r="E1819" s="4" t="s">
        <v>3913</v>
      </c>
    </row>
    <row r="1820" spans="1:6">
      <c r="A1820" s="4" t="s">
        <v>3949</v>
      </c>
      <c r="B1820" s="6" t="s">
        <v>3948</v>
      </c>
      <c r="C1820" s="4" t="s">
        <v>34</v>
      </c>
      <c r="D1820" s="4">
        <v>25</v>
      </c>
      <c r="E1820" s="4" t="s">
        <v>3913</v>
      </c>
    </row>
    <row r="1821" spans="1:6">
      <c r="A1821" s="4" t="s">
        <v>3950</v>
      </c>
      <c r="B1821" s="6" t="s">
        <v>3948</v>
      </c>
      <c r="C1821" s="4" t="s">
        <v>53</v>
      </c>
      <c r="D1821" s="4">
        <v>26</v>
      </c>
      <c r="E1821" s="4" t="s">
        <v>3913</v>
      </c>
    </row>
    <row r="1822" spans="1:6">
      <c r="A1822" s="4" t="s">
        <v>3951</v>
      </c>
      <c r="B1822" s="6" t="s">
        <v>3952</v>
      </c>
      <c r="C1822" s="4" t="s">
        <v>14</v>
      </c>
      <c r="D1822" s="4">
        <v>19</v>
      </c>
      <c r="E1822" s="4" t="s">
        <v>3913</v>
      </c>
    </row>
    <row r="1823" spans="1:6">
      <c r="A1823" s="4" t="s">
        <v>3953</v>
      </c>
      <c r="B1823" s="6" t="s">
        <v>3954</v>
      </c>
      <c r="C1823" s="4" t="s">
        <v>34</v>
      </c>
      <c r="D1823" s="4">
        <v>19</v>
      </c>
      <c r="E1823" s="4" t="s">
        <v>3913</v>
      </c>
    </row>
    <row r="1824" spans="1:6">
      <c r="A1824" s="4" t="s">
        <v>3955</v>
      </c>
      <c r="B1824" s="6" t="s">
        <v>3956</v>
      </c>
      <c r="C1824" s="4" t="s">
        <v>87</v>
      </c>
      <c r="D1824" s="4">
        <v>10</v>
      </c>
      <c r="E1824" s="4" t="s">
        <v>1439</v>
      </c>
      <c r="F1824" s="4" t="s">
        <v>212</v>
      </c>
    </row>
    <row r="1825" spans="1:6">
      <c r="A1825" s="4" t="s">
        <v>3957</v>
      </c>
      <c r="B1825" s="6" t="s">
        <v>3956</v>
      </c>
      <c r="C1825" s="4" t="s">
        <v>354</v>
      </c>
      <c r="D1825" s="4">
        <v>10</v>
      </c>
      <c r="E1825" s="4" t="s">
        <v>1439</v>
      </c>
      <c r="F1825" s="4" t="s">
        <v>3958</v>
      </c>
    </row>
    <row r="1826" spans="1:6">
      <c r="A1826" s="4" t="s">
        <v>3959</v>
      </c>
      <c r="B1826" s="6" t="s">
        <v>3960</v>
      </c>
      <c r="C1826" s="4" t="s">
        <v>470</v>
      </c>
      <c r="D1826" s="4">
        <v>7</v>
      </c>
      <c r="E1826" s="4" t="s">
        <v>3961</v>
      </c>
      <c r="F1826" s="4" t="s">
        <v>3962</v>
      </c>
    </row>
    <row r="1827" spans="1:6">
      <c r="A1827" s="4" t="s">
        <v>3963</v>
      </c>
      <c r="B1827" s="6" t="s">
        <v>3964</v>
      </c>
      <c r="C1827" s="4" t="s">
        <v>1335</v>
      </c>
      <c r="D1827" s="4">
        <v>8</v>
      </c>
      <c r="E1827" s="4" t="s">
        <v>3965</v>
      </c>
    </row>
    <row r="1828" spans="1:6">
      <c r="A1828" s="4" t="s">
        <v>3966</v>
      </c>
      <c r="B1828" s="6" t="s">
        <v>3967</v>
      </c>
      <c r="C1828" s="4" t="s">
        <v>221</v>
      </c>
      <c r="D1828" s="4">
        <v>14</v>
      </c>
      <c r="E1828" s="4" t="s">
        <v>3968</v>
      </c>
    </row>
    <row r="1829" spans="1:6">
      <c r="A1829" s="4" t="s">
        <v>2610</v>
      </c>
      <c r="B1829" s="6" t="s">
        <v>3969</v>
      </c>
      <c r="C1829" s="4" t="s">
        <v>2610</v>
      </c>
      <c r="D1829" s="4">
        <v>6</v>
      </c>
      <c r="E1829" s="4" t="s">
        <v>1439</v>
      </c>
      <c r="F1829" s="4" t="s">
        <v>3970</v>
      </c>
    </row>
    <row r="1830" spans="1:6">
      <c r="A1830" s="4" t="s">
        <v>3971</v>
      </c>
      <c r="B1830" s="6" t="s">
        <v>3972</v>
      </c>
      <c r="C1830" s="4" t="s">
        <v>301</v>
      </c>
      <c r="D1830" s="4">
        <v>11</v>
      </c>
      <c r="E1830" s="4" t="s">
        <v>3973</v>
      </c>
      <c r="F1830" s="4" t="s">
        <v>3974</v>
      </c>
    </row>
    <row r="1831" spans="1:6">
      <c r="A1831" s="4" t="s">
        <v>3975</v>
      </c>
      <c r="B1831" s="6" t="s">
        <v>3972</v>
      </c>
      <c r="C1831" s="4" t="s">
        <v>49</v>
      </c>
      <c r="D1831" s="4">
        <v>12</v>
      </c>
      <c r="E1831" s="4" t="s">
        <v>3973</v>
      </c>
      <c r="F1831" s="4" t="s">
        <v>3976</v>
      </c>
    </row>
    <row r="1832" spans="1:6">
      <c r="A1832" s="4" t="s">
        <v>3977</v>
      </c>
      <c r="B1832" s="6" t="s">
        <v>3972</v>
      </c>
      <c r="C1832" s="4" t="s">
        <v>1262</v>
      </c>
      <c r="D1832" s="4">
        <v>13</v>
      </c>
      <c r="E1832" s="4" t="s">
        <v>3973</v>
      </c>
    </row>
    <row r="1833" spans="1:6">
      <c r="A1833" s="4" t="s">
        <v>3978</v>
      </c>
      <c r="B1833" s="6" t="s">
        <v>3972</v>
      </c>
      <c r="C1833" s="4" t="s">
        <v>34</v>
      </c>
      <c r="D1833" s="4">
        <v>18</v>
      </c>
      <c r="E1833" s="4" t="s">
        <v>3979</v>
      </c>
    </row>
    <row r="1834" spans="1:6">
      <c r="A1834" s="4" t="s">
        <v>3980</v>
      </c>
      <c r="B1834" s="6" t="s">
        <v>3972</v>
      </c>
      <c r="C1834" s="4" t="s">
        <v>53</v>
      </c>
      <c r="D1834" s="4">
        <v>15</v>
      </c>
      <c r="E1834" s="4" t="s">
        <v>3981</v>
      </c>
      <c r="F1834" s="4" t="s">
        <v>3982</v>
      </c>
    </row>
    <row r="1835" spans="1:6">
      <c r="A1835" s="4" t="s">
        <v>3983</v>
      </c>
      <c r="B1835" s="6" t="s">
        <v>3972</v>
      </c>
      <c r="C1835" s="4" t="s">
        <v>87</v>
      </c>
      <c r="D1835" s="4">
        <v>9</v>
      </c>
      <c r="E1835" s="4" t="s">
        <v>3973</v>
      </c>
    </row>
    <row r="1836" spans="1:6">
      <c r="A1836" s="4" t="s">
        <v>3984</v>
      </c>
      <c r="B1836" s="6" t="s">
        <v>3985</v>
      </c>
      <c r="C1836" s="4" t="s">
        <v>53</v>
      </c>
      <c r="D1836" s="4">
        <v>13</v>
      </c>
      <c r="E1836" s="4" t="s">
        <v>3981</v>
      </c>
      <c r="F1836" s="4" t="s">
        <v>3982</v>
      </c>
    </row>
    <row r="1837" spans="1:6">
      <c r="A1837" s="4" t="s">
        <v>3986</v>
      </c>
      <c r="B1837" s="6" t="s">
        <v>3987</v>
      </c>
      <c r="C1837" s="4" t="s">
        <v>87</v>
      </c>
      <c r="D1837" s="4">
        <v>16</v>
      </c>
      <c r="E1837" s="4" t="s">
        <v>3907</v>
      </c>
      <c r="F1837" s="4" t="s">
        <v>3988</v>
      </c>
    </row>
    <row r="1838" spans="1:6">
      <c r="A1838" s="4" t="s">
        <v>3989</v>
      </c>
      <c r="B1838" s="6" t="s">
        <v>3987</v>
      </c>
      <c r="C1838" s="4" t="s">
        <v>221</v>
      </c>
      <c r="D1838" s="4">
        <v>16</v>
      </c>
      <c r="E1838" s="4" t="s">
        <v>3907</v>
      </c>
      <c r="F1838" s="4" t="s">
        <v>3990</v>
      </c>
    </row>
    <row r="1839" spans="1:6">
      <c r="A1839" s="4" t="s">
        <v>3991</v>
      </c>
      <c r="B1839" s="6" t="s">
        <v>3987</v>
      </c>
      <c r="C1839" s="4" t="s">
        <v>23</v>
      </c>
      <c r="D1839" s="4">
        <v>6</v>
      </c>
      <c r="E1839" s="4" t="s">
        <v>3992</v>
      </c>
    </row>
    <row r="1840" spans="1:6">
      <c r="A1840" s="4" t="s">
        <v>3993</v>
      </c>
      <c r="B1840" s="6" t="s">
        <v>3987</v>
      </c>
      <c r="C1840" s="4" t="s">
        <v>76</v>
      </c>
      <c r="D1840" s="4">
        <v>21</v>
      </c>
      <c r="E1840" s="4" t="s">
        <v>3907</v>
      </c>
    </row>
    <row r="1841" spans="1:6">
      <c r="A1841" s="4" t="s">
        <v>3994</v>
      </c>
      <c r="B1841" s="6" t="s">
        <v>3995</v>
      </c>
      <c r="C1841" s="4" t="s">
        <v>87</v>
      </c>
      <c r="D1841" s="4">
        <v>18</v>
      </c>
      <c r="E1841" s="4" t="s">
        <v>3913</v>
      </c>
    </row>
    <row r="1842" spans="1:6">
      <c r="A1842" s="4" t="s">
        <v>3996</v>
      </c>
      <c r="B1842" s="6" t="s">
        <v>3997</v>
      </c>
      <c r="C1842" s="4" t="s">
        <v>686</v>
      </c>
      <c r="D1842" s="4">
        <v>16</v>
      </c>
      <c r="E1842" s="4" t="s">
        <v>3998</v>
      </c>
    </row>
    <row r="1843" spans="1:6">
      <c r="A1843" s="4" t="s">
        <v>3999</v>
      </c>
      <c r="B1843" s="6" t="s">
        <v>3997</v>
      </c>
      <c r="C1843" s="4" t="s">
        <v>686</v>
      </c>
      <c r="D1843" s="4">
        <v>21</v>
      </c>
      <c r="E1843" s="4" t="s">
        <v>3913</v>
      </c>
      <c r="F1843" s="4" t="s">
        <v>4000</v>
      </c>
    </row>
    <row r="1844" spans="1:6">
      <c r="A1844" s="4" t="s">
        <v>4001</v>
      </c>
      <c r="B1844" s="6" t="s">
        <v>4002</v>
      </c>
      <c r="C1844" s="4" t="s">
        <v>1211</v>
      </c>
      <c r="D1844" s="4">
        <v>11</v>
      </c>
      <c r="E1844" s="4" t="s">
        <v>4003</v>
      </c>
      <c r="F1844" s="4" t="s">
        <v>4004</v>
      </c>
    </row>
    <row r="1845" spans="1:6">
      <c r="A1845" s="4" t="s">
        <v>4005</v>
      </c>
      <c r="B1845" s="6" t="s">
        <v>4002</v>
      </c>
      <c r="C1845" s="4" t="s">
        <v>34</v>
      </c>
      <c r="D1845" s="4">
        <v>8</v>
      </c>
      <c r="E1845" s="4" t="s">
        <v>4006</v>
      </c>
      <c r="F1845" s="4" t="s">
        <v>4007</v>
      </c>
    </row>
    <row r="1846" spans="1:6">
      <c r="A1846" s="4" t="s">
        <v>4008</v>
      </c>
      <c r="B1846" s="6" t="s">
        <v>4009</v>
      </c>
      <c r="C1846" s="4" t="s">
        <v>271</v>
      </c>
      <c r="D1846" s="4">
        <v>9</v>
      </c>
      <c r="E1846" s="4" t="s">
        <v>4010</v>
      </c>
    </row>
    <row r="1847" spans="1:6">
      <c r="A1847" s="4" t="s">
        <v>4011</v>
      </c>
      <c r="B1847" s="6" t="s">
        <v>4009</v>
      </c>
      <c r="C1847" s="4" t="s">
        <v>554</v>
      </c>
      <c r="D1847" s="4">
        <v>14</v>
      </c>
      <c r="E1847" s="4" t="s">
        <v>4010</v>
      </c>
    </row>
    <row r="1848" spans="1:6">
      <c r="A1848" s="4" t="s">
        <v>4012</v>
      </c>
      <c r="B1848" s="6" t="s">
        <v>4009</v>
      </c>
      <c r="C1848" s="4" t="s">
        <v>23</v>
      </c>
      <c r="D1848" s="4">
        <v>12</v>
      </c>
      <c r="E1848" s="4" t="s">
        <v>4013</v>
      </c>
    </row>
    <row r="1849" spans="1:6">
      <c r="A1849" s="4" t="s">
        <v>4014</v>
      </c>
      <c r="B1849" s="6" t="s">
        <v>4015</v>
      </c>
      <c r="C1849" s="4" t="s">
        <v>4016</v>
      </c>
      <c r="D1849" s="4">
        <v>18</v>
      </c>
      <c r="E1849" s="4" t="s">
        <v>4017</v>
      </c>
      <c r="F1849" s="4" t="s">
        <v>4018</v>
      </c>
    </row>
    <row r="1850" spans="1:6">
      <c r="A1850" s="4" t="s">
        <v>4019</v>
      </c>
      <c r="B1850" s="6" t="s">
        <v>4015</v>
      </c>
      <c r="C1850" s="4" t="s">
        <v>53</v>
      </c>
      <c r="D1850" s="4">
        <v>8</v>
      </c>
      <c r="E1850" s="4" t="s">
        <v>4017</v>
      </c>
      <c r="F1850" s="4" t="s">
        <v>4020</v>
      </c>
    </row>
    <row r="1851" spans="1:6">
      <c r="A1851" s="4" t="s">
        <v>4021</v>
      </c>
      <c r="B1851" s="6" t="s">
        <v>4015</v>
      </c>
      <c r="C1851" s="4" t="s">
        <v>76</v>
      </c>
      <c r="D1851" s="4">
        <v>13</v>
      </c>
      <c r="E1851" s="4" t="s">
        <v>4017</v>
      </c>
    </row>
    <row r="1852" spans="1:6">
      <c r="A1852" s="4" t="s">
        <v>4022</v>
      </c>
      <c r="B1852" s="6" t="s">
        <v>4015</v>
      </c>
      <c r="C1852" s="4" t="s">
        <v>87</v>
      </c>
      <c r="D1852" s="4">
        <v>11</v>
      </c>
      <c r="E1852" s="4" t="s">
        <v>4017</v>
      </c>
      <c r="F1852" s="4" t="s">
        <v>4023</v>
      </c>
    </row>
    <row r="1853" spans="1:6">
      <c r="A1853" s="4" t="s">
        <v>4024</v>
      </c>
      <c r="B1853" s="6" t="s">
        <v>4025</v>
      </c>
      <c r="C1853" s="4" t="s">
        <v>19</v>
      </c>
      <c r="D1853" s="4">
        <v>16</v>
      </c>
      <c r="E1853" s="4" t="s">
        <v>4017</v>
      </c>
      <c r="F1853" s="4" t="s">
        <v>4026</v>
      </c>
    </row>
    <row r="1854" spans="1:6">
      <c r="A1854" s="4" t="s">
        <v>4027</v>
      </c>
      <c r="B1854" s="6" t="s">
        <v>4028</v>
      </c>
      <c r="C1854" s="4" t="s">
        <v>870</v>
      </c>
      <c r="D1854" s="4">
        <v>9</v>
      </c>
      <c r="F1854" s="4" t="s">
        <v>4029</v>
      </c>
    </row>
    <row r="1855" spans="1:6">
      <c r="A1855" s="4" t="s">
        <v>4030</v>
      </c>
      <c r="B1855" s="6" t="s">
        <v>4025</v>
      </c>
      <c r="C1855" s="4" t="s">
        <v>81</v>
      </c>
      <c r="D1855" s="4">
        <v>15</v>
      </c>
      <c r="E1855" s="4" t="s">
        <v>4031</v>
      </c>
      <c r="F1855" s="4" t="s">
        <v>4032</v>
      </c>
    </row>
    <row r="1856" spans="1:6">
      <c r="A1856" s="4" t="s">
        <v>4033</v>
      </c>
      <c r="B1856" s="6" t="s">
        <v>4025</v>
      </c>
      <c r="C1856" s="4" t="s">
        <v>686</v>
      </c>
      <c r="D1856" s="4">
        <v>16</v>
      </c>
      <c r="E1856" s="4" t="s">
        <v>4017</v>
      </c>
    </row>
    <row r="1857" spans="1:6">
      <c r="A1857" s="4" t="s">
        <v>4034</v>
      </c>
      <c r="B1857" s="6" t="s">
        <v>4035</v>
      </c>
      <c r="C1857" s="4" t="s">
        <v>53</v>
      </c>
      <c r="D1857" s="4">
        <v>13</v>
      </c>
      <c r="E1857" s="4" t="s">
        <v>1439</v>
      </c>
    </row>
    <row r="1858" spans="1:6">
      <c r="A1858" s="4" t="s">
        <v>4036</v>
      </c>
      <c r="B1858" s="6" t="s">
        <v>4035</v>
      </c>
      <c r="C1858" s="4" t="s">
        <v>53</v>
      </c>
      <c r="D1858" s="4">
        <v>15</v>
      </c>
      <c r="E1858" s="4" t="s">
        <v>4037</v>
      </c>
    </row>
    <row r="1859" spans="1:6">
      <c r="A1859" s="4" t="s">
        <v>4038</v>
      </c>
      <c r="B1859" s="6" t="s">
        <v>4035</v>
      </c>
      <c r="C1859" s="4" t="s">
        <v>76</v>
      </c>
      <c r="D1859" s="4">
        <v>16</v>
      </c>
      <c r="E1859" s="4" t="s">
        <v>4039</v>
      </c>
    </row>
    <row r="1860" spans="1:6">
      <c r="A1860" s="4" t="s">
        <v>4040</v>
      </c>
      <c r="B1860" s="6" t="s">
        <v>4035</v>
      </c>
      <c r="C1860" s="4" t="s">
        <v>427</v>
      </c>
      <c r="D1860" s="4">
        <v>17</v>
      </c>
      <c r="E1860" s="4" t="s">
        <v>1439</v>
      </c>
    </row>
    <row r="1861" spans="1:6">
      <c r="A1861" s="4" t="s">
        <v>4041</v>
      </c>
      <c r="B1861" s="6" t="s">
        <v>4035</v>
      </c>
      <c r="C1861" s="4" t="s">
        <v>14</v>
      </c>
      <c r="D1861" s="4">
        <v>11</v>
      </c>
      <c r="E1861" s="4" t="s">
        <v>4037</v>
      </c>
    </row>
    <row r="1862" spans="1:6">
      <c r="A1862" s="4" t="s">
        <v>4042</v>
      </c>
      <c r="B1862" s="6" t="s">
        <v>4043</v>
      </c>
      <c r="C1862" s="4" t="s">
        <v>254</v>
      </c>
      <c r="D1862" s="4">
        <v>13</v>
      </c>
      <c r="E1862" s="4" t="s">
        <v>4039</v>
      </c>
    </row>
    <row r="1863" spans="1:6">
      <c r="A1863" s="4" t="s">
        <v>4044</v>
      </c>
      <c r="B1863" s="6" t="s">
        <v>4045</v>
      </c>
      <c r="C1863" s="4" t="s">
        <v>81</v>
      </c>
      <c r="D1863" s="4">
        <v>16</v>
      </c>
      <c r="E1863" s="4" t="s">
        <v>4017</v>
      </c>
    </row>
    <row r="1864" spans="1:6">
      <c r="A1864" s="4" t="s">
        <v>4046</v>
      </c>
      <c r="B1864" s="6" t="s">
        <v>4045</v>
      </c>
    </row>
    <row r="1865" spans="1:6">
      <c r="A1865" s="4" t="s">
        <v>4047</v>
      </c>
      <c r="B1865" s="6" t="s">
        <v>4045</v>
      </c>
      <c r="C1865" s="4" t="s">
        <v>470</v>
      </c>
      <c r="D1865" s="4">
        <v>15</v>
      </c>
      <c r="E1865" s="4" t="s">
        <v>4017</v>
      </c>
    </row>
    <row r="1866" spans="1:6">
      <c r="A1866" s="4" t="s">
        <v>4048</v>
      </c>
      <c r="B1866" s="6" t="s">
        <v>4045</v>
      </c>
      <c r="C1866" s="4" t="s">
        <v>41</v>
      </c>
      <c r="D1866" s="4">
        <v>16</v>
      </c>
      <c r="E1866" s="4" t="s">
        <v>4017</v>
      </c>
    </row>
    <row r="1867" spans="1:6">
      <c r="A1867" s="4" t="s">
        <v>4049</v>
      </c>
      <c r="B1867" s="6" t="s">
        <v>4050</v>
      </c>
      <c r="C1867" s="4" t="s">
        <v>81</v>
      </c>
      <c r="D1867" s="4">
        <v>10</v>
      </c>
      <c r="E1867" s="4" t="s">
        <v>4017</v>
      </c>
    </row>
    <row r="1868" spans="1:6">
      <c r="A1868" s="4" t="s">
        <v>4051</v>
      </c>
      <c r="B1868" s="6" t="s">
        <v>4050</v>
      </c>
      <c r="C1868" s="4" t="s">
        <v>23</v>
      </c>
      <c r="D1868" s="4">
        <v>7</v>
      </c>
      <c r="E1868" s="4" t="s">
        <v>4017</v>
      </c>
      <c r="F1868" s="4" t="s">
        <v>4052</v>
      </c>
    </row>
    <row r="1869" spans="1:6">
      <c r="A1869" s="4" t="s">
        <v>870</v>
      </c>
      <c r="B1869" s="6" t="s">
        <v>4053</v>
      </c>
      <c r="C1869" s="4" t="s">
        <v>870</v>
      </c>
      <c r="D1869" s="4">
        <v>5</v>
      </c>
      <c r="E1869" s="4" t="s">
        <v>4054</v>
      </c>
      <c r="F1869" s="4" t="s">
        <v>4055</v>
      </c>
    </row>
    <row r="1870" spans="1:6">
      <c r="A1870" s="4" t="s">
        <v>4056</v>
      </c>
      <c r="B1870" s="6" t="s">
        <v>4057</v>
      </c>
      <c r="C1870" s="4" t="s">
        <v>870</v>
      </c>
      <c r="D1870" s="4">
        <v>7</v>
      </c>
      <c r="F1870" s="4" t="s">
        <v>4058</v>
      </c>
    </row>
    <row r="1871" spans="1:6">
      <c r="A1871" s="4" t="s">
        <v>4059</v>
      </c>
      <c r="B1871" s="6" t="s">
        <v>4060</v>
      </c>
      <c r="C1871" s="4" t="s">
        <v>53</v>
      </c>
      <c r="D1871" s="4">
        <v>10</v>
      </c>
      <c r="E1871" s="4" t="s">
        <v>4061</v>
      </c>
      <c r="F1871" s="4" t="s">
        <v>4062</v>
      </c>
    </row>
    <row r="1872" spans="1:6">
      <c r="A1872" s="4" t="s">
        <v>4063</v>
      </c>
      <c r="B1872" s="6" t="s">
        <v>4060</v>
      </c>
      <c r="C1872" s="4" t="s">
        <v>81</v>
      </c>
      <c r="D1872" s="4">
        <v>13</v>
      </c>
      <c r="E1872" s="4" t="s">
        <v>4061</v>
      </c>
      <c r="F1872" s="4" t="s">
        <v>4064</v>
      </c>
    </row>
    <row r="1873" spans="1:6">
      <c r="A1873" s="4" t="s">
        <v>4065</v>
      </c>
      <c r="B1873" s="6" t="s">
        <v>4066</v>
      </c>
      <c r="C1873" s="4" t="s">
        <v>87</v>
      </c>
      <c r="D1873" s="4">
        <v>14</v>
      </c>
      <c r="E1873" s="4" t="s">
        <v>1439</v>
      </c>
      <c r="F1873" s="4" t="s">
        <v>4067</v>
      </c>
    </row>
    <row r="1874" spans="1:6">
      <c r="A1874" s="4" t="s">
        <v>4068</v>
      </c>
      <c r="B1874" s="6" t="s">
        <v>4069</v>
      </c>
      <c r="C1874" s="4" t="s">
        <v>19</v>
      </c>
      <c r="D1874" s="4">
        <v>11</v>
      </c>
      <c r="E1874" s="4" t="s">
        <v>3968</v>
      </c>
      <c r="F1874" s="4" t="s">
        <v>4070</v>
      </c>
    </row>
    <row r="1875" spans="1:6">
      <c r="A1875" s="4" t="s">
        <v>4071</v>
      </c>
      <c r="B1875" s="6" t="s">
        <v>4069</v>
      </c>
      <c r="C1875" s="4" t="s">
        <v>49</v>
      </c>
      <c r="D1875" s="4">
        <v>14</v>
      </c>
      <c r="E1875" s="4" t="s">
        <v>3968</v>
      </c>
      <c r="F1875" s="4" t="s">
        <v>4072</v>
      </c>
    </row>
    <row r="1876" spans="1:6">
      <c r="A1876" s="4" t="s">
        <v>4073</v>
      </c>
      <c r="B1876" s="6" t="s">
        <v>4069</v>
      </c>
      <c r="C1876" s="4" t="s">
        <v>301</v>
      </c>
      <c r="D1876" s="4">
        <v>14</v>
      </c>
      <c r="E1876" s="4" t="s">
        <v>4074</v>
      </c>
      <c r="F1876" s="4" t="s">
        <v>3260</v>
      </c>
    </row>
    <row r="1877" spans="1:6">
      <c r="A1877" s="4" t="s">
        <v>4075</v>
      </c>
      <c r="B1877" s="6" t="s">
        <v>4069</v>
      </c>
      <c r="C1877" s="4" t="s">
        <v>53</v>
      </c>
      <c r="D1877" s="4">
        <v>13</v>
      </c>
      <c r="E1877" s="4" t="s">
        <v>4076</v>
      </c>
    </row>
    <row r="1878" spans="1:6">
      <c r="A1878" s="4" t="s">
        <v>4077</v>
      </c>
      <c r="B1878" s="6" t="s">
        <v>4069</v>
      </c>
      <c r="C1878" s="4" t="s">
        <v>470</v>
      </c>
      <c r="D1878" s="4">
        <v>10</v>
      </c>
      <c r="E1878" s="4" t="s">
        <v>3968</v>
      </c>
      <c r="F1878" s="4" t="s">
        <v>4078</v>
      </c>
    </row>
    <row r="1879" spans="1:6">
      <c r="A1879" s="4" t="s">
        <v>4079</v>
      </c>
      <c r="B1879" s="6" t="s">
        <v>4069</v>
      </c>
      <c r="C1879" s="4" t="s">
        <v>458</v>
      </c>
      <c r="D1879" s="4">
        <v>13</v>
      </c>
      <c r="E1879" s="4" t="s">
        <v>3968</v>
      </c>
    </row>
    <row r="1880" spans="1:6">
      <c r="A1880" s="4" t="s">
        <v>4080</v>
      </c>
      <c r="B1880" s="6" t="s">
        <v>4069</v>
      </c>
      <c r="C1880" s="4" t="s">
        <v>285</v>
      </c>
      <c r="D1880" s="4">
        <v>11</v>
      </c>
      <c r="E1880" s="4" t="s">
        <v>3968</v>
      </c>
    </row>
    <row r="1881" spans="1:6">
      <c r="A1881" s="4" t="s">
        <v>4081</v>
      </c>
      <c r="B1881" s="6" t="s">
        <v>4082</v>
      </c>
      <c r="C1881" s="4" t="s">
        <v>4083</v>
      </c>
      <c r="D1881" s="4">
        <v>15</v>
      </c>
      <c r="E1881" s="4" t="s">
        <v>4084</v>
      </c>
    </row>
    <row r="1882" spans="1:6">
      <c r="A1882" s="4" t="s">
        <v>4085</v>
      </c>
      <c r="B1882" s="6" t="s">
        <v>4082</v>
      </c>
      <c r="C1882" s="4" t="s">
        <v>53</v>
      </c>
      <c r="D1882" s="4">
        <v>11</v>
      </c>
      <c r="E1882" s="4" t="s">
        <v>3992</v>
      </c>
      <c r="F1882" s="4" t="s">
        <v>4086</v>
      </c>
    </row>
    <row r="1883" spans="1:6">
      <c r="A1883" s="4" t="s">
        <v>4087</v>
      </c>
      <c r="B1883" s="6" t="s">
        <v>4088</v>
      </c>
      <c r="C1883" s="4" t="s">
        <v>461</v>
      </c>
      <c r="D1883" s="4">
        <v>5</v>
      </c>
      <c r="E1883" s="4" t="s">
        <v>4089</v>
      </c>
    </row>
    <row r="1884" spans="1:6">
      <c r="A1884" s="4" t="s">
        <v>4090</v>
      </c>
      <c r="B1884" s="6" t="s">
        <v>4091</v>
      </c>
      <c r="C1884" s="4" t="s">
        <v>87</v>
      </c>
      <c r="D1884" s="4">
        <v>10</v>
      </c>
      <c r="E1884" s="4" t="s">
        <v>4092</v>
      </c>
      <c r="F1884" s="4" t="s">
        <v>4093</v>
      </c>
    </row>
    <row r="1885" spans="1:6">
      <c r="A1885" s="4" t="s">
        <v>4094</v>
      </c>
      <c r="B1885" s="6" t="s">
        <v>4091</v>
      </c>
      <c r="C1885" s="4" t="s">
        <v>4095</v>
      </c>
      <c r="D1885" s="4">
        <v>16</v>
      </c>
      <c r="E1885" s="4" t="s">
        <v>3965</v>
      </c>
    </row>
    <row r="1886" spans="1:6">
      <c r="A1886" s="4" t="s">
        <v>4096</v>
      </c>
      <c r="B1886" s="6" t="s">
        <v>4091</v>
      </c>
      <c r="C1886" s="4" t="s">
        <v>1231</v>
      </c>
      <c r="D1886" s="4">
        <v>19</v>
      </c>
      <c r="E1886" s="4" t="s">
        <v>3965</v>
      </c>
      <c r="F1886" s="4" t="s">
        <v>4097</v>
      </c>
    </row>
    <row r="1887" spans="1:6">
      <c r="A1887" s="4" t="s">
        <v>4098</v>
      </c>
      <c r="B1887" s="6" t="s">
        <v>4091</v>
      </c>
      <c r="C1887" s="4" t="s">
        <v>538</v>
      </c>
      <c r="D1887" s="4">
        <v>7</v>
      </c>
      <c r="E1887" s="4" t="s">
        <v>3965</v>
      </c>
      <c r="F1887" s="4" t="s">
        <v>4099</v>
      </c>
    </row>
    <row r="1888" spans="1:6">
      <c r="A1888" s="4" t="s">
        <v>4100</v>
      </c>
      <c r="B1888" s="6" t="s">
        <v>4091</v>
      </c>
      <c r="C1888" s="4" t="s">
        <v>705</v>
      </c>
      <c r="D1888" s="4">
        <v>7</v>
      </c>
      <c r="E1888" s="4" t="s">
        <v>3965</v>
      </c>
      <c r="F1888" s="4" t="s">
        <v>4101</v>
      </c>
    </row>
    <row r="1889" spans="1:6">
      <c r="A1889" s="4" t="s">
        <v>4102</v>
      </c>
      <c r="B1889" s="6" t="s">
        <v>4091</v>
      </c>
      <c r="C1889" s="4" t="s">
        <v>34</v>
      </c>
      <c r="D1889" s="4">
        <v>10</v>
      </c>
      <c r="E1889" s="4" t="s">
        <v>4103</v>
      </c>
      <c r="F1889" s="4" t="s">
        <v>4104</v>
      </c>
    </row>
    <row r="1890" spans="1:6">
      <c r="A1890" s="4" t="s">
        <v>4105</v>
      </c>
      <c r="B1890" s="6" t="s">
        <v>4091</v>
      </c>
      <c r="C1890" s="4" t="s">
        <v>76</v>
      </c>
      <c r="D1890" s="4">
        <v>21</v>
      </c>
      <c r="E1890" s="4" t="s">
        <v>4106</v>
      </c>
    </row>
    <row r="1891" spans="1:6">
      <c r="A1891" s="4" t="s">
        <v>4107</v>
      </c>
      <c r="B1891" s="6" t="s">
        <v>4091</v>
      </c>
      <c r="C1891" s="4" t="s">
        <v>76</v>
      </c>
      <c r="D1891" s="4">
        <v>17</v>
      </c>
      <c r="E1891" s="4" t="s">
        <v>3965</v>
      </c>
    </row>
    <row r="1892" spans="1:6">
      <c r="A1892" s="4" t="s">
        <v>4108</v>
      </c>
      <c r="B1892" s="6" t="s">
        <v>4091</v>
      </c>
      <c r="C1892" s="4" t="s">
        <v>254</v>
      </c>
      <c r="D1892" s="4">
        <v>21</v>
      </c>
      <c r="E1892" s="4" t="s">
        <v>3965</v>
      </c>
    </row>
    <row r="1893" spans="1:6">
      <c r="A1893" s="4" t="s">
        <v>4109</v>
      </c>
      <c r="B1893" s="6" t="s">
        <v>4091</v>
      </c>
      <c r="C1893" s="4" t="s">
        <v>705</v>
      </c>
      <c r="D1893" s="4">
        <v>16</v>
      </c>
      <c r="E1893" s="4" t="s">
        <v>3965</v>
      </c>
      <c r="F1893" s="4" t="s">
        <v>4101</v>
      </c>
    </row>
    <row r="1894" spans="1:6">
      <c r="A1894" s="4" t="s">
        <v>4110</v>
      </c>
      <c r="B1894" s="6" t="s">
        <v>4091</v>
      </c>
      <c r="C1894" s="4" t="s">
        <v>23</v>
      </c>
      <c r="D1894" s="4">
        <v>10</v>
      </c>
      <c r="E1894" s="4" t="s">
        <v>3965</v>
      </c>
    </row>
    <row r="1895" spans="1:6">
      <c r="A1895" s="4" t="s">
        <v>4111</v>
      </c>
      <c r="B1895" s="6" t="s">
        <v>4112</v>
      </c>
      <c r="C1895" s="4" t="s">
        <v>53</v>
      </c>
      <c r="D1895" s="4">
        <v>12</v>
      </c>
      <c r="E1895" s="4" t="s">
        <v>4113</v>
      </c>
    </row>
    <row r="1896" spans="1:6">
      <c r="A1896" s="4" t="s">
        <v>4114</v>
      </c>
      <c r="B1896" s="6" t="s">
        <v>4115</v>
      </c>
      <c r="C1896" s="4" t="s">
        <v>254</v>
      </c>
      <c r="D1896" s="4">
        <v>5</v>
      </c>
      <c r="E1896" s="4" t="s">
        <v>3965</v>
      </c>
    </row>
    <row r="1897" spans="1:6">
      <c r="A1897" s="4" t="s">
        <v>4116</v>
      </c>
      <c r="B1897" s="6" t="s">
        <v>4117</v>
      </c>
      <c r="C1897" s="4" t="s">
        <v>41</v>
      </c>
      <c r="D1897" s="4">
        <v>13</v>
      </c>
      <c r="E1897" s="4" t="s">
        <v>4031</v>
      </c>
      <c r="F1897" s="4" t="s">
        <v>4118</v>
      </c>
    </row>
    <row r="1898" spans="1:6">
      <c r="A1898" s="4" t="s">
        <v>4119</v>
      </c>
      <c r="B1898" s="6" t="s">
        <v>4117</v>
      </c>
      <c r="C1898" s="4" t="s">
        <v>315</v>
      </c>
      <c r="D1898" s="4">
        <v>18</v>
      </c>
      <c r="E1898" s="4" t="s">
        <v>4031</v>
      </c>
      <c r="F1898" s="4" t="s">
        <v>1645</v>
      </c>
    </row>
    <row r="1899" spans="1:6">
      <c r="A1899" s="4" t="s">
        <v>4120</v>
      </c>
      <c r="B1899" s="6" t="s">
        <v>4117</v>
      </c>
      <c r="C1899" s="4" t="s">
        <v>121</v>
      </c>
      <c r="D1899" s="4">
        <v>15</v>
      </c>
      <c r="E1899" s="4" t="s">
        <v>4031</v>
      </c>
    </row>
    <row r="1900" spans="1:6">
      <c r="A1900" s="4" t="s">
        <v>4121</v>
      </c>
      <c r="B1900" s="6" t="s">
        <v>4117</v>
      </c>
      <c r="C1900" s="4" t="s">
        <v>403</v>
      </c>
      <c r="D1900" s="4">
        <v>19</v>
      </c>
      <c r="E1900" s="4" t="s">
        <v>4031</v>
      </c>
      <c r="F1900" s="4" t="s">
        <v>4122</v>
      </c>
    </row>
    <row r="1901" spans="1:6">
      <c r="A1901" s="4" t="s">
        <v>4123</v>
      </c>
      <c r="B1901" s="6" t="s">
        <v>4117</v>
      </c>
      <c r="C1901" s="4" t="s">
        <v>2818</v>
      </c>
      <c r="D1901" s="4">
        <v>16</v>
      </c>
      <c r="E1901" s="4" t="s">
        <v>4031</v>
      </c>
    </row>
    <row r="1902" spans="1:6">
      <c r="A1902" s="4" t="s">
        <v>4124</v>
      </c>
      <c r="B1902" s="6" t="s">
        <v>4125</v>
      </c>
      <c r="C1902" s="4" t="s">
        <v>275</v>
      </c>
      <c r="D1902" s="4">
        <v>10</v>
      </c>
      <c r="E1902" s="4" t="s">
        <v>4031</v>
      </c>
      <c r="F1902" s="4" t="s">
        <v>4126</v>
      </c>
    </row>
    <row r="1903" spans="1:6">
      <c r="A1903" s="4" t="s">
        <v>4127</v>
      </c>
      <c r="B1903" s="6" t="s">
        <v>4128</v>
      </c>
      <c r="C1903" s="4" t="s">
        <v>870</v>
      </c>
      <c r="D1903" s="4">
        <v>8</v>
      </c>
      <c r="F1903" s="4" t="s">
        <v>4129</v>
      </c>
    </row>
    <row r="1904" spans="1:6">
      <c r="A1904" s="4" t="s">
        <v>4130</v>
      </c>
      <c r="B1904" s="6" t="s">
        <v>4125</v>
      </c>
      <c r="C1904" s="4" t="s">
        <v>49</v>
      </c>
      <c r="D1904" s="4">
        <v>13</v>
      </c>
      <c r="E1904" s="4" t="s">
        <v>4031</v>
      </c>
      <c r="F1904" s="4" t="s">
        <v>4131</v>
      </c>
    </row>
    <row r="1905" spans="1:6">
      <c r="A1905" s="4" t="s">
        <v>4132</v>
      </c>
      <c r="B1905" s="6" t="s">
        <v>4125</v>
      </c>
      <c r="C1905" s="4" t="s">
        <v>1282</v>
      </c>
      <c r="D1905" s="4">
        <v>17</v>
      </c>
      <c r="E1905" s="4" t="s">
        <v>4031</v>
      </c>
    </row>
    <row r="1906" spans="1:6">
      <c r="A1906" s="4" t="s">
        <v>4133</v>
      </c>
      <c r="B1906" s="6" t="s">
        <v>4125</v>
      </c>
      <c r="C1906" s="4" t="s">
        <v>23</v>
      </c>
      <c r="D1906" s="4">
        <v>14</v>
      </c>
      <c r="E1906" s="4" t="s">
        <v>4031</v>
      </c>
    </row>
    <row r="1907" spans="1:6">
      <c r="A1907" s="4" t="s">
        <v>4134</v>
      </c>
      <c r="B1907" s="6" t="s">
        <v>4135</v>
      </c>
      <c r="C1907" s="4" t="s">
        <v>254</v>
      </c>
      <c r="D1907" s="4">
        <v>14</v>
      </c>
      <c r="E1907" s="4" t="s">
        <v>3968</v>
      </c>
    </row>
    <row r="1908" spans="1:6">
      <c r="A1908" s="4" t="s">
        <v>4136</v>
      </c>
      <c r="B1908" s="6" t="s">
        <v>4135</v>
      </c>
      <c r="C1908" s="4" t="s">
        <v>45</v>
      </c>
      <c r="D1908" s="4">
        <v>15</v>
      </c>
      <c r="E1908" s="4" t="s">
        <v>3968</v>
      </c>
    </row>
    <row r="1909" spans="1:6">
      <c r="A1909" s="4" t="s">
        <v>4137</v>
      </c>
      <c r="B1909" s="6" t="s">
        <v>4135</v>
      </c>
      <c r="C1909" s="4" t="s">
        <v>275</v>
      </c>
      <c r="D1909" s="4">
        <v>15</v>
      </c>
      <c r="E1909" s="4" t="s">
        <v>3968</v>
      </c>
    </row>
    <row r="1910" spans="1:6">
      <c r="A1910" s="4" t="s">
        <v>4138</v>
      </c>
      <c r="B1910" s="6" t="s">
        <v>4135</v>
      </c>
      <c r="C1910" s="4" t="s">
        <v>34</v>
      </c>
      <c r="D1910" s="4">
        <v>15</v>
      </c>
      <c r="E1910" s="4" t="s">
        <v>3968</v>
      </c>
    </row>
    <row r="1911" spans="1:6">
      <c r="A1911" s="4" t="s">
        <v>4139</v>
      </c>
      <c r="B1911" s="6" t="s">
        <v>4135</v>
      </c>
      <c r="C1911" s="4" t="s">
        <v>41</v>
      </c>
      <c r="D1911" s="4">
        <v>14</v>
      </c>
      <c r="E1911" s="4" t="s">
        <v>3968</v>
      </c>
    </row>
    <row r="1912" spans="1:6">
      <c r="A1912" s="4" t="s">
        <v>4140</v>
      </c>
      <c r="B1912" s="6" t="s">
        <v>4135</v>
      </c>
      <c r="C1912" s="4" t="s">
        <v>45</v>
      </c>
      <c r="D1912" s="4">
        <v>14</v>
      </c>
      <c r="E1912" s="4" t="s">
        <v>3968</v>
      </c>
    </row>
    <row r="1913" spans="1:6">
      <c r="A1913" s="4" t="s">
        <v>4141</v>
      </c>
      <c r="B1913" s="6" t="s">
        <v>4142</v>
      </c>
      <c r="C1913" s="4" t="s">
        <v>31</v>
      </c>
      <c r="D1913" s="4">
        <v>17</v>
      </c>
      <c r="E1913" s="4" t="s">
        <v>731</v>
      </c>
    </row>
    <row r="1914" spans="1:6">
      <c r="A1914" s="4" t="s">
        <v>4143</v>
      </c>
      <c r="B1914" s="6" t="s">
        <v>4144</v>
      </c>
      <c r="C1914" s="4" t="s">
        <v>414</v>
      </c>
      <c r="D1914" s="4">
        <v>17</v>
      </c>
      <c r="E1914" s="4" t="s">
        <v>4031</v>
      </c>
    </row>
    <row r="1915" spans="1:6">
      <c r="A1915" s="4" t="s">
        <v>4145</v>
      </c>
      <c r="B1915" s="6" t="s">
        <v>4146</v>
      </c>
      <c r="C1915" s="4" t="s">
        <v>1885</v>
      </c>
      <c r="D1915" s="4">
        <v>2</v>
      </c>
      <c r="E1915" s="4" t="s">
        <v>3968</v>
      </c>
    </row>
    <row r="1916" spans="1:6">
      <c r="A1916" s="4" t="s">
        <v>4147</v>
      </c>
      <c r="B1916" s="6" t="s">
        <v>4146</v>
      </c>
      <c r="C1916" s="4" t="s">
        <v>53</v>
      </c>
      <c r="D1916" s="4">
        <v>9</v>
      </c>
      <c r="E1916" s="4" t="s">
        <v>4003</v>
      </c>
      <c r="F1916" s="4" t="s">
        <v>4148</v>
      </c>
    </row>
    <row r="1917" spans="1:6">
      <c r="A1917" s="4" t="s">
        <v>4149</v>
      </c>
      <c r="B1917" s="6" t="s">
        <v>4150</v>
      </c>
      <c r="C1917" s="4" t="s">
        <v>1248</v>
      </c>
      <c r="D1917" s="4">
        <v>11</v>
      </c>
      <c r="E1917" s="4" t="s">
        <v>3968</v>
      </c>
    </row>
    <row r="1918" spans="1:6">
      <c r="A1918" s="4" t="s">
        <v>4151</v>
      </c>
      <c r="B1918" s="6" t="s">
        <v>4152</v>
      </c>
      <c r="C1918" s="4" t="s">
        <v>686</v>
      </c>
      <c r="D1918" s="4">
        <v>10</v>
      </c>
      <c r="E1918" s="4" t="s">
        <v>4061</v>
      </c>
      <c r="F1918" s="4" t="s">
        <v>3576</v>
      </c>
    </row>
    <row r="1919" spans="1:6">
      <c r="A1919" s="4" t="s">
        <v>4153</v>
      </c>
      <c r="B1919" s="6" t="s">
        <v>4152</v>
      </c>
      <c r="C1919" s="4" t="s">
        <v>223</v>
      </c>
      <c r="D1919" s="4">
        <v>12</v>
      </c>
      <c r="E1919" s="4" t="s">
        <v>4154</v>
      </c>
      <c r="F1919" s="4" t="s">
        <v>4155</v>
      </c>
    </row>
    <row r="1920" spans="1:6">
      <c r="A1920" s="4" t="s">
        <v>4156</v>
      </c>
      <c r="B1920" s="6" t="s">
        <v>4152</v>
      </c>
      <c r="C1920" s="4" t="s">
        <v>254</v>
      </c>
      <c r="D1920" s="4">
        <v>8</v>
      </c>
      <c r="E1920" s="4" t="s">
        <v>4103</v>
      </c>
      <c r="F1920" s="4" t="s">
        <v>4157</v>
      </c>
    </row>
    <row r="1921" spans="1:6">
      <c r="A1921" s="4" t="s">
        <v>4158</v>
      </c>
      <c r="B1921" s="6" t="s">
        <v>4152</v>
      </c>
      <c r="C1921" s="4" t="s">
        <v>705</v>
      </c>
      <c r="D1921" s="4">
        <v>6</v>
      </c>
      <c r="E1921" s="4" t="s">
        <v>4154</v>
      </c>
      <c r="F1921" s="4" t="s">
        <v>4159</v>
      </c>
    </row>
    <row r="1922" spans="1:6">
      <c r="A1922" s="4" t="s">
        <v>4160</v>
      </c>
      <c r="B1922" s="6" t="s">
        <v>4152</v>
      </c>
      <c r="C1922" s="4" t="s">
        <v>271</v>
      </c>
      <c r="D1922" s="4">
        <v>6</v>
      </c>
      <c r="E1922" s="4" t="s">
        <v>4154</v>
      </c>
      <c r="F1922" s="4" t="s">
        <v>4161</v>
      </c>
    </row>
    <row r="1923" spans="1:6">
      <c r="A1923" s="4" t="s">
        <v>4162</v>
      </c>
      <c r="B1923" s="6" t="s">
        <v>4152</v>
      </c>
      <c r="C1923" s="4" t="s">
        <v>87</v>
      </c>
      <c r="D1923" s="4">
        <v>9</v>
      </c>
      <c r="E1923" s="4" t="s">
        <v>4154</v>
      </c>
    </row>
    <row r="1924" spans="1:6">
      <c r="A1924" s="4" t="s">
        <v>4163</v>
      </c>
      <c r="B1924" s="6" t="s">
        <v>4152</v>
      </c>
      <c r="C1924" s="4" t="s">
        <v>470</v>
      </c>
      <c r="D1924" s="4">
        <v>8</v>
      </c>
      <c r="E1924" s="4" t="s">
        <v>4154</v>
      </c>
    </row>
    <row r="1925" spans="1:6">
      <c r="A1925" s="4" t="s">
        <v>4164</v>
      </c>
      <c r="B1925" s="6" t="s">
        <v>4165</v>
      </c>
      <c r="C1925" s="4" t="s">
        <v>27</v>
      </c>
      <c r="D1925" s="4">
        <v>10</v>
      </c>
      <c r="E1925" s="4" t="s">
        <v>4166</v>
      </c>
    </row>
    <row r="1926" spans="1:6">
      <c r="A1926" s="4" t="s">
        <v>4167</v>
      </c>
      <c r="B1926" s="6" t="s">
        <v>4165</v>
      </c>
      <c r="C1926" s="4" t="s">
        <v>27</v>
      </c>
      <c r="D1926" s="4">
        <v>10</v>
      </c>
      <c r="E1926" s="4" t="s">
        <v>4166</v>
      </c>
    </row>
    <row r="1927" spans="1:6">
      <c r="A1927" s="4" t="s">
        <v>4168</v>
      </c>
      <c r="B1927" s="6" t="s">
        <v>4169</v>
      </c>
      <c r="C1927" s="4" t="s">
        <v>76</v>
      </c>
      <c r="D1927" s="4">
        <v>17</v>
      </c>
      <c r="E1927" s="4" t="s">
        <v>3968</v>
      </c>
    </row>
    <row r="1928" spans="1:6">
      <c r="A1928" s="4" t="s">
        <v>4170</v>
      </c>
      <c r="B1928" s="6" t="s">
        <v>4169</v>
      </c>
      <c r="C1928" s="4" t="s">
        <v>992</v>
      </c>
      <c r="D1928" s="4">
        <v>10</v>
      </c>
      <c r="E1928" s="4" t="s">
        <v>3968</v>
      </c>
    </row>
    <row r="1929" spans="1:6">
      <c r="A1929" s="4" t="s">
        <v>4171</v>
      </c>
      <c r="B1929" s="6" t="s">
        <v>4172</v>
      </c>
      <c r="C1929" s="4" t="s">
        <v>315</v>
      </c>
      <c r="D1929" s="4">
        <v>13</v>
      </c>
      <c r="E1929" s="4" t="s">
        <v>4173</v>
      </c>
      <c r="F1929" s="4" t="s">
        <v>4174</v>
      </c>
    </row>
    <row r="1930" spans="1:6">
      <c r="A1930" s="4" t="s">
        <v>4175</v>
      </c>
      <c r="B1930" s="6" t="s">
        <v>4172</v>
      </c>
      <c r="C1930" s="4" t="s">
        <v>63</v>
      </c>
      <c r="D1930" s="4">
        <v>13</v>
      </c>
      <c r="E1930" s="4" t="s">
        <v>3965</v>
      </c>
      <c r="F1930" s="4" t="s">
        <v>4176</v>
      </c>
    </row>
    <row r="1931" spans="1:6">
      <c r="A1931" s="4" t="s">
        <v>4177</v>
      </c>
      <c r="B1931" s="6" t="s">
        <v>4172</v>
      </c>
      <c r="C1931" s="4" t="s">
        <v>63</v>
      </c>
      <c r="D1931" s="4">
        <v>15</v>
      </c>
      <c r="E1931" s="4" t="s">
        <v>3961</v>
      </c>
      <c r="F1931" s="4" t="s">
        <v>940</v>
      </c>
    </row>
    <row r="1932" spans="1:6">
      <c r="A1932" s="4" t="s">
        <v>4178</v>
      </c>
      <c r="B1932" s="6" t="s">
        <v>4172</v>
      </c>
      <c r="C1932" s="4" t="s">
        <v>4179</v>
      </c>
      <c r="D1932" s="4">
        <v>17</v>
      </c>
      <c r="E1932" s="4" t="s">
        <v>3965</v>
      </c>
      <c r="F1932" s="4" t="s">
        <v>4180</v>
      </c>
    </row>
    <row r="1933" spans="1:6">
      <c r="A1933" s="4" t="s">
        <v>4181</v>
      </c>
      <c r="B1933" s="6" t="s">
        <v>4172</v>
      </c>
      <c r="C1933" s="4" t="s">
        <v>254</v>
      </c>
      <c r="D1933" s="4">
        <v>7</v>
      </c>
      <c r="E1933" s="4" t="s">
        <v>3965</v>
      </c>
    </row>
    <row r="1934" spans="1:6">
      <c r="A1934" s="4" t="s">
        <v>4182</v>
      </c>
      <c r="B1934" s="6" t="s">
        <v>4172</v>
      </c>
      <c r="C1934" s="4" t="s">
        <v>81</v>
      </c>
      <c r="D1934" s="4">
        <v>8</v>
      </c>
      <c r="E1934" s="4" t="s">
        <v>3965</v>
      </c>
    </row>
    <row r="1935" spans="1:6">
      <c r="A1935" s="4" t="s">
        <v>4183</v>
      </c>
      <c r="B1935" s="6" t="s">
        <v>4172</v>
      </c>
      <c r="C1935" s="4" t="s">
        <v>218</v>
      </c>
      <c r="D1935" s="4">
        <v>9</v>
      </c>
      <c r="E1935" s="4" t="s">
        <v>3965</v>
      </c>
    </row>
    <row r="1936" spans="1:6">
      <c r="A1936" s="4" t="s">
        <v>4184</v>
      </c>
      <c r="B1936" s="6" t="s">
        <v>4172</v>
      </c>
      <c r="C1936" s="4" t="s">
        <v>53</v>
      </c>
      <c r="D1936" s="4">
        <v>21</v>
      </c>
      <c r="E1936" s="4" t="s">
        <v>3965</v>
      </c>
    </row>
    <row r="1937" spans="1:6">
      <c r="A1937" s="4" t="s">
        <v>4185</v>
      </c>
      <c r="B1937" s="6" t="s">
        <v>4172</v>
      </c>
      <c r="C1937" s="4" t="s">
        <v>427</v>
      </c>
      <c r="D1937" s="4">
        <v>11</v>
      </c>
      <c r="E1937" s="4" t="s">
        <v>3965</v>
      </c>
    </row>
    <row r="1938" spans="1:6">
      <c r="A1938" s="4" t="s">
        <v>4186</v>
      </c>
      <c r="B1938" s="6" t="s">
        <v>4172</v>
      </c>
      <c r="C1938" s="4" t="s">
        <v>92</v>
      </c>
      <c r="D1938" s="4">
        <v>20</v>
      </c>
      <c r="E1938" s="4" t="s">
        <v>3965</v>
      </c>
      <c r="F1938" s="4" t="s">
        <v>4180</v>
      </c>
    </row>
    <row r="1939" spans="1:6">
      <c r="A1939" s="4" t="s">
        <v>4187</v>
      </c>
      <c r="B1939" s="6" t="s">
        <v>4188</v>
      </c>
      <c r="C1939" s="4" t="s">
        <v>285</v>
      </c>
      <c r="D1939" s="4">
        <v>17</v>
      </c>
      <c r="E1939" s="4" t="s">
        <v>3961</v>
      </c>
      <c r="F1939" s="4" t="s">
        <v>4189</v>
      </c>
    </row>
    <row r="1940" spans="1:6">
      <c r="A1940" s="4" t="s">
        <v>4190</v>
      </c>
      <c r="B1940" s="6" t="s">
        <v>4191</v>
      </c>
      <c r="C1940" s="4" t="s">
        <v>104</v>
      </c>
      <c r="D1940" s="4">
        <v>14</v>
      </c>
      <c r="E1940" s="4" t="s">
        <v>4106</v>
      </c>
      <c r="F1940" s="4" t="s">
        <v>4192</v>
      </c>
    </row>
    <row r="1941" spans="1:6">
      <c r="A1941" s="4" t="s">
        <v>4193</v>
      </c>
      <c r="B1941" s="6" t="s">
        <v>4191</v>
      </c>
      <c r="C1941" s="4" t="s">
        <v>675</v>
      </c>
      <c r="D1941" s="4">
        <v>14</v>
      </c>
      <c r="E1941" s="4" t="s">
        <v>4106</v>
      </c>
    </row>
    <row r="1942" spans="1:6">
      <c r="A1942" s="4" t="s">
        <v>4194</v>
      </c>
      <c r="B1942" s="6" t="s">
        <v>4191</v>
      </c>
      <c r="C1942" s="4" t="s">
        <v>53</v>
      </c>
      <c r="D1942" s="4">
        <v>19</v>
      </c>
      <c r="E1942" s="4" t="s">
        <v>4106</v>
      </c>
    </row>
    <row r="1943" spans="1:6">
      <c r="A1943" s="4" t="s">
        <v>4195</v>
      </c>
      <c r="B1943" s="6" t="s">
        <v>4191</v>
      </c>
      <c r="C1943" s="4" t="s">
        <v>53</v>
      </c>
      <c r="D1943" s="4">
        <v>20</v>
      </c>
      <c r="E1943" s="4" t="s">
        <v>4106</v>
      </c>
    </row>
    <row r="1944" spans="1:6">
      <c r="A1944" s="4" t="s">
        <v>4196</v>
      </c>
      <c r="B1944" s="6" t="s">
        <v>4191</v>
      </c>
      <c r="C1944" s="4" t="s">
        <v>574</v>
      </c>
      <c r="D1944" s="4">
        <v>22</v>
      </c>
      <c r="E1944" s="4" t="s">
        <v>4106</v>
      </c>
      <c r="F1944" s="4" t="s">
        <v>1589</v>
      </c>
    </row>
    <row r="1945" spans="1:6">
      <c r="A1945" s="4" t="s">
        <v>4197</v>
      </c>
      <c r="B1945" s="6" t="s">
        <v>4191</v>
      </c>
      <c r="C1945" s="4" t="s">
        <v>485</v>
      </c>
      <c r="D1945" s="4">
        <v>20</v>
      </c>
      <c r="E1945" s="4" t="s">
        <v>4106</v>
      </c>
    </row>
    <row r="1946" spans="1:6">
      <c r="A1946" s="4" t="s">
        <v>4198</v>
      </c>
      <c r="B1946" s="6" t="s">
        <v>4199</v>
      </c>
      <c r="C1946" s="4" t="s">
        <v>427</v>
      </c>
      <c r="D1946" s="4">
        <v>17</v>
      </c>
      <c r="E1946" s="4" t="s">
        <v>3609</v>
      </c>
    </row>
    <row r="1947" spans="1:6">
      <c r="A1947" s="4" t="s">
        <v>4200</v>
      </c>
      <c r="B1947" s="6" t="s">
        <v>4199</v>
      </c>
      <c r="C1947" s="4" t="s">
        <v>76</v>
      </c>
      <c r="D1947" s="4">
        <v>16</v>
      </c>
      <c r="E1947" s="4" t="s">
        <v>4092</v>
      </c>
    </row>
    <row r="1948" spans="1:6">
      <c r="A1948" s="4" t="s">
        <v>4201</v>
      </c>
      <c r="B1948" s="6" t="s">
        <v>4202</v>
      </c>
      <c r="C1948" s="4" t="s">
        <v>87</v>
      </c>
      <c r="D1948" s="4">
        <v>12</v>
      </c>
      <c r="E1948" s="4" t="s">
        <v>4203</v>
      </c>
    </row>
    <row r="1949" spans="1:6">
      <c r="A1949" s="4" t="s">
        <v>4204</v>
      </c>
      <c r="B1949" s="6" t="s">
        <v>4202</v>
      </c>
      <c r="C1949" s="4" t="s">
        <v>34</v>
      </c>
      <c r="D1949" s="4">
        <v>23</v>
      </c>
      <c r="E1949" s="4" t="s">
        <v>4031</v>
      </c>
    </row>
    <row r="1950" spans="1:6">
      <c r="A1950" s="4" t="s">
        <v>4205</v>
      </c>
      <c r="B1950" s="6" t="s">
        <v>4202</v>
      </c>
      <c r="C1950" s="4" t="s">
        <v>53</v>
      </c>
      <c r="D1950" s="4">
        <v>23</v>
      </c>
      <c r="E1950" s="4" t="s">
        <v>3913</v>
      </c>
    </row>
    <row r="1951" spans="1:6">
      <c r="A1951" s="4" t="s">
        <v>4206</v>
      </c>
      <c r="B1951" s="6" t="s">
        <v>4202</v>
      </c>
      <c r="C1951" s="4" t="s">
        <v>132</v>
      </c>
      <c r="D1951" s="4">
        <v>30</v>
      </c>
      <c r="E1951" s="4" t="s">
        <v>3913</v>
      </c>
    </row>
    <row r="1952" spans="1:6">
      <c r="A1952" s="4" t="s">
        <v>4207</v>
      </c>
      <c r="B1952" s="6" t="s">
        <v>4202</v>
      </c>
      <c r="C1952" s="4" t="s">
        <v>87</v>
      </c>
      <c r="D1952" s="4">
        <v>25</v>
      </c>
      <c r="E1952" s="4" t="s">
        <v>4203</v>
      </c>
    </row>
    <row r="1953" spans="1:6">
      <c r="A1953" s="4" t="s">
        <v>4208</v>
      </c>
      <c r="B1953" s="6" t="s">
        <v>4202</v>
      </c>
      <c r="C1953" s="4" t="s">
        <v>285</v>
      </c>
      <c r="D1953" s="4">
        <v>22</v>
      </c>
      <c r="E1953" s="4" t="s">
        <v>3913</v>
      </c>
    </row>
    <row r="1954" spans="1:6">
      <c r="A1954" s="4" t="s">
        <v>4209</v>
      </c>
      <c r="B1954" s="6" t="s">
        <v>4202</v>
      </c>
      <c r="C1954" s="4" t="s">
        <v>464</v>
      </c>
      <c r="D1954" s="4">
        <v>9</v>
      </c>
      <c r="E1954" s="4" t="s">
        <v>4203</v>
      </c>
    </row>
    <row r="1955" spans="1:6">
      <c r="A1955" s="4" t="s">
        <v>4210</v>
      </c>
      <c r="B1955" s="6" t="s">
        <v>4202</v>
      </c>
      <c r="C1955" s="4" t="s">
        <v>464</v>
      </c>
      <c r="D1955" s="4">
        <v>22</v>
      </c>
      <c r="E1955" s="4" t="s">
        <v>4203</v>
      </c>
    </row>
    <row r="1956" spans="1:6">
      <c r="A1956" s="4" t="s">
        <v>4211</v>
      </c>
      <c r="B1956" s="6" t="s">
        <v>4212</v>
      </c>
      <c r="C1956" s="4" t="s">
        <v>271</v>
      </c>
      <c r="D1956" s="4">
        <v>8</v>
      </c>
      <c r="E1956" s="4" t="s">
        <v>4213</v>
      </c>
      <c r="F1956" s="4" t="s">
        <v>4214</v>
      </c>
    </row>
    <row r="1957" spans="1:6">
      <c r="A1957" s="4" t="s">
        <v>4215</v>
      </c>
      <c r="B1957" s="6" t="s">
        <v>4216</v>
      </c>
      <c r="C1957" s="4" t="s">
        <v>221</v>
      </c>
      <c r="D1957" s="4">
        <v>18</v>
      </c>
      <c r="E1957" s="4" t="s">
        <v>4092</v>
      </c>
      <c r="F1957" s="4" t="s">
        <v>4217</v>
      </c>
    </row>
    <row r="1958" spans="1:6">
      <c r="A1958" s="4" t="s">
        <v>4218</v>
      </c>
      <c r="B1958" s="6" t="s">
        <v>4219</v>
      </c>
      <c r="C1958" s="4" t="s">
        <v>182</v>
      </c>
      <c r="D1958" s="4">
        <v>7</v>
      </c>
      <c r="E1958" s="4" t="s">
        <v>3913</v>
      </c>
      <c r="F1958" s="4" t="s">
        <v>4220</v>
      </c>
    </row>
    <row r="1959" spans="1:6">
      <c r="A1959" s="4" t="s">
        <v>4221</v>
      </c>
      <c r="B1959" s="6" t="s">
        <v>4219</v>
      </c>
      <c r="C1959" s="4" t="s">
        <v>182</v>
      </c>
      <c r="D1959" s="4">
        <v>13</v>
      </c>
      <c r="E1959" s="4" t="s">
        <v>3913</v>
      </c>
      <c r="F1959" s="4" t="s">
        <v>4220</v>
      </c>
    </row>
    <row r="1960" spans="1:6">
      <c r="A1960" s="4" t="s">
        <v>4222</v>
      </c>
      <c r="B1960" s="6" t="s">
        <v>4223</v>
      </c>
      <c r="C1960" s="4" t="s">
        <v>19</v>
      </c>
      <c r="D1960" s="4">
        <v>11</v>
      </c>
      <c r="E1960" s="4" t="s">
        <v>4003</v>
      </c>
    </row>
    <row r="1961" spans="1:6">
      <c r="A1961" s="4" t="s">
        <v>4224</v>
      </c>
      <c r="B1961" s="6" t="s">
        <v>4223</v>
      </c>
      <c r="C1961" s="4" t="s">
        <v>3400</v>
      </c>
      <c r="D1961" s="4">
        <v>10</v>
      </c>
      <c r="E1961" s="4" t="s">
        <v>4225</v>
      </c>
      <c r="F1961" s="4" t="s">
        <v>4226</v>
      </c>
    </row>
    <row r="1962" spans="1:6">
      <c r="A1962" s="4" t="s">
        <v>4227</v>
      </c>
      <c r="B1962" s="6" t="s">
        <v>4223</v>
      </c>
      <c r="C1962" s="4" t="s">
        <v>285</v>
      </c>
      <c r="D1962" s="4">
        <v>15</v>
      </c>
      <c r="E1962" s="4" t="s">
        <v>4003</v>
      </c>
    </row>
    <row r="1963" spans="1:6">
      <c r="A1963" s="4" t="s">
        <v>3400</v>
      </c>
      <c r="B1963" s="6" t="s">
        <v>4228</v>
      </c>
      <c r="C1963" s="4" t="s">
        <v>3400</v>
      </c>
      <c r="D1963" s="4">
        <v>16</v>
      </c>
      <c r="E1963" s="4" t="s">
        <v>4003</v>
      </c>
    </row>
    <row r="1964" spans="1:6">
      <c r="A1964" s="4" t="s">
        <v>4229</v>
      </c>
      <c r="B1964" s="6" t="s">
        <v>4230</v>
      </c>
      <c r="C1964" s="4" t="s">
        <v>1569</v>
      </c>
      <c r="D1964" s="4">
        <v>14</v>
      </c>
      <c r="E1964" s="4" t="s">
        <v>721</v>
      </c>
      <c r="F1964" s="4" t="s">
        <v>4231</v>
      </c>
    </row>
    <row r="1965" spans="1:6">
      <c r="A1965" s="4" t="s">
        <v>4232</v>
      </c>
      <c r="B1965" s="6" t="s">
        <v>4233</v>
      </c>
      <c r="C1965" s="4" t="s">
        <v>686</v>
      </c>
      <c r="D1965" s="4">
        <v>8</v>
      </c>
      <c r="E1965" s="4" t="s">
        <v>4234</v>
      </c>
    </row>
    <row r="1966" spans="1:6">
      <c r="A1966" s="4" t="s">
        <v>4235</v>
      </c>
      <c r="B1966" s="6" t="s">
        <v>4233</v>
      </c>
      <c r="C1966" s="4" t="s">
        <v>53</v>
      </c>
      <c r="D1966" s="4">
        <v>20</v>
      </c>
      <c r="E1966" s="4" t="s">
        <v>4234</v>
      </c>
      <c r="F1966" s="4" t="s">
        <v>4236</v>
      </c>
    </row>
    <row r="1967" spans="1:6">
      <c r="A1967" s="4" t="s">
        <v>4237</v>
      </c>
      <c r="B1967" s="6" t="s">
        <v>4233</v>
      </c>
      <c r="C1967" s="4" t="s">
        <v>49</v>
      </c>
      <c r="D1967" s="4">
        <v>19</v>
      </c>
      <c r="E1967" s="4" t="s">
        <v>4234</v>
      </c>
    </row>
    <row r="1968" spans="1:6">
      <c r="A1968" s="4" t="s">
        <v>4238</v>
      </c>
      <c r="B1968" s="6" t="s">
        <v>4233</v>
      </c>
      <c r="C1968" s="4" t="s">
        <v>87</v>
      </c>
      <c r="D1968" s="4">
        <v>19</v>
      </c>
      <c r="E1968" s="4" t="s">
        <v>4234</v>
      </c>
    </row>
    <row r="1969" spans="1:6">
      <c r="A1969" s="4" t="s">
        <v>4239</v>
      </c>
      <c r="B1969" s="6" t="s">
        <v>4233</v>
      </c>
      <c r="C1969" s="4" t="s">
        <v>315</v>
      </c>
      <c r="D1969" s="4">
        <v>23</v>
      </c>
      <c r="E1969" s="4" t="s">
        <v>4240</v>
      </c>
      <c r="F1969" s="4" t="s">
        <v>4241</v>
      </c>
    </row>
    <row r="1970" spans="1:6">
      <c r="A1970" s="4" t="s">
        <v>4242</v>
      </c>
      <c r="B1970" s="6" t="s">
        <v>4243</v>
      </c>
      <c r="C1970" s="4" t="s">
        <v>63</v>
      </c>
      <c r="D1970" s="4">
        <v>13</v>
      </c>
      <c r="E1970" s="4" t="s">
        <v>3907</v>
      </c>
      <c r="F1970" s="4" t="s">
        <v>4244</v>
      </c>
    </row>
    <row r="1971" spans="1:6">
      <c r="A1971" s="4" t="s">
        <v>4245</v>
      </c>
      <c r="B1971" s="6" t="s">
        <v>4243</v>
      </c>
      <c r="C1971" s="4" t="s">
        <v>34</v>
      </c>
      <c r="D1971" s="4">
        <v>16</v>
      </c>
      <c r="E1971" s="4" t="s">
        <v>3907</v>
      </c>
    </row>
    <row r="1972" spans="1:6">
      <c r="A1972" s="4" t="s">
        <v>4246</v>
      </c>
      <c r="B1972" s="6" t="s">
        <v>4247</v>
      </c>
      <c r="C1972" s="4" t="s">
        <v>3181</v>
      </c>
      <c r="D1972" s="4">
        <v>13</v>
      </c>
      <c r="E1972" s="4" t="s">
        <v>4248</v>
      </c>
      <c r="F1972" s="4" t="s">
        <v>4249</v>
      </c>
    </row>
    <row r="1973" spans="1:6">
      <c r="A1973" s="4" t="s">
        <v>4250</v>
      </c>
      <c r="B1973" s="6" t="s">
        <v>4247</v>
      </c>
      <c r="C1973" s="4" t="s">
        <v>53</v>
      </c>
      <c r="D1973" s="4">
        <v>19</v>
      </c>
      <c r="E1973" s="4" t="s">
        <v>4234</v>
      </c>
      <c r="F1973" s="4" t="s">
        <v>4251</v>
      </c>
    </row>
    <row r="1974" spans="1:6">
      <c r="A1974" s="4" t="s">
        <v>4252</v>
      </c>
      <c r="B1974" s="6" t="s">
        <v>4247</v>
      </c>
      <c r="C1974" s="4" t="s">
        <v>4252</v>
      </c>
      <c r="D1974" s="4">
        <v>11</v>
      </c>
      <c r="E1974" s="4" t="s">
        <v>4234</v>
      </c>
    </row>
    <row r="1975" spans="1:6">
      <c r="A1975" s="4" t="s">
        <v>4253</v>
      </c>
      <c r="B1975" s="6" t="s">
        <v>4254</v>
      </c>
      <c r="C1975" s="4" t="s">
        <v>254</v>
      </c>
      <c r="D1975" s="4">
        <v>17</v>
      </c>
      <c r="E1975" s="4" t="s">
        <v>3907</v>
      </c>
    </row>
    <row r="1976" spans="1:6">
      <c r="A1976" s="4" t="s">
        <v>4255</v>
      </c>
      <c r="B1976" s="6" t="s">
        <v>4256</v>
      </c>
      <c r="C1976" s="4" t="s">
        <v>439</v>
      </c>
      <c r="D1976" s="4">
        <v>13</v>
      </c>
      <c r="E1976" s="4" t="s">
        <v>4234</v>
      </c>
      <c r="F1976" s="4" t="s">
        <v>4257</v>
      </c>
    </row>
    <row r="1977" spans="1:6">
      <c r="A1977" s="4" t="s">
        <v>4258</v>
      </c>
      <c r="B1977" s="6" t="s">
        <v>4256</v>
      </c>
      <c r="C1977" s="4" t="s">
        <v>63</v>
      </c>
      <c r="D1977" s="4">
        <v>21</v>
      </c>
      <c r="E1977" s="4" t="s">
        <v>4234</v>
      </c>
      <c r="F1977" s="4" t="s">
        <v>4259</v>
      </c>
    </row>
    <row r="1978" spans="1:6">
      <c r="A1978" s="4" t="s">
        <v>4260</v>
      </c>
      <c r="B1978" s="6" t="s">
        <v>4256</v>
      </c>
      <c r="C1978" s="4" t="s">
        <v>49</v>
      </c>
      <c r="D1978" s="4">
        <v>16</v>
      </c>
      <c r="E1978" s="4" t="s">
        <v>4234</v>
      </c>
      <c r="F1978" s="4" t="s">
        <v>4261</v>
      </c>
    </row>
    <row r="1979" spans="1:6">
      <c r="A1979" s="4" t="s">
        <v>4262</v>
      </c>
      <c r="B1979" s="6" t="s">
        <v>4256</v>
      </c>
      <c r="C1979" s="4" t="s">
        <v>132</v>
      </c>
      <c r="D1979" s="4">
        <v>24</v>
      </c>
      <c r="E1979" s="4" t="s">
        <v>4234</v>
      </c>
      <c r="F1979" s="4" t="s">
        <v>4263</v>
      </c>
    </row>
    <row r="1980" spans="1:6">
      <c r="A1980" s="4" t="s">
        <v>4264</v>
      </c>
      <c r="B1980" s="6" t="s">
        <v>4265</v>
      </c>
      <c r="C1980" s="4" t="s">
        <v>461</v>
      </c>
      <c r="D1980" s="4">
        <v>12</v>
      </c>
      <c r="E1980" s="4" t="s">
        <v>4266</v>
      </c>
    </row>
    <row r="1981" spans="1:6">
      <c r="A1981" s="4" t="s">
        <v>1231</v>
      </c>
      <c r="B1981" s="6" t="s">
        <v>4265</v>
      </c>
      <c r="C1981" s="4" t="s">
        <v>1231</v>
      </c>
      <c r="D1981" s="4">
        <v>11</v>
      </c>
      <c r="E1981" s="4" t="s">
        <v>4266</v>
      </c>
      <c r="F1981" s="4" t="s">
        <v>4267</v>
      </c>
    </row>
    <row r="1982" spans="1:6">
      <c r="A1982" s="4" t="s">
        <v>4268</v>
      </c>
      <c r="B1982" s="6" t="s">
        <v>4265</v>
      </c>
      <c r="C1982" s="4" t="s">
        <v>1231</v>
      </c>
      <c r="D1982" s="4">
        <v>19</v>
      </c>
      <c r="E1982" s="4" t="s">
        <v>4266</v>
      </c>
      <c r="F1982" s="4" t="s">
        <v>4269</v>
      </c>
    </row>
    <row r="1983" spans="1:6">
      <c r="A1983" s="4" t="s">
        <v>4270</v>
      </c>
      <c r="B1983" s="6" t="s">
        <v>4271</v>
      </c>
      <c r="C1983" s="4" t="s">
        <v>23</v>
      </c>
      <c r="D1983" s="4">
        <v>10</v>
      </c>
      <c r="E1983" s="4" t="s">
        <v>1439</v>
      </c>
    </row>
    <row r="1984" spans="1:6">
      <c r="A1984" s="4" t="s">
        <v>4272</v>
      </c>
      <c r="B1984" s="6" t="s">
        <v>4271</v>
      </c>
      <c r="C1984" s="4" t="s">
        <v>558</v>
      </c>
      <c r="D1984" s="4">
        <v>7</v>
      </c>
      <c r="E1984" s="4" t="s">
        <v>1439</v>
      </c>
      <c r="F1984" s="4" t="s">
        <v>4273</v>
      </c>
    </row>
    <row r="1985" spans="1:6">
      <c r="A1985" s="4" t="s">
        <v>4274</v>
      </c>
      <c r="B1985" s="6" t="s">
        <v>4275</v>
      </c>
      <c r="C1985" s="4" t="s">
        <v>271</v>
      </c>
      <c r="D1985" s="4">
        <v>7</v>
      </c>
      <c r="E1985" s="4" t="s">
        <v>3992</v>
      </c>
      <c r="F1985" s="4" t="s">
        <v>4276</v>
      </c>
    </row>
    <row r="1986" spans="1:6">
      <c r="A1986" s="4" t="s">
        <v>4277</v>
      </c>
      <c r="B1986" s="6" t="s">
        <v>4275</v>
      </c>
      <c r="C1986" s="4" t="s">
        <v>81</v>
      </c>
      <c r="D1986" s="4">
        <v>10</v>
      </c>
      <c r="E1986" s="4" t="s">
        <v>3992</v>
      </c>
    </row>
    <row r="1987" spans="1:6">
      <c r="A1987" s="4" t="s">
        <v>4278</v>
      </c>
      <c r="B1987" s="6" t="s">
        <v>4275</v>
      </c>
      <c r="C1987" s="4" t="s">
        <v>254</v>
      </c>
      <c r="D1987" s="4">
        <v>9</v>
      </c>
      <c r="E1987" s="4" t="s">
        <v>3992</v>
      </c>
    </row>
    <row r="1988" spans="1:6">
      <c r="A1988" s="4" t="s">
        <v>4279</v>
      </c>
      <c r="B1988" s="6" t="s">
        <v>4280</v>
      </c>
      <c r="C1988" s="4" t="s">
        <v>574</v>
      </c>
      <c r="D1988" s="4">
        <v>15</v>
      </c>
      <c r="E1988" s="4" t="s">
        <v>4017</v>
      </c>
      <c r="F1988" s="4" t="s">
        <v>4281</v>
      </c>
    </row>
    <row r="1989" spans="1:6">
      <c r="A1989" s="4" t="s">
        <v>4282</v>
      </c>
      <c r="B1989" s="6" t="s">
        <v>4280</v>
      </c>
      <c r="C1989" s="4" t="s">
        <v>254</v>
      </c>
      <c r="D1989" s="4">
        <v>10</v>
      </c>
      <c r="E1989" s="4" t="s">
        <v>4017</v>
      </c>
    </row>
    <row r="1990" spans="1:6">
      <c r="A1990" s="4" t="s">
        <v>4283</v>
      </c>
      <c r="B1990" s="6" t="s">
        <v>4280</v>
      </c>
      <c r="C1990" s="4" t="s">
        <v>254</v>
      </c>
      <c r="D1990" s="4">
        <v>8</v>
      </c>
      <c r="E1990" s="4" t="s">
        <v>4284</v>
      </c>
    </row>
    <row r="1991" spans="1:6">
      <c r="A1991" s="4" t="s">
        <v>4285</v>
      </c>
      <c r="B1991" s="6" t="s">
        <v>4280</v>
      </c>
      <c r="C1991" s="4" t="s">
        <v>285</v>
      </c>
      <c r="D1991" s="4">
        <v>11</v>
      </c>
      <c r="E1991" s="4" t="s">
        <v>4284</v>
      </c>
    </row>
    <row r="1992" spans="1:6">
      <c r="A1992" s="4" t="s">
        <v>4286</v>
      </c>
      <c r="B1992" s="6" t="s">
        <v>4280</v>
      </c>
      <c r="C1992" s="4" t="s">
        <v>285</v>
      </c>
      <c r="D1992" s="4">
        <v>11</v>
      </c>
      <c r="E1992" s="4" t="s">
        <v>4284</v>
      </c>
    </row>
    <row r="1993" spans="1:6">
      <c r="A1993" s="4" t="s">
        <v>4287</v>
      </c>
      <c r="B1993" s="6" t="s">
        <v>4288</v>
      </c>
      <c r="C1993" s="4" t="s">
        <v>37</v>
      </c>
      <c r="D1993" s="4">
        <v>15</v>
      </c>
      <c r="E1993" s="4" t="s">
        <v>4284</v>
      </c>
      <c r="F1993" s="4" t="s">
        <v>4289</v>
      </c>
    </row>
    <row r="1994" spans="1:6">
      <c r="A1994" s="4" t="s">
        <v>4290</v>
      </c>
      <c r="B1994" s="6" t="s">
        <v>4291</v>
      </c>
      <c r="C1994" s="4" t="s">
        <v>351</v>
      </c>
      <c r="D1994" s="4">
        <v>6</v>
      </c>
      <c r="E1994" s="4" t="s">
        <v>4292</v>
      </c>
    </row>
    <row r="1995" spans="1:6">
      <c r="A1995" s="4" t="s">
        <v>4293</v>
      </c>
      <c r="B1995" s="6" t="s">
        <v>4294</v>
      </c>
      <c r="C1995" s="4" t="s">
        <v>57</v>
      </c>
      <c r="D1995" s="4">
        <v>20</v>
      </c>
      <c r="E1995" s="4" t="s">
        <v>1439</v>
      </c>
    </row>
    <row r="1996" spans="1:6">
      <c r="A1996" s="4" t="s">
        <v>4295</v>
      </c>
      <c r="B1996" s="6" t="s">
        <v>4294</v>
      </c>
      <c r="C1996" s="4" t="s">
        <v>1282</v>
      </c>
      <c r="D1996" s="4">
        <v>22</v>
      </c>
      <c r="E1996" s="4" t="s">
        <v>1439</v>
      </c>
    </row>
    <row r="1997" spans="1:6">
      <c r="A1997" s="4" t="s">
        <v>4296</v>
      </c>
      <c r="B1997" s="6" t="s">
        <v>4294</v>
      </c>
      <c r="C1997" s="4" t="s">
        <v>403</v>
      </c>
      <c r="D1997" s="4">
        <v>21</v>
      </c>
      <c r="E1997" s="4" t="s">
        <v>4039</v>
      </c>
      <c r="F1997" s="4" t="s">
        <v>4297</v>
      </c>
    </row>
    <row r="1998" spans="1:6">
      <c r="A1998" s="4" t="s">
        <v>4298</v>
      </c>
      <c r="B1998" s="6" t="s">
        <v>4299</v>
      </c>
      <c r="C1998" s="4" t="s">
        <v>1851</v>
      </c>
      <c r="D1998" s="4">
        <v>19</v>
      </c>
      <c r="E1998" s="4" t="s">
        <v>4092</v>
      </c>
    </row>
    <row r="1999" spans="1:6">
      <c r="A1999" s="4" t="s">
        <v>4300</v>
      </c>
      <c r="B1999" s="6" t="s">
        <v>4301</v>
      </c>
      <c r="C1999" s="4" t="s">
        <v>81</v>
      </c>
      <c r="D1999" s="4">
        <v>10</v>
      </c>
      <c r="E1999" s="4" t="s">
        <v>4031</v>
      </c>
      <c r="F1999" s="4" t="s">
        <v>4302</v>
      </c>
    </row>
    <row r="2000" spans="1:6">
      <c r="A2000" s="4" t="s">
        <v>4303</v>
      </c>
      <c r="B2000" s="6" t="s">
        <v>4301</v>
      </c>
      <c r="C2000" s="4" t="s">
        <v>81</v>
      </c>
      <c r="D2000" s="4">
        <v>23</v>
      </c>
      <c r="E2000" s="4" t="s">
        <v>4031</v>
      </c>
      <c r="F2000" s="4" t="s">
        <v>4302</v>
      </c>
    </row>
    <row r="2001" spans="1:6">
      <c r="A2001" s="4" t="s">
        <v>4304</v>
      </c>
      <c r="B2001" s="6" t="s">
        <v>4305</v>
      </c>
      <c r="C2001" s="4" t="s">
        <v>301</v>
      </c>
      <c r="D2001" s="4">
        <v>14</v>
      </c>
      <c r="E2001" s="4" t="s">
        <v>4031</v>
      </c>
      <c r="F2001" s="4" t="s">
        <v>4306</v>
      </c>
    </row>
    <row r="2002" spans="1:6">
      <c r="A2002" s="4" t="s">
        <v>4307</v>
      </c>
      <c r="B2002" s="6" t="s">
        <v>4305</v>
      </c>
      <c r="C2002" s="4" t="s">
        <v>315</v>
      </c>
      <c r="D2002" s="4">
        <v>16</v>
      </c>
      <c r="E2002" s="4" t="s">
        <v>4031</v>
      </c>
    </row>
    <row r="2003" spans="1:6">
      <c r="A2003" s="4" t="s">
        <v>4308</v>
      </c>
      <c r="B2003" s="6" t="s">
        <v>4305</v>
      </c>
      <c r="C2003" s="4" t="s">
        <v>53</v>
      </c>
      <c r="D2003" s="4">
        <v>13</v>
      </c>
      <c r="E2003" s="4" t="s">
        <v>4031</v>
      </c>
    </row>
    <row r="2004" spans="1:6">
      <c r="A2004" s="4" t="s">
        <v>4309</v>
      </c>
      <c r="B2004" s="6" t="s">
        <v>4305</v>
      </c>
      <c r="C2004" s="4" t="s">
        <v>686</v>
      </c>
      <c r="D2004" s="4">
        <v>12</v>
      </c>
      <c r="E2004" s="4" t="s">
        <v>4031</v>
      </c>
    </row>
    <row r="2005" spans="1:6">
      <c r="A2005" s="4" t="s">
        <v>4310</v>
      </c>
      <c r="B2005" s="6" t="s">
        <v>4311</v>
      </c>
      <c r="C2005" s="4" t="s">
        <v>605</v>
      </c>
      <c r="D2005" s="4">
        <v>12</v>
      </c>
      <c r="E2005" s="4" t="s">
        <v>4312</v>
      </c>
      <c r="F2005" s="4" t="s">
        <v>4313</v>
      </c>
    </row>
    <row r="2006" spans="1:6">
      <c r="A2006" s="4" t="s">
        <v>4314</v>
      </c>
      <c r="B2006" s="6" t="s">
        <v>4315</v>
      </c>
      <c r="C2006" s="4" t="s">
        <v>27</v>
      </c>
      <c r="D2006" s="4">
        <v>19</v>
      </c>
      <c r="E2006" s="4" t="s">
        <v>4316</v>
      </c>
    </row>
    <row r="2007" spans="1:6">
      <c r="A2007" s="4" t="s">
        <v>4317</v>
      </c>
      <c r="B2007" s="6" t="s">
        <v>4318</v>
      </c>
      <c r="C2007" s="4" t="s">
        <v>301</v>
      </c>
      <c r="D2007" s="4">
        <v>11</v>
      </c>
      <c r="E2007" s="4" t="s">
        <v>4092</v>
      </c>
    </row>
    <row r="2008" spans="1:6">
      <c r="A2008" s="4" t="s">
        <v>4319</v>
      </c>
      <c r="B2008" s="6" t="s">
        <v>4318</v>
      </c>
      <c r="C2008" s="4" t="s">
        <v>27</v>
      </c>
      <c r="D2008" s="4">
        <v>12</v>
      </c>
      <c r="E2008" s="4" t="s">
        <v>4092</v>
      </c>
    </row>
    <row r="2009" spans="1:6">
      <c r="A2009" s="4" t="s">
        <v>4320</v>
      </c>
      <c r="B2009" s="6" t="s">
        <v>4321</v>
      </c>
      <c r="C2009" s="4" t="s">
        <v>317</v>
      </c>
      <c r="D2009" s="4">
        <v>4</v>
      </c>
      <c r="E2009" s="4" t="s">
        <v>4322</v>
      </c>
      <c r="F2009" s="4" t="s">
        <v>4323</v>
      </c>
    </row>
    <row r="2010" spans="1:6">
      <c r="A2010" s="4" t="s">
        <v>4324</v>
      </c>
      <c r="B2010" s="6" t="s">
        <v>4321</v>
      </c>
      <c r="C2010" s="4" t="s">
        <v>301</v>
      </c>
      <c r="D2010" s="4">
        <v>14</v>
      </c>
      <c r="E2010" s="4" t="s">
        <v>4325</v>
      </c>
      <c r="F2010" s="4" t="s">
        <v>4326</v>
      </c>
    </row>
    <row r="2011" spans="1:6">
      <c r="A2011" s="4" t="s">
        <v>4327</v>
      </c>
      <c r="B2011" s="6" t="s">
        <v>4321</v>
      </c>
      <c r="C2011" s="4" t="s">
        <v>315</v>
      </c>
      <c r="D2011" s="4">
        <v>16</v>
      </c>
      <c r="E2011" s="4" t="s">
        <v>4266</v>
      </c>
    </row>
    <row r="2012" spans="1:6">
      <c r="A2012" s="4" t="s">
        <v>4328</v>
      </c>
      <c r="B2012" s="6" t="s">
        <v>4321</v>
      </c>
      <c r="C2012" s="4" t="s">
        <v>19</v>
      </c>
      <c r="D2012" s="4">
        <v>11</v>
      </c>
      <c r="E2012" s="4" t="s">
        <v>4329</v>
      </c>
    </row>
    <row r="2013" spans="1:6">
      <c r="A2013" s="4" t="s">
        <v>4330</v>
      </c>
      <c r="B2013" s="6" t="s">
        <v>4321</v>
      </c>
      <c r="C2013" s="4" t="s">
        <v>1078</v>
      </c>
      <c r="D2013" s="4">
        <v>15</v>
      </c>
      <c r="E2013" s="4" t="s">
        <v>4329</v>
      </c>
    </row>
    <row r="2014" spans="1:6">
      <c r="A2014" s="4" t="s">
        <v>4331</v>
      </c>
      <c r="B2014" s="6" t="s">
        <v>4321</v>
      </c>
      <c r="C2014" s="4" t="s">
        <v>705</v>
      </c>
      <c r="D2014" s="4">
        <v>13</v>
      </c>
      <c r="E2014" s="4" t="s">
        <v>4329</v>
      </c>
    </row>
    <row r="2015" spans="1:6">
      <c r="A2015" s="4" t="s">
        <v>4332</v>
      </c>
      <c r="B2015" s="6" t="s">
        <v>4333</v>
      </c>
      <c r="C2015" s="4" t="s">
        <v>53</v>
      </c>
      <c r="D2015" s="4">
        <v>8</v>
      </c>
      <c r="E2015" s="4" t="s">
        <v>4234</v>
      </c>
    </row>
    <row r="2016" spans="1:6">
      <c r="A2016" s="4" t="s">
        <v>4334</v>
      </c>
      <c r="B2016" s="6" t="s">
        <v>4333</v>
      </c>
      <c r="C2016" s="4" t="s">
        <v>53</v>
      </c>
      <c r="D2016" s="4">
        <v>19</v>
      </c>
      <c r="E2016" s="4" t="s">
        <v>4240</v>
      </c>
    </row>
    <row r="2017" spans="1:6">
      <c r="A2017" s="4" t="s">
        <v>4335</v>
      </c>
      <c r="B2017" s="6" t="s">
        <v>4333</v>
      </c>
      <c r="C2017" s="4" t="s">
        <v>268</v>
      </c>
      <c r="D2017" s="4">
        <v>26</v>
      </c>
      <c r="E2017" s="4" t="s">
        <v>4240</v>
      </c>
    </row>
    <row r="2018" spans="1:6">
      <c r="A2018" s="4" t="s">
        <v>4336</v>
      </c>
      <c r="B2018" s="6" t="s">
        <v>4333</v>
      </c>
      <c r="C2018" s="4" t="s">
        <v>221</v>
      </c>
      <c r="D2018" s="4">
        <v>25</v>
      </c>
      <c r="E2018" s="4" t="s">
        <v>4234</v>
      </c>
    </row>
    <row r="2019" spans="1:6">
      <c r="A2019" s="4" t="s">
        <v>4337</v>
      </c>
      <c r="B2019" s="6" t="s">
        <v>4333</v>
      </c>
      <c r="C2019" s="4" t="s">
        <v>41</v>
      </c>
      <c r="D2019" s="4">
        <v>16</v>
      </c>
      <c r="E2019" s="4" t="s">
        <v>4234</v>
      </c>
    </row>
    <row r="2020" spans="1:6">
      <c r="A2020" s="4" t="s">
        <v>4338</v>
      </c>
      <c r="B2020" s="6" t="s">
        <v>4339</v>
      </c>
      <c r="C2020" s="4" t="s">
        <v>87</v>
      </c>
      <c r="D2020" s="4">
        <v>11</v>
      </c>
      <c r="E2020" s="4" t="s">
        <v>3968</v>
      </c>
      <c r="F2020" s="4" t="s">
        <v>4340</v>
      </c>
    </row>
    <row r="2021" spans="1:6">
      <c r="A2021" s="4" t="s">
        <v>4341</v>
      </c>
      <c r="B2021" s="6" t="s">
        <v>4339</v>
      </c>
      <c r="C2021" s="4" t="s">
        <v>4342</v>
      </c>
      <c r="D2021" s="4">
        <v>7</v>
      </c>
      <c r="E2021" s="4" t="s">
        <v>3968</v>
      </c>
      <c r="F2021" s="4" t="s">
        <v>4343</v>
      </c>
    </row>
    <row r="2022" spans="1:6">
      <c r="A2022" s="4" t="s">
        <v>4344</v>
      </c>
      <c r="B2022" s="6" t="s">
        <v>4339</v>
      </c>
      <c r="C2022" s="4" t="s">
        <v>53</v>
      </c>
      <c r="D2022" s="4">
        <v>11</v>
      </c>
      <c r="E2022" s="4" t="s">
        <v>3968</v>
      </c>
      <c r="F2022" s="4" t="s">
        <v>4345</v>
      </c>
    </row>
    <row r="2023" spans="1:6">
      <c r="A2023" s="4" t="s">
        <v>4346</v>
      </c>
      <c r="B2023" s="6" t="s">
        <v>4339</v>
      </c>
      <c r="C2023" s="4" t="s">
        <v>470</v>
      </c>
      <c r="D2023" s="4">
        <v>10</v>
      </c>
      <c r="E2023" s="4" t="s">
        <v>3968</v>
      </c>
      <c r="F2023" s="4" t="s">
        <v>4340</v>
      </c>
    </row>
    <row r="2024" spans="1:6">
      <c r="A2024" s="4" t="s">
        <v>4347</v>
      </c>
      <c r="B2024" s="6" t="s">
        <v>4348</v>
      </c>
      <c r="C2024" s="4" t="s">
        <v>254</v>
      </c>
      <c r="D2024" s="4">
        <v>10</v>
      </c>
      <c r="E2024" s="4" t="s">
        <v>3968</v>
      </c>
    </row>
    <row r="2025" spans="1:6">
      <c r="A2025" s="4" t="s">
        <v>4349</v>
      </c>
      <c r="B2025" s="6" t="s">
        <v>4350</v>
      </c>
      <c r="C2025" s="4" t="s">
        <v>448</v>
      </c>
      <c r="D2025" s="4">
        <v>6</v>
      </c>
      <c r="E2025" s="4" t="s">
        <v>3968</v>
      </c>
    </row>
    <row r="2026" spans="1:6">
      <c r="A2026" s="4" t="s">
        <v>4351</v>
      </c>
      <c r="B2026" s="6" t="s">
        <v>4350</v>
      </c>
      <c r="C2026" s="4" t="s">
        <v>1749</v>
      </c>
      <c r="D2026" s="4">
        <v>8</v>
      </c>
      <c r="E2026" s="4" t="s">
        <v>3968</v>
      </c>
    </row>
    <row r="2027" spans="1:6">
      <c r="A2027" s="4" t="s">
        <v>4352</v>
      </c>
      <c r="B2027" s="6" t="s">
        <v>4353</v>
      </c>
      <c r="C2027" s="4" t="s">
        <v>420</v>
      </c>
      <c r="D2027" s="4">
        <v>11</v>
      </c>
      <c r="E2027" s="4" t="s">
        <v>4354</v>
      </c>
    </row>
    <row r="2028" spans="1:6">
      <c r="A2028" s="4" t="s">
        <v>4355</v>
      </c>
      <c r="B2028" s="6" t="s">
        <v>4353</v>
      </c>
      <c r="C2028" s="4" t="s">
        <v>34</v>
      </c>
      <c r="D2028" s="4">
        <v>11</v>
      </c>
      <c r="E2028" s="4" t="s">
        <v>4354</v>
      </c>
      <c r="F2028" s="4" t="s">
        <v>4356</v>
      </c>
    </row>
    <row r="2029" spans="1:6">
      <c r="A2029" s="4" t="s">
        <v>4357</v>
      </c>
      <c r="B2029" s="6" t="s">
        <v>4358</v>
      </c>
      <c r="C2029" s="4" t="s">
        <v>1211</v>
      </c>
      <c r="D2029" s="4">
        <v>18</v>
      </c>
      <c r="E2029" s="4" t="s">
        <v>3968</v>
      </c>
      <c r="F2029" s="4" t="s">
        <v>4359</v>
      </c>
    </row>
    <row r="2030" spans="1:6">
      <c r="A2030" s="4" t="s">
        <v>4360</v>
      </c>
      <c r="B2030" s="6" t="s">
        <v>4358</v>
      </c>
      <c r="C2030" s="4" t="s">
        <v>1560</v>
      </c>
      <c r="D2030" s="4">
        <v>12</v>
      </c>
      <c r="E2030" s="4" t="s">
        <v>3968</v>
      </c>
      <c r="F2030" s="4" t="s">
        <v>4361</v>
      </c>
    </row>
    <row r="2031" spans="1:6">
      <c r="A2031" s="4" t="s">
        <v>4362</v>
      </c>
      <c r="B2031" s="6" t="s">
        <v>4358</v>
      </c>
      <c r="C2031" s="4" t="s">
        <v>37</v>
      </c>
      <c r="D2031" s="4">
        <v>15</v>
      </c>
      <c r="E2031" s="4" t="s">
        <v>3968</v>
      </c>
    </row>
    <row r="2032" spans="1:6">
      <c r="A2032" s="4" t="s">
        <v>4363</v>
      </c>
      <c r="B2032" s="6" t="s">
        <v>4358</v>
      </c>
      <c r="C2032" s="4" t="s">
        <v>405</v>
      </c>
      <c r="D2032" s="4">
        <v>9</v>
      </c>
      <c r="E2032" s="4" t="s">
        <v>3968</v>
      </c>
    </row>
    <row r="2033" spans="1:6">
      <c r="A2033" s="4" t="s">
        <v>4364</v>
      </c>
      <c r="B2033" s="6" t="s">
        <v>4358</v>
      </c>
      <c r="C2033" s="4" t="s">
        <v>3168</v>
      </c>
      <c r="D2033" s="4">
        <v>18</v>
      </c>
      <c r="E2033" s="4" t="s">
        <v>3968</v>
      </c>
    </row>
    <row r="2034" spans="1:6">
      <c r="A2034" s="4" t="s">
        <v>4365</v>
      </c>
      <c r="B2034" s="6" t="s">
        <v>4358</v>
      </c>
      <c r="C2034" s="4" t="s">
        <v>23</v>
      </c>
      <c r="D2034" s="4">
        <v>12</v>
      </c>
      <c r="E2034" s="4" t="s">
        <v>3968</v>
      </c>
    </row>
    <row r="2035" spans="1:6">
      <c r="A2035" s="4" t="s">
        <v>4366</v>
      </c>
      <c r="B2035" s="6" t="s">
        <v>4367</v>
      </c>
      <c r="C2035" s="4" t="s">
        <v>87</v>
      </c>
      <c r="D2035" s="4">
        <v>10</v>
      </c>
      <c r="E2035" s="4" t="s">
        <v>4368</v>
      </c>
      <c r="F2035" s="4" t="s">
        <v>4369</v>
      </c>
    </row>
    <row r="2036" spans="1:6">
      <c r="A2036" s="4" t="s">
        <v>4370</v>
      </c>
      <c r="B2036" s="6" t="s">
        <v>4367</v>
      </c>
      <c r="C2036" s="4" t="s">
        <v>420</v>
      </c>
      <c r="D2036" s="4">
        <v>10</v>
      </c>
      <c r="E2036" s="4" t="s">
        <v>4368</v>
      </c>
      <c r="F2036" s="4" t="s">
        <v>409</v>
      </c>
    </row>
    <row r="2037" spans="1:6">
      <c r="A2037" s="4" t="s">
        <v>4371</v>
      </c>
      <c r="B2037" s="6" t="s">
        <v>4367</v>
      </c>
      <c r="C2037" s="4" t="s">
        <v>485</v>
      </c>
      <c r="D2037" s="4">
        <v>12</v>
      </c>
      <c r="E2037" s="4" t="s">
        <v>4003</v>
      </c>
    </row>
    <row r="2038" spans="1:6">
      <c r="A2038" s="4" t="s">
        <v>4372</v>
      </c>
      <c r="B2038" s="6" t="s">
        <v>4367</v>
      </c>
      <c r="C2038" s="4" t="s">
        <v>271</v>
      </c>
      <c r="D2038" s="4">
        <v>15</v>
      </c>
      <c r="E2038" s="4" t="s">
        <v>4003</v>
      </c>
    </row>
    <row r="2039" spans="1:6">
      <c r="A2039" s="4" t="s">
        <v>4373</v>
      </c>
      <c r="B2039" s="6" t="s">
        <v>4367</v>
      </c>
      <c r="C2039" s="4" t="s">
        <v>57</v>
      </c>
      <c r="D2039" s="4">
        <v>14</v>
      </c>
      <c r="E2039" s="4" t="s">
        <v>4368</v>
      </c>
    </row>
    <row r="2040" spans="1:6">
      <c r="A2040" s="4" t="s">
        <v>4374</v>
      </c>
      <c r="B2040" s="6" t="s">
        <v>4367</v>
      </c>
      <c r="C2040" s="4" t="s">
        <v>296</v>
      </c>
      <c r="D2040" s="4">
        <v>13</v>
      </c>
      <c r="E2040" s="4" t="s">
        <v>4003</v>
      </c>
    </row>
    <row r="2041" spans="1:6">
      <c r="A2041" s="4" t="s">
        <v>4375</v>
      </c>
      <c r="B2041" s="6" t="s">
        <v>4367</v>
      </c>
      <c r="C2041" s="4" t="s">
        <v>57</v>
      </c>
      <c r="D2041" s="4">
        <v>11</v>
      </c>
      <c r="E2041" s="4" t="s">
        <v>4003</v>
      </c>
    </row>
    <row r="2042" spans="1:6">
      <c r="A2042" s="4" t="s">
        <v>4376</v>
      </c>
      <c r="B2042" s="6" t="s">
        <v>4367</v>
      </c>
      <c r="C2042" s="4" t="s">
        <v>23</v>
      </c>
      <c r="D2042" s="4">
        <v>18</v>
      </c>
      <c r="E2042" s="4" t="s">
        <v>4003</v>
      </c>
    </row>
    <row r="2043" spans="1:6">
      <c r="A2043" s="4" t="s">
        <v>4377</v>
      </c>
      <c r="B2043" s="6" t="s">
        <v>4378</v>
      </c>
      <c r="C2043" s="4" t="s">
        <v>296</v>
      </c>
      <c r="D2043" s="4">
        <v>10</v>
      </c>
      <c r="E2043" s="4" t="s">
        <v>4248</v>
      </c>
      <c r="F2043" s="4" t="s">
        <v>2432</v>
      </c>
    </row>
    <row r="2044" spans="1:6">
      <c r="A2044" s="4" t="s">
        <v>4379</v>
      </c>
      <c r="B2044" s="6" t="s">
        <v>4378</v>
      </c>
      <c r="C2044" s="4" t="s">
        <v>23</v>
      </c>
      <c r="D2044" s="4">
        <v>7</v>
      </c>
      <c r="E2044" s="4" t="s">
        <v>4240</v>
      </c>
    </row>
    <row r="2045" spans="1:6">
      <c r="A2045" s="4" t="s">
        <v>4380</v>
      </c>
      <c r="B2045" s="6" t="s">
        <v>4378</v>
      </c>
      <c r="C2045" s="4" t="s">
        <v>53</v>
      </c>
      <c r="D2045" s="4">
        <v>11</v>
      </c>
      <c r="E2045" s="4" t="s">
        <v>4240</v>
      </c>
    </row>
    <row r="2046" spans="1:6">
      <c r="A2046" s="4" t="s">
        <v>4381</v>
      </c>
      <c r="B2046" s="6" t="s">
        <v>4378</v>
      </c>
      <c r="C2046" s="4" t="s">
        <v>254</v>
      </c>
      <c r="D2046" s="4">
        <v>9</v>
      </c>
      <c r="E2046" s="4" t="s">
        <v>4240</v>
      </c>
    </row>
    <row r="2047" spans="1:6">
      <c r="A2047" s="4" t="s">
        <v>4382</v>
      </c>
      <c r="B2047" s="6" t="s">
        <v>4383</v>
      </c>
      <c r="C2047" s="4" t="s">
        <v>81</v>
      </c>
      <c r="D2047" s="4">
        <v>15</v>
      </c>
      <c r="E2047" s="4" t="s">
        <v>4248</v>
      </c>
      <c r="F2047" s="4" t="s">
        <v>4384</v>
      </c>
    </row>
    <row r="2048" spans="1:6">
      <c r="A2048" s="4" t="s">
        <v>4385</v>
      </c>
      <c r="B2048" s="6" t="s">
        <v>4383</v>
      </c>
      <c r="C2048" s="4" t="s">
        <v>87</v>
      </c>
      <c r="D2048" s="4">
        <v>18</v>
      </c>
      <c r="E2048" s="4" t="s">
        <v>4234</v>
      </c>
      <c r="F2048" s="4" t="s">
        <v>4386</v>
      </c>
    </row>
    <row r="2049" spans="1:6">
      <c r="A2049" s="4" t="s">
        <v>705</v>
      </c>
      <c r="B2049" s="6" t="s">
        <v>4387</v>
      </c>
      <c r="C2049" s="4" t="s">
        <v>705</v>
      </c>
      <c r="D2049" s="4">
        <v>2</v>
      </c>
      <c r="E2049" s="4" t="s">
        <v>4388</v>
      </c>
      <c r="F2049" s="4" t="s">
        <v>4389</v>
      </c>
    </row>
    <row r="2050" spans="1:6">
      <c r="A2050" s="4" t="s">
        <v>4390</v>
      </c>
      <c r="B2050" s="6" t="s">
        <v>4391</v>
      </c>
      <c r="C2050" s="4" t="s">
        <v>87</v>
      </c>
      <c r="D2050" s="4">
        <v>13</v>
      </c>
      <c r="E2050" s="4" t="s">
        <v>4368</v>
      </c>
      <c r="F2050" s="4" t="s">
        <v>4392</v>
      </c>
    </row>
    <row r="2051" spans="1:6">
      <c r="A2051" s="4" t="s">
        <v>4393</v>
      </c>
      <c r="B2051" s="6" t="s">
        <v>4391</v>
      </c>
      <c r="C2051" s="4" t="s">
        <v>53</v>
      </c>
      <c r="D2051" s="4">
        <v>14</v>
      </c>
      <c r="E2051" s="4" t="s">
        <v>4368</v>
      </c>
    </row>
    <row r="2052" spans="1:6">
      <c r="A2052" s="4" t="s">
        <v>4394</v>
      </c>
      <c r="B2052" s="6" t="s">
        <v>4391</v>
      </c>
      <c r="C2052" s="4" t="s">
        <v>76</v>
      </c>
      <c r="D2052" s="4">
        <v>15</v>
      </c>
      <c r="E2052" s="4" t="s">
        <v>4003</v>
      </c>
      <c r="F2052" s="4" t="s">
        <v>4395</v>
      </c>
    </row>
    <row r="2053" spans="1:6">
      <c r="A2053" s="4" t="s">
        <v>4396</v>
      </c>
      <c r="B2053" s="6" t="s">
        <v>4397</v>
      </c>
      <c r="C2053" s="4" t="s">
        <v>1106</v>
      </c>
      <c r="D2053" s="4">
        <v>19</v>
      </c>
      <c r="E2053" s="4" t="s">
        <v>3992</v>
      </c>
      <c r="F2053" s="4" t="s">
        <v>4398</v>
      </c>
    </row>
    <row r="2054" spans="1:6">
      <c r="A2054" s="4" t="s">
        <v>4399</v>
      </c>
      <c r="B2054" s="6" t="s">
        <v>4400</v>
      </c>
      <c r="C2054" s="4" t="s">
        <v>870</v>
      </c>
      <c r="D2054" s="4">
        <v>14</v>
      </c>
      <c r="F2054" s="4" t="s">
        <v>4401</v>
      </c>
    </row>
    <row r="2055" spans="1:6">
      <c r="A2055" s="4" t="s">
        <v>4402</v>
      </c>
      <c r="B2055" s="6" t="s">
        <v>4397</v>
      </c>
      <c r="C2055" s="4" t="s">
        <v>57</v>
      </c>
      <c r="D2055" s="4">
        <v>15</v>
      </c>
      <c r="E2055" s="4" t="s">
        <v>3992</v>
      </c>
    </row>
    <row r="2056" spans="1:6">
      <c r="A2056" s="4" t="s">
        <v>4403</v>
      </c>
      <c r="B2056" s="6" t="s">
        <v>4397</v>
      </c>
      <c r="C2056" s="4" t="s">
        <v>390</v>
      </c>
      <c r="D2056" s="4">
        <v>16</v>
      </c>
      <c r="E2056" s="4" t="s">
        <v>3992</v>
      </c>
      <c r="F2056" s="4" t="s">
        <v>4404</v>
      </c>
    </row>
    <row r="2057" spans="1:6">
      <c r="A2057" s="4" t="s">
        <v>4405</v>
      </c>
      <c r="B2057" s="6" t="s">
        <v>4397</v>
      </c>
      <c r="C2057" s="4" t="s">
        <v>1248</v>
      </c>
      <c r="D2057" s="4">
        <v>10</v>
      </c>
      <c r="E2057" s="4" t="s">
        <v>3992</v>
      </c>
      <c r="F2057" s="4" t="s">
        <v>4406</v>
      </c>
    </row>
    <row r="2058" spans="1:6">
      <c r="A2058" s="4" t="s">
        <v>4407</v>
      </c>
      <c r="B2058" s="6" t="s">
        <v>4408</v>
      </c>
      <c r="C2058" s="4" t="s">
        <v>1560</v>
      </c>
      <c r="D2058" s="4">
        <v>18</v>
      </c>
      <c r="E2058" s="4" t="s">
        <v>3992</v>
      </c>
    </row>
    <row r="2059" spans="1:6">
      <c r="A2059" s="4" t="s">
        <v>4409</v>
      </c>
      <c r="B2059" s="6" t="s">
        <v>4410</v>
      </c>
      <c r="C2059" s="4" t="s">
        <v>95</v>
      </c>
      <c r="D2059" s="4">
        <v>9</v>
      </c>
      <c r="E2059" s="4" t="s">
        <v>4017</v>
      </c>
    </row>
    <row r="2060" spans="1:6">
      <c r="A2060" s="4" t="s">
        <v>4411</v>
      </c>
      <c r="B2060" s="6" t="s">
        <v>4410</v>
      </c>
      <c r="C2060" s="4" t="s">
        <v>403</v>
      </c>
      <c r="D2060" s="4">
        <v>25</v>
      </c>
      <c r="E2060" s="4" t="s">
        <v>3992</v>
      </c>
    </row>
    <row r="2061" spans="1:6">
      <c r="A2061" s="4" t="s">
        <v>4412</v>
      </c>
      <c r="B2061" s="6" t="s">
        <v>4410</v>
      </c>
      <c r="C2061" s="4" t="s">
        <v>87</v>
      </c>
      <c r="D2061" s="4">
        <v>14</v>
      </c>
      <c r="E2061" s="4" t="s">
        <v>3992</v>
      </c>
    </row>
    <row r="2062" spans="1:6">
      <c r="A2062" s="4" t="s">
        <v>4413</v>
      </c>
      <c r="B2062" s="6" t="s">
        <v>4414</v>
      </c>
      <c r="C2062" s="4" t="s">
        <v>57</v>
      </c>
      <c r="D2062" s="4">
        <v>11</v>
      </c>
      <c r="E2062" s="4" t="s">
        <v>3992</v>
      </c>
    </row>
    <row r="2063" spans="1:6">
      <c r="A2063" s="4" t="s">
        <v>4415</v>
      </c>
      <c r="B2063" s="6" t="s">
        <v>4414</v>
      </c>
      <c r="C2063" s="4" t="s">
        <v>223</v>
      </c>
      <c r="D2063" s="4">
        <v>13</v>
      </c>
      <c r="E2063" s="4" t="s">
        <v>3992</v>
      </c>
      <c r="F2063" s="4" t="s">
        <v>4416</v>
      </c>
    </row>
    <row r="2064" spans="1:6">
      <c r="A2064" s="4" t="s">
        <v>1560</v>
      </c>
      <c r="B2064" s="6" t="s">
        <v>4414</v>
      </c>
      <c r="C2064" s="4" t="s">
        <v>1560</v>
      </c>
      <c r="D2064" s="4">
        <v>7</v>
      </c>
      <c r="E2064" s="4" t="s">
        <v>3992</v>
      </c>
      <c r="F2064" s="4" t="s">
        <v>4417</v>
      </c>
    </row>
    <row r="2065" spans="1:6">
      <c r="A2065" s="4" t="s">
        <v>4418</v>
      </c>
      <c r="B2065" s="6" t="s">
        <v>4414</v>
      </c>
      <c r="C2065" s="4" t="s">
        <v>605</v>
      </c>
      <c r="D2065" s="4">
        <v>15</v>
      </c>
      <c r="E2065" s="4" t="s">
        <v>3992</v>
      </c>
      <c r="F2065" s="4" t="s">
        <v>4419</v>
      </c>
    </row>
    <row r="2066" spans="1:6">
      <c r="A2066" s="4" t="s">
        <v>4420</v>
      </c>
      <c r="B2066" s="6" t="s">
        <v>4414</v>
      </c>
      <c r="C2066" s="4" t="s">
        <v>1129</v>
      </c>
      <c r="D2066" s="4">
        <v>18</v>
      </c>
      <c r="E2066" s="4" t="s">
        <v>3992</v>
      </c>
      <c r="F2066" s="4" t="s">
        <v>4421</v>
      </c>
    </row>
    <row r="2067" spans="1:6">
      <c r="A2067" s="4" t="s">
        <v>4422</v>
      </c>
      <c r="B2067" s="6" t="s">
        <v>4414</v>
      </c>
      <c r="C2067" s="4" t="s">
        <v>53</v>
      </c>
      <c r="D2067" s="4">
        <v>7</v>
      </c>
      <c r="E2067" s="4" t="s">
        <v>3992</v>
      </c>
    </row>
    <row r="2068" spans="1:6">
      <c r="A2068" s="4" t="s">
        <v>4423</v>
      </c>
      <c r="B2068" s="6" t="s">
        <v>4414</v>
      </c>
      <c r="C2068" s="4" t="s">
        <v>254</v>
      </c>
      <c r="D2068" s="4">
        <v>9</v>
      </c>
      <c r="E2068" s="4" t="s">
        <v>3992</v>
      </c>
    </row>
    <row r="2069" spans="1:6">
      <c r="A2069" s="4" t="s">
        <v>4424</v>
      </c>
      <c r="B2069" s="6" t="s">
        <v>4414</v>
      </c>
      <c r="C2069" s="4" t="s">
        <v>23</v>
      </c>
      <c r="D2069" s="4">
        <v>10</v>
      </c>
      <c r="E2069" s="4" t="s">
        <v>3992</v>
      </c>
    </row>
    <row r="2070" spans="1:6">
      <c r="A2070" s="4" t="s">
        <v>4425</v>
      </c>
      <c r="B2070" s="6" t="s">
        <v>4414</v>
      </c>
      <c r="C2070" s="4" t="s">
        <v>223</v>
      </c>
      <c r="D2070" s="4">
        <v>12</v>
      </c>
      <c r="E2070" s="4" t="s">
        <v>3992</v>
      </c>
      <c r="F2070" s="4" t="s">
        <v>4416</v>
      </c>
    </row>
    <row r="2071" spans="1:6">
      <c r="A2071" s="4" t="s">
        <v>4426</v>
      </c>
      <c r="B2071" s="6" t="s">
        <v>4427</v>
      </c>
      <c r="C2071" s="4" t="s">
        <v>87</v>
      </c>
      <c r="D2071" s="4">
        <v>10</v>
      </c>
      <c r="E2071" s="4" t="s">
        <v>3992</v>
      </c>
      <c r="F2071" s="4" t="s">
        <v>4428</v>
      </c>
    </row>
    <row r="2072" spans="1:6">
      <c r="A2072" s="4" t="s">
        <v>4429</v>
      </c>
      <c r="B2072" s="6" t="s">
        <v>4430</v>
      </c>
      <c r="C2072" s="4" t="s">
        <v>76</v>
      </c>
      <c r="D2072" s="4">
        <v>12</v>
      </c>
      <c r="E2072" s="4" t="s">
        <v>3992</v>
      </c>
    </row>
    <row r="2073" spans="1:6">
      <c r="A2073" s="4" t="s">
        <v>4431</v>
      </c>
      <c r="B2073" s="6" t="s">
        <v>4430</v>
      </c>
      <c r="C2073" s="4" t="s">
        <v>49</v>
      </c>
      <c r="D2073" s="4">
        <v>10</v>
      </c>
      <c r="E2073" s="4" t="s">
        <v>4432</v>
      </c>
    </row>
    <row r="2074" spans="1:6">
      <c r="A2074" s="4" t="s">
        <v>4433</v>
      </c>
      <c r="B2074" s="6" t="s">
        <v>4434</v>
      </c>
      <c r="C2074" s="4" t="s">
        <v>427</v>
      </c>
      <c r="D2074" s="4">
        <v>13</v>
      </c>
      <c r="E2074" s="4" t="s">
        <v>3992</v>
      </c>
    </row>
    <row r="2075" spans="1:6">
      <c r="A2075" s="4" t="s">
        <v>4435</v>
      </c>
      <c r="B2075" s="6" t="s">
        <v>4434</v>
      </c>
      <c r="C2075" s="4" t="s">
        <v>1129</v>
      </c>
      <c r="D2075" s="4">
        <v>18</v>
      </c>
      <c r="F2075" s="4" t="s">
        <v>4436</v>
      </c>
    </row>
    <row r="2076" spans="1:6">
      <c r="A2076" s="4" t="s">
        <v>4437</v>
      </c>
      <c r="B2076" s="6" t="s">
        <v>4434</v>
      </c>
      <c r="C2076" s="4" t="s">
        <v>37</v>
      </c>
      <c r="D2076" s="4">
        <v>12</v>
      </c>
      <c r="E2076" s="4" t="s">
        <v>3992</v>
      </c>
    </row>
    <row r="2077" spans="1:6">
      <c r="A2077" s="4" t="s">
        <v>4438</v>
      </c>
      <c r="B2077" s="6" t="s">
        <v>4439</v>
      </c>
      <c r="C2077" s="4" t="s">
        <v>4438</v>
      </c>
      <c r="D2077" s="4">
        <v>11</v>
      </c>
      <c r="E2077" s="4" t="s">
        <v>4440</v>
      </c>
      <c r="F2077" s="4" t="s">
        <v>4441</v>
      </c>
    </row>
    <row r="2078" spans="1:6">
      <c r="A2078" s="4" t="s">
        <v>4442</v>
      </c>
      <c r="B2078" s="6" t="s">
        <v>4439</v>
      </c>
      <c r="C2078" s="4" t="s">
        <v>34</v>
      </c>
      <c r="D2078" s="4">
        <v>15</v>
      </c>
      <c r="E2078" s="4" t="s">
        <v>4440</v>
      </c>
    </row>
    <row r="2079" spans="1:6">
      <c r="A2079" s="4" t="s">
        <v>4443</v>
      </c>
      <c r="B2079" s="6" t="s">
        <v>4439</v>
      </c>
      <c r="C2079" s="4" t="s">
        <v>485</v>
      </c>
      <c r="D2079" s="4">
        <v>16</v>
      </c>
      <c r="E2079" s="4" t="s">
        <v>4440</v>
      </c>
      <c r="F2079" s="4" t="s">
        <v>4444</v>
      </c>
    </row>
    <row r="2080" spans="1:6">
      <c r="A2080" s="4" t="s">
        <v>4445</v>
      </c>
      <c r="B2080" s="6" t="s">
        <v>4439</v>
      </c>
      <c r="C2080" s="4" t="s">
        <v>3168</v>
      </c>
      <c r="D2080" s="4">
        <v>21</v>
      </c>
      <c r="E2080" s="4" t="s">
        <v>4440</v>
      </c>
    </row>
    <row r="2081" spans="1:6">
      <c r="A2081" s="4" t="s">
        <v>4446</v>
      </c>
      <c r="B2081" s="6" t="s">
        <v>4439</v>
      </c>
      <c r="C2081" s="4" t="s">
        <v>4438</v>
      </c>
      <c r="D2081" s="4">
        <v>18</v>
      </c>
      <c r="F2081" s="4" t="s">
        <v>4447</v>
      </c>
    </row>
    <row r="2082" spans="1:6">
      <c r="A2082" s="4" t="s">
        <v>4448</v>
      </c>
      <c r="B2082" s="6" t="s">
        <v>4439</v>
      </c>
      <c r="C2082" s="4" t="s">
        <v>76</v>
      </c>
      <c r="D2082" s="4">
        <v>13</v>
      </c>
      <c r="E2082" s="4" t="s">
        <v>4449</v>
      </c>
    </row>
    <row r="2083" spans="1:6">
      <c r="A2083" s="4" t="s">
        <v>4450</v>
      </c>
      <c r="B2083" s="6" t="s">
        <v>4439</v>
      </c>
      <c r="C2083" s="4" t="s">
        <v>23</v>
      </c>
      <c r="D2083" s="4">
        <v>14</v>
      </c>
      <c r="E2083" s="4" t="s">
        <v>4440</v>
      </c>
    </row>
    <row r="2084" spans="1:6">
      <c r="A2084" s="4" t="s">
        <v>4451</v>
      </c>
      <c r="B2084" s="6" t="s">
        <v>4452</v>
      </c>
      <c r="C2084" s="4" t="s">
        <v>27</v>
      </c>
      <c r="D2084" s="4">
        <v>10</v>
      </c>
      <c r="E2084" s="4" t="s">
        <v>4453</v>
      </c>
      <c r="F2084" s="4" t="s">
        <v>4454</v>
      </c>
    </row>
    <row r="2085" spans="1:6">
      <c r="A2085" s="4" t="s">
        <v>4455</v>
      </c>
      <c r="B2085" s="6" t="s">
        <v>4452</v>
      </c>
      <c r="C2085" s="4" t="s">
        <v>53</v>
      </c>
      <c r="D2085" s="4">
        <v>8</v>
      </c>
      <c r="E2085" s="4" t="s">
        <v>4456</v>
      </c>
    </row>
    <row r="2086" spans="1:6">
      <c r="A2086" s="4" t="s">
        <v>4457</v>
      </c>
      <c r="B2086" s="6" t="s">
        <v>4452</v>
      </c>
      <c r="C2086" s="4" t="s">
        <v>53</v>
      </c>
      <c r="D2086" s="4">
        <v>10</v>
      </c>
      <c r="E2086" s="4" t="s">
        <v>3872</v>
      </c>
      <c r="F2086" s="4" t="s">
        <v>4458</v>
      </c>
    </row>
    <row r="2087" spans="1:6">
      <c r="A2087" s="4" t="s">
        <v>4459</v>
      </c>
      <c r="B2087" s="6" t="s">
        <v>4460</v>
      </c>
      <c r="C2087" s="4" t="s">
        <v>427</v>
      </c>
      <c r="D2087" s="4">
        <v>12</v>
      </c>
      <c r="E2087" s="4" t="s">
        <v>4461</v>
      </c>
    </row>
    <row r="2088" spans="1:6">
      <c r="A2088" s="4" t="s">
        <v>4462</v>
      </c>
      <c r="B2088" s="6" t="s">
        <v>4460</v>
      </c>
      <c r="C2088" s="4" t="s">
        <v>104</v>
      </c>
      <c r="D2088" s="4">
        <v>11</v>
      </c>
      <c r="E2088" s="4" t="s">
        <v>4463</v>
      </c>
    </row>
    <row r="2089" spans="1:6">
      <c r="A2089" s="4" t="s">
        <v>4464</v>
      </c>
      <c r="B2089" s="6" t="s">
        <v>4460</v>
      </c>
      <c r="C2089" s="4" t="s">
        <v>1129</v>
      </c>
      <c r="D2089" s="4">
        <v>22</v>
      </c>
      <c r="E2089" s="4" t="s">
        <v>4465</v>
      </c>
      <c r="F2089" s="4" t="s">
        <v>4466</v>
      </c>
    </row>
    <row r="2090" spans="1:6">
      <c r="A2090" s="4" t="s">
        <v>4467</v>
      </c>
      <c r="B2090" s="6" t="s">
        <v>4468</v>
      </c>
      <c r="C2090" s="4" t="s">
        <v>81</v>
      </c>
      <c r="D2090" s="4">
        <v>6</v>
      </c>
      <c r="E2090" s="4" t="s">
        <v>4469</v>
      </c>
      <c r="F2090" s="4" t="s">
        <v>4470</v>
      </c>
    </row>
    <row r="2091" spans="1:6">
      <c r="A2091" s="4" t="s">
        <v>4471</v>
      </c>
      <c r="B2091" s="6" t="s">
        <v>4468</v>
      </c>
      <c r="C2091" s="4" t="s">
        <v>49</v>
      </c>
      <c r="D2091" s="4">
        <v>9</v>
      </c>
      <c r="E2091" s="4" t="s">
        <v>428</v>
      </c>
    </row>
    <row r="2092" spans="1:6">
      <c r="A2092" s="4" t="s">
        <v>4472</v>
      </c>
      <c r="B2092" s="6" t="s">
        <v>4468</v>
      </c>
      <c r="C2092" s="4" t="s">
        <v>95</v>
      </c>
      <c r="D2092" s="4">
        <v>9</v>
      </c>
      <c r="E2092" s="4" t="s">
        <v>428</v>
      </c>
    </row>
    <row r="2093" spans="1:6">
      <c r="A2093" s="4" t="s">
        <v>4473</v>
      </c>
      <c r="B2093" s="6" t="s">
        <v>4474</v>
      </c>
      <c r="C2093" s="4" t="s">
        <v>4475</v>
      </c>
      <c r="D2093" s="4">
        <v>7</v>
      </c>
      <c r="E2093" s="4" t="s">
        <v>428</v>
      </c>
    </row>
    <row r="2094" spans="1:6">
      <c r="A2094" s="4" t="s">
        <v>4476</v>
      </c>
      <c r="B2094" s="6" t="s">
        <v>4477</v>
      </c>
      <c r="C2094" s="4" t="s">
        <v>995</v>
      </c>
      <c r="D2094" s="4">
        <v>8</v>
      </c>
      <c r="E2094" s="4" t="s">
        <v>4478</v>
      </c>
      <c r="F2094" s="4" t="s">
        <v>4479</v>
      </c>
    </row>
    <row r="2095" spans="1:6">
      <c r="A2095" s="4" t="s">
        <v>4480</v>
      </c>
      <c r="B2095" s="6" t="s">
        <v>4477</v>
      </c>
      <c r="C2095" s="4" t="s">
        <v>49</v>
      </c>
      <c r="D2095" s="4">
        <v>11</v>
      </c>
      <c r="E2095" s="4" t="s">
        <v>235</v>
      </c>
      <c r="F2095" s="4" t="s">
        <v>4481</v>
      </c>
    </row>
    <row r="2096" spans="1:6">
      <c r="A2096" s="4" t="s">
        <v>4482</v>
      </c>
      <c r="B2096" s="6" t="s">
        <v>4477</v>
      </c>
      <c r="C2096" s="4" t="s">
        <v>1581</v>
      </c>
      <c r="D2096" s="4">
        <v>8</v>
      </c>
      <c r="E2096" s="4" t="s">
        <v>428</v>
      </c>
    </row>
    <row r="2097" spans="1:6">
      <c r="A2097" s="4" t="s">
        <v>945</v>
      </c>
      <c r="B2097" s="6" t="s">
        <v>4483</v>
      </c>
      <c r="C2097" s="4" t="s">
        <v>945</v>
      </c>
      <c r="D2097" s="4">
        <v>4</v>
      </c>
      <c r="E2097" s="4" t="s">
        <v>4484</v>
      </c>
      <c r="F2097" s="4" t="s">
        <v>4485</v>
      </c>
    </row>
    <row r="2098" spans="1:6">
      <c r="A2098" s="4" t="s">
        <v>4486</v>
      </c>
      <c r="B2098" s="6" t="s">
        <v>4487</v>
      </c>
      <c r="C2098" s="4" t="s">
        <v>1211</v>
      </c>
      <c r="D2098" s="4">
        <v>10</v>
      </c>
      <c r="F2098" s="4" t="s">
        <v>4488</v>
      </c>
    </row>
    <row r="2099" spans="1:6">
      <c r="A2099" s="4" t="s">
        <v>4489</v>
      </c>
      <c r="B2099" s="6" t="s">
        <v>4483</v>
      </c>
      <c r="C2099" s="4" t="s">
        <v>296</v>
      </c>
      <c r="D2099" s="4">
        <v>10</v>
      </c>
      <c r="E2099" s="4" t="s">
        <v>428</v>
      </c>
    </row>
    <row r="2100" spans="1:6">
      <c r="A2100" s="4" t="s">
        <v>4490</v>
      </c>
      <c r="B2100" s="6" t="s">
        <v>4483</v>
      </c>
      <c r="C2100" s="4" t="s">
        <v>49</v>
      </c>
      <c r="D2100" s="4">
        <v>8</v>
      </c>
      <c r="E2100" s="4" t="s">
        <v>428</v>
      </c>
      <c r="F2100" s="4" t="s">
        <v>4491</v>
      </c>
    </row>
    <row r="2101" spans="1:6">
      <c r="A2101" s="4" t="s">
        <v>4492</v>
      </c>
      <c r="B2101" s="6" t="s">
        <v>4493</v>
      </c>
      <c r="C2101" s="4" t="s">
        <v>14</v>
      </c>
      <c r="D2101" s="4">
        <v>13</v>
      </c>
      <c r="E2101" s="4" t="s">
        <v>4494</v>
      </c>
    </row>
    <row r="2102" spans="1:6">
      <c r="A2102" s="4" t="s">
        <v>4495</v>
      </c>
      <c r="B2102" s="6" t="s">
        <v>4496</v>
      </c>
      <c r="C2102" s="4" t="s">
        <v>1211</v>
      </c>
      <c r="D2102" s="4">
        <v>12</v>
      </c>
      <c r="F2102" s="4" t="s">
        <v>4497</v>
      </c>
    </row>
    <row r="2103" spans="1:6">
      <c r="A2103" s="4" t="s">
        <v>268</v>
      </c>
      <c r="B2103" s="6" t="s">
        <v>4498</v>
      </c>
      <c r="C2103" s="4" t="s">
        <v>268</v>
      </c>
      <c r="D2103" s="4">
        <v>10</v>
      </c>
      <c r="E2103" s="4" t="s">
        <v>4499</v>
      </c>
      <c r="F2103" s="4" t="s">
        <v>4500</v>
      </c>
    </row>
    <row r="2104" spans="1:6">
      <c r="A2104" s="4" t="s">
        <v>4501</v>
      </c>
      <c r="B2104" s="6" t="s">
        <v>4502</v>
      </c>
      <c r="C2104" s="4" t="s">
        <v>453</v>
      </c>
      <c r="D2104" s="4">
        <v>12</v>
      </c>
      <c r="E2104" s="4" t="s">
        <v>638</v>
      </c>
      <c r="F2104" s="4" t="s">
        <v>4503</v>
      </c>
    </row>
    <row r="2105" spans="1:6">
      <c r="A2105" s="4" t="s">
        <v>4504</v>
      </c>
      <c r="B2105" s="6" t="s">
        <v>4505</v>
      </c>
      <c r="C2105" s="4" t="s">
        <v>87</v>
      </c>
      <c r="D2105" s="4">
        <v>12</v>
      </c>
      <c r="E2105" s="4" t="s">
        <v>4463</v>
      </c>
      <c r="F2105" s="4" t="s">
        <v>4506</v>
      </c>
    </row>
    <row r="2106" spans="1:6">
      <c r="A2106" s="4" t="s">
        <v>4507</v>
      </c>
      <c r="B2106" s="6" t="s">
        <v>4508</v>
      </c>
      <c r="C2106" s="4" t="s">
        <v>427</v>
      </c>
      <c r="D2106" s="4">
        <v>15</v>
      </c>
      <c r="E2106" s="4" t="s">
        <v>428</v>
      </c>
    </row>
    <row r="2107" spans="1:6">
      <c r="A2107" s="4" t="s">
        <v>4509</v>
      </c>
      <c r="B2107" s="6" t="s">
        <v>4510</v>
      </c>
      <c r="C2107" s="4" t="s">
        <v>1248</v>
      </c>
      <c r="D2107" s="4">
        <v>11</v>
      </c>
      <c r="E2107" s="4" t="s">
        <v>4484</v>
      </c>
      <c r="F2107" s="4" t="s">
        <v>4511</v>
      </c>
    </row>
    <row r="2108" spans="1:6">
      <c r="A2108" s="4" t="s">
        <v>342</v>
      </c>
      <c r="B2108" s="6" t="s">
        <v>4510</v>
      </c>
      <c r="C2108" s="4" t="s">
        <v>342</v>
      </c>
      <c r="D2108" s="4">
        <v>5</v>
      </c>
      <c r="E2108" s="4" t="s">
        <v>4512</v>
      </c>
      <c r="F2108" s="4" t="s">
        <v>4513</v>
      </c>
    </row>
    <row r="2109" spans="1:6">
      <c r="A2109" s="4" t="s">
        <v>4514</v>
      </c>
      <c r="B2109" s="6" t="s">
        <v>4515</v>
      </c>
      <c r="C2109" s="4" t="s">
        <v>4514</v>
      </c>
      <c r="D2109" s="4">
        <v>13</v>
      </c>
      <c r="E2109" s="4" t="s">
        <v>4516</v>
      </c>
    </row>
    <row r="2110" spans="1:6">
      <c r="A2110" s="4" t="s">
        <v>4517</v>
      </c>
      <c r="B2110" s="6" t="s">
        <v>4518</v>
      </c>
      <c r="C2110" s="4" t="s">
        <v>173</v>
      </c>
      <c r="D2110" s="4">
        <v>5</v>
      </c>
      <c r="E2110" s="4" t="s">
        <v>428</v>
      </c>
      <c r="F2110" s="4" t="s">
        <v>4519</v>
      </c>
    </row>
    <row r="2111" spans="1:6">
      <c r="A2111" s="4" t="s">
        <v>4520</v>
      </c>
      <c r="B2111" s="6" t="s">
        <v>4518</v>
      </c>
      <c r="C2111" s="4" t="s">
        <v>104</v>
      </c>
      <c r="D2111" s="4">
        <v>9</v>
      </c>
      <c r="E2111" s="4" t="s">
        <v>428</v>
      </c>
      <c r="F2111" s="4" t="s">
        <v>4521</v>
      </c>
    </row>
    <row r="2112" spans="1:6">
      <c r="A2112" s="4" t="s">
        <v>4522</v>
      </c>
      <c r="B2112" s="6" t="s">
        <v>4518</v>
      </c>
      <c r="C2112" s="4" t="s">
        <v>1569</v>
      </c>
      <c r="D2112" s="4">
        <v>5</v>
      </c>
      <c r="E2112" s="4" t="s">
        <v>428</v>
      </c>
      <c r="F2112" s="4" t="s">
        <v>4519</v>
      </c>
    </row>
    <row r="2113" spans="1:6">
      <c r="A2113" s="4" t="s">
        <v>4523</v>
      </c>
      <c r="B2113" s="6" t="s">
        <v>4524</v>
      </c>
      <c r="C2113" s="4" t="s">
        <v>390</v>
      </c>
      <c r="D2113" s="4">
        <v>15</v>
      </c>
      <c r="E2113" s="4" t="s">
        <v>328</v>
      </c>
      <c r="F2113" s="4" t="s">
        <v>4525</v>
      </c>
    </row>
    <row r="2114" spans="1:6">
      <c r="A2114" s="4" t="s">
        <v>4526</v>
      </c>
      <c r="B2114" s="6" t="s">
        <v>4527</v>
      </c>
      <c r="C2114" s="4" t="s">
        <v>87</v>
      </c>
      <c r="D2114" s="4">
        <v>13</v>
      </c>
      <c r="E2114" s="4" t="s">
        <v>687</v>
      </c>
    </row>
    <row r="2115" spans="1:6">
      <c r="A2115" s="4" t="s">
        <v>4528</v>
      </c>
      <c r="B2115" s="6" t="s">
        <v>4527</v>
      </c>
      <c r="C2115" s="4" t="s">
        <v>238</v>
      </c>
      <c r="D2115" s="4">
        <v>13</v>
      </c>
      <c r="E2115" s="4" t="s">
        <v>4529</v>
      </c>
    </row>
    <row r="2116" spans="1:6">
      <c r="A2116" s="4" t="s">
        <v>4530</v>
      </c>
      <c r="B2116" s="6" t="s">
        <v>4527</v>
      </c>
      <c r="C2116" s="4" t="s">
        <v>45</v>
      </c>
      <c r="D2116" s="4">
        <v>13</v>
      </c>
      <c r="E2116" s="4" t="s">
        <v>4529</v>
      </c>
    </row>
    <row r="2117" spans="1:6">
      <c r="A2117" s="4" t="s">
        <v>4531</v>
      </c>
      <c r="B2117" s="6" t="s">
        <v>4532</v>
      </c>
      <c r="C2117" s="4" t="s">
        <v>860</v>
      </c>
      <c r="D2117" s="4">
        <v>10</v>
      </c>
      <c r="E2117" s="4" t="s">
        <v>4533</v>
      </c>
    </row>
    <row r="2118" spans="1:6">
      <c r="A2118" s="4" t="s">
        <v>4534</v>
      </c>
      <c r="B2118" s="6" t="s">
        <v>4532</v>
      </c>
      <c r="C2118" s="4" t="s">
        <v>4534</v>
      </c>
      <c r="D2118" s="4">
        <v>7</v>
      </c>
      <c r="E2118" s="4" t="s">
        <v>687</v>
      </c>
      <c r="F2118" s="4" t="s">
        <v>4535</v>
      </c>
    </row>
    <row r="2119" spans="1:6">
      <c r="A2119" s="4" t="s">
        <v>4536</v>
      </c>
      <c r="B2119" s="6" t="s">
        <v>4537</v>
      </c>
      <c r="C2119" s="4" t="s">
        <v>2506</v>
      </c>
      <c r="D2119" s="4">
        <v>7</v>
      </c>
      <c r="E2119" s="4" t="s">
        <v>3872</v>
      </c>
      <c r="F2119" s="4" t="s">
        <v>4538</v>
      </c>
    </row>
    <row r="2120" spans="1:6">
      <c r="A2120" s="4" t="s">
        <v>4539</v>
      </c>
      <c r="B2120" s="6" t="s">
        <v>4537</v>
      </c>
      <c r="C2120" s="4" t="s">
        <v>520</v>
      </c>
      <c r="D2120" s="4">
        <v>16</v>
      </c>
      <c r="E2120" s="4" t="s">
        <v>4453</v>
      </c>
    </row>
    <row r="2121" spans="1:6">
      <c r="A2121" s="4" t="s">
        <v>4540</v>
      </c>
      <c r="B2121" s="6" t="s">
        <v>4537</v>
      </c>
      <c r="C2121" s="4" t="s">
        <v>453</v>
      </c>
      <c r="D2121" s="4">
        <v>15</v>
      </c>
      <c r="E2121" s="4" t="s">
        <v>3872</v>
      </c>
      <c r="F2121" s="4" t="s">
        <v>4538</v>
      </c>
    </row>
    <row r="2122" spans="1:6">
      <c r="A2122" s="4" t="s">
        <v>4541</v>
      </c>
      <c r="B2122" s="6" t="s">
        <v>4542</v>
      </c>
      <c r="C2122" s="4" t="s">
        <v>81</v>
      </c>
      <c r="D2122" s="4">
        <v>14</v>
      </c>
      <c r="E2122" s="4" t="s">
        <v>4543</v>
      </c>
    </row>
    <row r="2123" spans="1:6">
      <c r="A2123" s="4" t="s">
        <v>4544</v>
      </c>
      <c r="B2123" s="6" t="s">
        <v>4542</v>
      </c>
      <c r="C2123" s="4" t="s">
        <v>49</v>
      </c>
      <c r="D2123" s="4">
        <v>14</v>
      </c>
      <c r="E2123" s="4" t="s">
        <v>4545</v>
      </c>
      <c r="F2123" s="4" t="s">
        <v>2774</v>
      </c>
    </row>
    <row r="2124" spans="1:6">
      <c r="A2124" s="4" t="s">
        <v>4546</v>
      </c>
      <c r="B2124" s="6" t="s">
        <v>4542</v>
      </c>
      <c r="C2124" s="4" t="s">
        <v>238</v>
      </c>
      <c r="D2124" s="4">
        <v>14</v>
      </c>
      <c r="E2124" s="4" t="s">
        <v>4545</v>
      </c>
    </row>
    <row r="2125" spans="1:6">
      <c r="A2125" s="4" t="s">
        <v>4547</v>
      </c>
      <c r="B2125" s="6" t="s">
        <v>4548</v>
      </c>
      <c r="C2125" s="4" t="s">
        <v>87</v>
      </c>
      <c r="D2125" s="4">
        <v>14</v>
      </c>
      <c r="E2125" s="4" t="s">
        <v>4465</v>
      </c>
    </row>
    <row r="2126" spans="1:6">
      <c r="A2126" s="4" t="s">
        <v>4549</v>
      </c>
      <c r="B2126" s="6" t="s">
        <v>4550</v>
      </c>
      <c r="C2126" s="4" t="s">
        <v>708</v>
      </c>
      <c r="D2126" s="4">
        <v>8</v>
      </c>
      <c r="E2126" s="4" t="s">
        <v>4478</v>
      </c>
    </row>
    <row r="2127" spans="1:6">
      <c r="A2127" s="4" t="s">
        <v>4551</v>
      </c>
      <c r="B2127" s="6" t="s">
        <v>4552</v>
      </c>
      <c r="C2127" s="4" t="s">
        <v>238</v>
      </c>
      <c r="D2127" s="4">
        <v>12</v>
      </c>
      <c r="E2127" s="4" t="s">
        <v>428</v>
      </c>
    </row>
    <row r="2128" spans="1:6">
      <c r="A2128" s="4" t="s">
        <v>4553</v>
      </c>
      <c r="B2128" s="6" t="s">
        <v>4552</v>
      </c>
      <c r="C2128" s="4" t="s">
        <v>311</v>
      </c>
      <c r="D2128" s="4">
        <v>14</v>
      </c>
      <c r="E2128" s="4" t="s">
        <v>4554</v>
      </c>
    </row>
    <row r="2129" spans="1:6">
      <c r="A2129" s="4" t="s">
        <v>4555</v>
      </c>
      <c r="B2129" s="6" t="s">
        <v>4552</v>
      </c>
      <c r="C2129" s="4" t="s">
        <v>2610</v>
      </c>
      <c r="D2129" s="4">
        <v>10</v>
      </c>
      <c r="E2129" s="4" t="s">
        <v>4478</v>
      </c>
    </row>
    <row r="2130" spans="1:6">
      <c r="A2130" s="4" t="s">
        <v>4556</v>
      </c>
      <c r="B2130" s="6" t="s">
        <v>4557</v>
      </c>
      <c r="C2130" s="4" t="s">
        <v>995</v>
      </c>
      <c r="D2130" s="4">
        <v>9</v>
      </c>
      <c r="E2130" s="4" t="s">
        <v>428</v>
      </c>
      <c r="F2130" s="4" t="s">
        <v>4558</v>
      </c>
    </row>
    <row r="2131" spans="1:6">
      <c r="A2131" s="4" t="s">
        <v>4559</v>
      </c>
      <c r="B2131" s="6" t="s">
        <v>4560</v>
      </c>
      <c r="C2131" s="4" t="s">
        <v>34</v>
      </c>
      <c r="D2131" s="4">
        <v>8</v>
      </c>
      <c r="E2131" s="4" t="s">
        <v>4561</v>
      </c>
    </row>
    <row r="2132" spans="1:6">
      <c r="A2132" s="4" t="s">
        <v>4562</v>
      </c>
      <c r="B2132" s="6" t="s">
        <v>4560</v>
      </c>
      <c r="C2132" s="4" t="s">
        <v>53</v>
      </c>
      <c r="D2132" s="4">
        <v>5</v>
      </c>
      <c r="E2132" s="4" t="s">
        <v>4561</v>
      </c>
      <c r="F2132" s="4" t="s">
        <v>1979</v>
      </c>
    </row>
    <row r="2133" spans="1:6">
      <c r="A2133" s="4" t="s">
        <v>4563</v>
      </c>
      <c r="B2133" s="6" t="s">
        <v>4560</v>
      </c>
      <c r="C2133" s="4" t="s">
        <v>49</v>
      </c>
      <c r="D2133" s="4">
        <v>8</v>
      </c>
      <c r="E2133" s="4" t="s">
        <v>4561</v>
      </c>
    </row>
    <row r="2134" spans="1:6">
      <c r="A2134" s="4" t="s">
        <v>4564</v>
      </c>
      <c r="B2134" s="6" t="s">
        <v>4560</v>
      </c>
      <c r="C2134" s="4" t="s">
        <v>87</v>
      </c>
      <c r="D2134" s="4">
        <v>8</v>
      </c>
      <c r="E2134" s="4" t="s">
        <v>4561</v>
      </c>
      <c r="F2134" s="4" t="s">
        <v>4565</v>
      </c>
    </row>
    <row r="2135" spans="1:6">
      <c r="A2135" s="4" t="s">
        <v>4566</v>
      </c>
      <c r="B2135" s="6" t="s">
        <v>4567</v>
      </c>
      <c r="C2135" s="4" t="s">
        <v>285</v>
      </c>
      <c r="D2135" s="4">
        <v>8</v>
      </c>
      <c r="E2135" s="4" t="s">
        <v>4568</v>
      </c>
    </row>
    <row r="2136" spans="1:6">
      <c r="A2136" s="4" t="s">
        <v>4569</v>
      </c>
      <c r="B2136" s="6" t="s">
        <v>4570</v>
      </c>
      <c r="C2136" s="4" t="s">
        <v>4569</v>
      </c>
      <c r="D2136" s="4">
        <v>5</v>
      </c>
      <c r="E2136" s="4" t="s">
        <v>4571</v>
      </c>
      <c r="F2136" s="4" t="s">
        <v>4572</v>
      </c>
    </row>
    <row r="2137" spans="1:6">
      <c r="A2137" s="4" t="s">
        <v>4573</v>
      </c>
      <c r="B2137" s="6" t="s">
        <v>4570</v>
      </c>
      <c r="C2137" s="4" t="s">
        <v>995</v>
      </c>
      <c r="D2137" s="4">
        <v>11</v>
      </c>
      <c r="E2137" s="4" t="s">
        <v>428</v>
      </c>
      <c r="F2137" s="4" t="s">
        <v>2415</v>
      </c>
    </row>
    <row r="2138" spans="1:6">
      <c r="A2138" s="4" t="s">
        <v>4574</v>
      </c>
      <c r="B2138" s="6" t="s">
        <v>4570</v>
      </c>
      <c r="C2138" s="4" t="s">
        <v>2111</v>
      </c>
      <c r="D2138" s="4">
        <v>6</v>
      </c>
      <c r="E2138" s="4" t="s">
        <v>4575</v>
      </c>
    </row>
    <row r="2139" spans="1:6">
      <c r="A2139" s="4" t="s">
        <v>4576</v>
      </c>
      <c r="B2139" s="6" t="s">
        <v>4577</v>
      </c>
      <c r="C2139" s="4" t="s">
        <v>414</v>
      </c>
      <c r="D2139" s="4">
        <v>10</v>
      </c>
      <c r="E2139" s="4" t="s">
        <v>4578</v>
      </c>
      <c r="F2139" s="4" t="s">
        <v>4579</v>
      </c>
    </row>
    <row r="2140" spans="1:6">
      <c r="A2140" s="4" t="s">
        <v>4580</v>
      </c>
      <c r="B2140" s="6" t="s">
        <v>4577</v>
      </c>
      <c r="C2140" s="4" t="s">
        <v>104</v>
      </c>
      <c r="D2140" s="4">
        <v>8</v>
      </c>
      <c r="E2140" s="4" t="s">
        <v>4578</v>
      </c>
    </row>
    <row r="2141" spans="1:6">
      <c r="A2141" s="4" t="s">
        <v>4581</v>
      </c>
      <c r="B2141" s="6" t="s">
        <v>4577</v>
      </c>
      <c r="C2141" s="4" t="s">
        <v>81</v>
      </c>
      <c r="D2141" s="4">
        <v>13</v>
      </c>
      <c r="E2141" s="4" t="s">
        <v>4578</v>
      </c>
    </row>
    <row r="2142" spans="1:6">
      <c r="A2142" s="4" t="s">
        <v>4582</v>
      </c>
      <c r="B2142" s="6" t="s">
        <v>4577</v>
      </c>
      <c r="C2142" s="4" t="s">
        <v>81</v>
      </c>
      <c r="D2142" s="4">
        <v>15</v>
      </c>
      <c r="E2142" s="4" t="s">
        <v>4578</v>
      </c>
    </row>
    <row r="2143" spans="1:6">
      <c r="A2143" s="4" t="s">
        <v>4583</v>
      </c>
      <c r="B2143" s="6" t="s">
        <v>4584</v>
      </c>
      <c r="C2143" s="4" t="s">
        <v>87</v>
      </c>
      <c r="D2143" s="4">
        <v>8</v>
      </c>
      <c r="E2143" s="4" t="s">
        <v>4568</v>
      </c>
    </row>
    <row r="2144" spans="1:6">
      <c r="A2144" s="4" t="s">
        <v>4585</v>
      </c>
      <c r="B2144" s="6" t="s">
        <v>4586</v>
      </c>
      <c r="C2144" s="4" t="s">
        <v>1835</v>
      </c>
      <c r="D2144" s="4">
        <v>5</v>
      </c>
      <c r="E2144" s="4" t="s">
        <v>4587</v>
      </c>
      <c r="F2144" s="4" t="s">
        <v>4588</v>
      </c>
    </row>
    <row r="2145" spans="1:6">
      <c r="A2145" s="4" t="s">
        <v>4589</v>
      </c>
      <c r="B2145" s="6" t="s">
        <v>4586</v>
      </c>
      <c r="C2145" s="4" t="s">
        <v>420</v>
      </c>
      <c r="D2145" s="4">
        <v>10</v>
      </c>
      <c r="E2145" s="4" t="s">
        <v>4590</v>
      </c>
      <c r="F2145" s="4" t="s">
        <v>4591</v>
      </c>
    </row>
    <row r="2146" spans="1:6">
      <c r="A2146" s="4" t="s">
        <v>4592</v>
      </c>
      <c r="B2146" s="6" t="s">
        <v>4586</v>
      </c>
      <c r="C2146" s="4" t="s">
        <v>2111</v>
      </c>
      <c r="D2146" s="4">
        <v>7</v>
      </c>
      <c r="E2146" s="4" t="s">
        <v>4593</v>
      </c>
      <c r="F2146" s="4" t="s">
        <v>4594</v>
      </c>
    </row>
    <row r="2147" spans="1:6">
      <c r="A2147" s="4" t="s">
        <v>4595</v>
      </c>
      <c r="B2147" s="6" t="s">
        <v>4586</v>
      </c>
      <c r="C2147" s="4" t="s">
        <v>34</v>
      </c>
      <c r="D2147" s="4">
        <v>8</v>
      </c>
      <c r="E2147" s="4" t="s">
        <v>4596</v>
      </c>
    </row>
    <row r="2148" spans="1:6">
      <c r="A2148" s="4" t="s">
        <v>4597</v>
      </c>
      <c r="B2148" s="6" t="s">
        <v>4586</v>
      </c>
      <c r="C2148" s="4" t="s">
        <v>14</v>
      </c>
      <c r="D2148" s="4">
        <v>8</v>
      </c>
      <c r="E2148" s="4" t="s">
        <v>4598</v>
      </c>
    </row>
    <row r="2149" spans="1:6">
      <c r="A2149" s="4" t="s">
        <v>4599</v>
      </c>
      <c r="B2149" s="6" t="s">
        <v>4600</v>
      </c>
      <c r="C2149" s="4" t="s">
        <v>1211</v>
      </c>
      <c r="D2149" s="4">
        <v>8</v>
      </c>
      <c r="F2149" s="4" t="s">
        <v>4601</v>
      </c>
    </row>
    <row r="2150" spans="1:6">
      <c r="A2150" s="4" t="s">
        <v>4602</v>
      </c>
      <c r="B2150" s="6" t="s">
        <v>4603</v>
      </c>
      <c r="C2150" s="4" t="s">
        <v>45</v>
      </c>
      <c r="D2150" s="4">
        <v>11</v>
      </c>
      <c r="E2150" s="4" t="s">
        <v>4604</v>
      </c>
      <c r="F2150" s="4" t="s">
        <v>4605</v>
      </c>
    </row>
    <row r="2151" spans="1:6">
      <c r="A2151" s="4" t="s">
        <v>4606</v>
      </c>
      <c r="B2151" s="6" t="s">
        <v>4603</v>
      </c>
      <c r="C2151" s="4" t="s">
        <v>427</v>
      </c>
      <c r="D2151" s="4">
        <v>14</v>
      </c>
      <c r="E2151" s="4" t="s">
        <v>4604</v>
      </c>
    </row>
    <row r="2152" spans="1:6">
      <c r="A2152" s="4" t="s">
        <v>4607</v>
      </c>
      <c r="B2152" s="6" t="s">
        <v>4608</v>
      </c>
      <c r="C2152" s="4" t="s">
        <v>49</v>
      </c>
      <c r="D2152" s="4">
        <v>8</v>
      </c>
      <c r="E2152" s="4" t="s">
        <v>4609</v>
      </c>
      <c r="F2152" s="4" t="s">
        <v>4610</v>
      </c>
    </row>
    <row r="2153" spans="1:6">
      <c r="A2153" s="4" t="s">
        <v>4611</v>
      </c>
      <c r="B2153" s="6" t="s">
        <v>4608</v>
      </c>
      <c r="C2153" s="4" t="s">
        <v>453</v>
      </c>
      <c r="D2153" s="4">
        <v>12</v>
      </c>
      <c r="E2153" s="4" t="s">
        <v>428</v>
      </c>
    </row>
    <row r="2154" spans="1:6">
      <c r="A2154" s="4" t="s">
        <v>4612</v>
      </c>
      <c r="B2154" s="6" t="s">
        <v>4608</v>
      </c>
      <c r="C2154" s="4" t="s">
        <v>1078</v>
      </c>
      <c r="D2154" s="4">
        <v>5</v>
      </c>
      <c r="E2154" s="4" t="s">
        <v>4598</v>
      </c>
      <c r="F2154" s="4" t="s">
        <v>4613</v>
      </c>
    </row>
    <row r="2155" spans="1:6">
      <c r="A2155" s="4" t="s">
        <v>4614</v>
      </c>
      <c r="B2155" s="6" t="s">
        <v>4608</v>
      </c>
      <c r="C2155" s="4" t="s">
        <v>81</v>
      </c>
      <c r="D2155" s="4">
        <v>17</v>
      </c>
      <c r="E2155" s="4" t="s">
        <v>428</v>
      </c>
    </row>
    <row r="2156" spans="1:6">
      <c r="A2156" s="4" t="s">
        <v>4615</v>
      </c>
      <c r="B2156" s="6" t="s">
        <v>4608</v>
      </c>
      <c r="C2156" s="4" t="s">
        <v>223</v>
      </c>
      <c r="D2156" s="4">
        <v>11</v>
      </c>
      <c r="E2156" s="4" t="s">
        <v>428</v>
      </c>
    </row>
    <row r="2157" spans="1:6">
      <c r="A2157" s="4" t="s">
        <v>4616</v>
      </c>
      <c r="B2157" s="6" t="s">
        <v>4608</v>
      </c>
      <c r="C2157" s="4" t="s">
        <v>53</v>
      </c>
      <c r="D2157" s="4">
        <v>13</v>
      </c>
      <c r="E2157" s="4" t="s">
        <v>428</v>
      </c>
    </row>
    <row r="2158" spans="1:6">
      <c r="A2158" s="4" t="s">
        <v>4617</v>
      </c>
      <c r="B2158" s="6" t="s">
        <v>4618</v>
      </c>
      <c r="C2158" s="4" t="s">
        <v>140</v>
      </c>
      <c r="D2158" s="4">
        <v>15</v>
      </c>
      <c r="E2158" s="4" t="s">
        <v>4619</v>
      </c>
      <c r="F2158" s="4" t="s">
        <v>4620</v>
      </c>
    </row>
    <row r="2159" spans="1:6">
      <c r="A2159" s="4" t="s">
        <v>4621</v>
      </c>
      <c r="B2159" s="6" t="s">
        <v>4618</v>
      </c>
      <c r="C2159" s="4" t="s">
        <v>27</v>
      </c>
      <c r="D2159" s="4">
        <v>14</v>
      </c>
      <c r="E2159" s="4" t="s">
        <v>689</v>
      </c>
      <c r="F2159" s="4" t="s">
        <v>4622</v>
      </c>
    </row>
    <row r="2160" spans="1:6">
      <c r="A2160" s="4" t="s">
        <v>4623</v>
      </c>
      <c r="B2160" s="6" t="s">
        <v>4618</v>
      </c>
      <c r="C2160" s="4" t="s">
        <v>140</v>
      </c>
      <c r="D2160" s="4">
        <v>16</v>
      </c>
      <c r="E2160" s="4" t="s">
        <v>4619</v>
      </c>
      <c r="F2160" s="4" t="s">
        <v>4620</v>
      </c>
    </row>
    <row r="2161" spans="1:6">
      <c r="A2161" s="4" t="s">
        <v>4624</v>
      </c>
      <c r="B2161" s="6" t="s">
        <v>4625</v>
      </c>
      <c r="C2161" s="4" t="s">
        <v>275</v>
      </c>
      <c r="D2161" s="4">
        <v>9</v>
      </c>
      <c r="E2161" s="4" t="s">
        <v>4626</v>
      </c>
      <c r="F2161" s="4" t="s">
        <v>4627</v>
      </c>
    </row>
    <row r="2162" spans="1:6">
      <c r="A2162" s="4" t="s">
        <v>4628</v>
      </c>
      <c r="B2162" s="6" t="s">
        <v>4625</v>
      </c>
      <c r="C2162" s="4" t="s">
        <v>37</v>
      </c>
      <c r="D2162" s="4">
        <v>17</v>
      </c>
      <c r="E2162" s="4" t="s">
        <v>4626</v>
      </c>
      <c r="F2162" s="4" t="s">
        <v>4629</v>
      </c>
    </row>
    <row r="2163" spans="1:6">
      <c r="A2163" s="4" t="s">
        <v>4630</v>
      </c>
      <c r="B2163" s="6" t="s">
        <v>4631</v>
      </c>
    </row>
    <row r="2164" spans="1:6">
      <c r="A2164" s="4" t="s">
        <v>1211</v>
      </c>
      <c r="B2164" s="6" t="s">
        <v>4632</v>
      </c>
      <c r="C2164" s="4" t="s">
        <v>1211</v>
      </c>
      <c r="D2164" s="4">
        <v>6</v>
      </c>
      <c r="E2164" s="4" t="s">
        <v>4633</v>
      </c>
      <c r="F2164" s="4" t="s">
        <v>4634</v>
      </c>
    </row>
    <row r="2165" spans="1:6">
      <c r="A2165" s="4" t="s">
        <v>4635</v>
      </c>
      <c r="B2165" s="6" t="s">
        <v>4636</v>
      </c>
      <c r="C2165" s="4" t="s">
        <v>23</v>
      </c>
      <c r="D2165" s="4">
        <v>8</v>
      </c>
      <c r="E2165" s="4" t="s">
        <v>4637</v>
      </c>
      <c r="F2165" s="4" t="s">
        <v>4638</v>
      </c>
    </row>
    <row r="2166" spans="1:6">
      <c r="A2166" s="4" t="s">
        <v>4639</v>
      </c>
      <c r="B2166" s="6" t="s">
        <v>4640</v>
      </c>
      <c r="C2166" s="4" t="s">
        <v>995</v>
      </c>
      <c r="D2166" s="4">
        <v>9</v>
      </c>
      <c r="E2166" s="4" t="s">
        <v>617</v>
      </c>
      <c r="F2166" s="4" t="s">
        <v>3776</v>
      </c>
    </row>
    <row r="2167" spans="1:6">
      <c r="A2167" s="4" t="s">
        <v>4641</v>
      </c>
      <c r="B2167" s="6" t="s">
        <v>4640</v>
      </c>
      <c r="C2167" s="4" t="s">
        <v>285</v>
      </c>
      <c r="D2167" s="4">
        <v>12</v>
      </c>
      <c r="E2167" s="4" t="s">
        <v>617</v>
      </c>
    </row>
    <row r="2168" spans="1:6">
      <c r="A2168" s="4" t="s">
        <v>4642</v>
      </c>
      <c r="B2168" s="6" t="s">
        <v>4640</v>
      </c>
      <c r="C2168" s="4" t="s">
        <v>4438</v>
      </c>
      <c r="D2168" s="4">
        <v>14</v>
      </c>
      <c r="E2168" s="4" t="s">
        <v>4643</v>
      </c>
    </row>
    <row r="2169" spans="1:6">
      <c r="A2169" s="4" t="s">
        <v>4644</v>
      </c>
      <c r="B2169" s="6" t="s">
        <v>4640</v>
      </c>
      <c r="C2169" s="4" t="s">
        <v>1231</v>
      </c>
      <c r="D2169" s="4">
        <v>17</v>
      </c>
      <c r="E2169" s="4" t="s">
        <v>1615</v>
      </c>
      <c r="F2169" s="4" t="s">
        <v>4645</v>
      </c>
    </row>
    <row r="2170" spans="1:6">
      <c r="A2170" s="4" t="s">
        <v>4646</v>
      </c>
      <c r="B2170" s="6" t="s">
        <v>4647</v>
      </c>
      <c r="C2170" s="4" t="s">
        <v>995</v>
      </c>
      <c r="D2170" s="4">
        <v>10</v>
      </c>
      <c r="E2170" s="4" t="s">
        <v>4648</v>
      </c>
      <c r="F2170" s="4" t="s">
        <v>4649</v>
      </c>
    </row>
    <row r="2171" spans="1:6">
      <c r="A2171" s="4" t="s">
        <v>4650</v>
      </c>
      <c r="B2171" s="6" t="s">
        <v>4647</v>
      </c>
      <c r="C2171" s="4" t="s">
        <v>301</v>
      </c>
      <c r="D2171" s="4">
        <v>14</v>
      </c>
      <c r="E2171" s="4" t="s">
        <v>1667</v>
      </c>
      <c r="F2171" s="4" t="s">
        <v>4651</v>
      </c>
    </row>
    <row r="2172" spans="1:6">
      <c r="A2172" s="4" t="s">
        <v>4652</v>
      </c>
      <c r="B2172" s="6" t="s">
        <v>4653</v>
      </c>
      <c r="C2172" s="4" t="s">
        <v>1211</v>
      </c>
      <c r="D2172" s="4">
        <v>9</v>
      </c>
      <c r="F2172" s="4" t="s">
        <v>4654</v>
      </c>
    </row>
    <row r="2173" spans="1:6">
      <c r="A2173" s="4" t="s">
        <v>4655</v>
      </c>
      <c r="B2173" s="6" t="s">
        <v>4647</v>
      </c>
      <c r="C2173" s="4" t="s">
        <v>53</v>
      </c>
      <c r="D2173" s="4">
        <v>12</v>
      </c>
      <c r="E2173" s="4" t="s">
        <v>4656</v>
      </c>
    </row>
    <row r="2174" spans="1:6">
      <c r="A2174" s="4" t="s">
        <v>45</v>
      </c>
      <c r="B2174" s="6" t="s">
        <v>4647</v>
      </c>
      <c r="C2174" s="4" t="s">
        <v>45</v>
      </c>
      <c r="D2174" s="4">
        <v>3</v>
      </c>
      <c r="E2174" s="4" t="s">
        <v>555</v>
      </c>
    </row>
    <row r="2175" spans="1:6">
      <c r="A2175" s="4" t="s">
        <v>4657</v>
      </c>
      <c r="B2175" s="6" t="s">
        <v>4658</v>
      </c>
      <c r="C2175" s="4" t="s">
        <v>1248</v>
      </c>
      <c r="D2175" s="4">
        <v>11</v>
      </c>
      <c r="E2175" s="4" t="s">
        <v>4659</v>
      </c>
      <c r="F2175" s="4" t="s">
        <v>4660</v>
      </c>
    </row>
    <row r="2176" spans="1:6">
      <c r="A2176" s="4" t="s">
        <v>4661</v>
      </c>
      <c r="B2176" s="6" t="s">
        <v>4658</v>
      </c>
      <c r="C2176" s="4" t="s">
        <v>49</v>
      </c>
      <c r="D2176" s="4">
        <v>8</v>
      </c>
      <c r="E2176" s="4" t="s">
        <v>4659</v>
      </c>
      <c r="F2176" s="4" t="s">
        <v>4662</v>
      </c>
    </row>
    <row r="2177" spans="1:6">
      <c r="A2177" s="4" t="s">
        <v>4663</v>
      </c>
      <c r="B2177" s="6" t="s">
        <v>4658</v>
      </c>
      <c r="C2177" s="4" t="s">
        <v>34</v>
      </c>
      <c r="D2177" s="4">
        <v>11</v>
      </c>
      <c r="E2177" s="4" t="s">
        <v>505</v>
      </c>
      <c r="F2177" s="4" t="s">
        <v>3107</v>
      </c>
    </row>
    <row r="2178" spans="1:6">
      <c r="A2178" s="4" t="s">
        <v>4664</v>
      </c>
      <c r="B2178" s="6" t="s">
        <v>4658</v>
      </c>
      <c r="C2178" s="4" t="s">
        <v>315</v>
      </c>
      <c r="D2178" s="4">
        <v>16</v>
      </c>
      <c r="E2178" s="4" t="s">
        <v>505</v>
      </c>
      <c r="F2178" s="4" t="s">
        <v>4665</v>
      </c>
    </row>
    <row r="2179" spans="1:6">
      <c r="A2179" s="4" t="s">
        <v>4666</v>
      </c>
      <c r="B2179" s="6" t="s">
        <v>4667</v>
      </c>
      <c r="C2179" s="4" t="s">
        <v>4668</v>
      </c>
      <c r="D2179" s="4">
        <v>16</v>
      </c>
      <c r="E2179" s="4" t="s">
        <v>4656</v>
      </c>
    </row>
    <row r="2180" spans="1:6">
      <c r="A2180" s="4" t="s">
        <v>4669</v>
      </c>
      <c r="B2180" s="6" t="s">
        <v>4667</v>
      </c>
      <c r="C2180" s="4" t="s">
        <v>301</v>
      </c>
      <c r="D2180" s="4">
        <v>15</v>
      </c>
      <c r="E2180" s="4" t="s">
        <v>4656</v>
      </c>
    </row>
    <row r="2181" spans="1:6">
      <c r="A2181" s="4" t="s">
        <v>4670</v>
      </c>
      <c r="B2181" s="6" t="s">
        <v>4671</v>
      </c>
      <c r="C2181" s="4" t="s">
        <v>4514</v>
      </c>
      <c r="D2181" s="4">
        <v>25</v>
      </c>
      <c r="E2181" s="4" t="s">
        <v>562</v>
      </c>
      <c r="F2181" s="4" t="s">
        <v>4672</v>
      </c>
    </row>
    <row r="2182" spans="1:6">
      <c r="A2182" s="4" t="s">
        <v>4673</v>
      </c>
      <c r="B2182" s="6" t="s">
        <v>4674</v>
      </c>
      <c r="C2182" s="4" t="s">
        <v>41</v>
      </c>
      <c r="D2182" s="4">
        <v>15</v>
      </c>
      <c r="E2182" s="4" t="s">
        <v>505</v>
      </c>
    </row>
    <row r="2183" spans="1:6">
      <c r="A2183" s="4" t="s">
        <v>4675</v>
      </c>
      <c r="B2183" s="6" t="s">
        <v>4676</v>
      </c>
      <c r="C2183" s="4" t="s">
        <v>458</v>
      </c>
      <c r="D2183" s="4">
        <v>9</v>
      </c>
      <c r="E2183" s="4" t="s">
        <v>505</v>
      </c>
    </row>
    <row r="2184" spans="1:6">
      <c r="A2184" s="4" t="s">
        <v>4677</v>
      </c>
      <c r="B2184" s="6" t="s">
        <v>4676</v>
      </c>
      <c r="C2184" s="4" t="s">
        <v>53</v>
      </c>
      <c r="D2184" s="4">
        <v>8</v>
      </c>
      <c r="E2184" s="4" t="s">
        <v>4659</v>
      </c>
    </row>
    <row r="2185" spans="1:6">
      <c r="A2185" s="4" t="s">
        <v>4678</v>
      </c>
      <c r="B2185" s="6" t="s">
        <v>4679</v>
      </c>
      <c r="C2185" s="4" t="s">
        <v>705</v>
      </c>
      <c r="D2185" s="4">
        <v>10</v>
      </c>
      <c r="E2185" s="4" t="s">
        <v>4656</v>
      </c>
      <c r="F2185" s="4" t="s">
        <v>934</v>
      </c>
    </row>
    <row r="2186" spans="1:6">
      <c r="A2186" s="4" t="s">
        <v>4680</v>
      </c>
      <c r="B2186" s="6" t="s">
        <v>4679</v>
      </c>
      <c r="C2186" s="4" t="s">
        <v>976</v>
      </c>
      <c r="D2186" s="4">
        <v>8</v>
      </c>
      <c r="E2186" s="4" t="s">
        <v>4681</v>
      </c>
      <c r="F2186" s="4" t="s">
        <v>4682</v>
      </c>
    </row>
    <row r="2187" spans="1:6">
      <c r="A2187" s="4" t="s">
        <v>4683</v>
      </c>
      <c r="B2187" s="6" t="s">
        <v>4679</v>
      </c>
      <c r="C2187" s="4" t="s">
        <v>254</v>
      </c>
      <c r="D2187" s="4">
        <v>10</v>
      </c>
      <c r="E2187" s="4" t="s">
        <v>629</v>
      </c>
    </row>
    <row r="2188" spans="1:6">
      <c r="A2188" s="4" t="s">
        <v>4684</v>
      </c>
      <c r="B2188" s="6" t="s">
        <v>4679</v>
      </c>
      <c r="C2188" s="4" t="s">
        <v>14</v>
      </c>
      <c r="D2188" s="4">
        <v>11</v>
      </c>
      <c r="E2188" s="4" t="s">
        <v>4656</v>
      </c>
    </row>
    <row r="2189" spans="1:6">
      <c r="A2189" s="4" t="s">
        <v>4685</v>
      </c>
      <c r="B2189" s="6" t="s">
        <v>4686</v>
      </c>
      <c r="C2189" s="4" t="s">
        <v>917</v>
      </c>
      <c r="D2189" s="4">
        <v>11</v>
      </c>
      <c r="E2189" s="4" t="s">
        <v>4656</v>
      </c>
    </row>
    <row r="2190" spans="1:6">
      <c r="A2190" s="4" t="s">
        <v>4687</v>
      </c>
      <c r="B2190" s="6" t="s">
        <v>4688</v>
      </c>
      <c r="C2190" s="4" t="s">
        <v>342</v>
      </c>
      <c r="D2190" s="4">
        <v>13</v>
      </c>
      <c r="E2190" s="4" t="s">
        <v>4626</v>
      </c>
    </row>
    <row r="2191" spans="1:6">
      <c r="A2191" s="4" t="s">
        <v>4689</v>
      </c>
      <c r="B2191" s="6" t="s">
        <v>4688</v>
      </c>
      <c r="C2191" s="4" t="s">
        <v>315</v>
      </c>
      <c r="D2191" s="4">
        <v>14</v>
      </c>
      <c r="E2191" s="4" t="s">
        <v>1547</v>
      </c>
    </row>
    <row r="2192" spans="1:6">
      <c r="A2192" s="4" t="s">
        <v>4690</v>
      </c>
      <c r="B2192" s="6" t="s">
        <v>4688</v>
      </c>
      <c r="C2192" s="4" t="s">
        <v>132</v>
      </c>
      <c r="D2192" s="4">
        <v>14</v>
      </c>
      <c r="E2192" s="4" t="s">
        <v>4626</v>
      </c>
      <c r="F2192" s="4" t="s">
        <v>2141</v>
      </c>
    </row>
    <row r="2193" spans="1:6">
      <c r="A2193" s="4" t="s">
        <v>4691</v>
      </c>
      <c r="B2193" s="6" t="s">
        <v>4688</v>
      </c>
      <c r="C2193" s="4" t="s">
        <v>104</v>
      </c>
      <c r="D2193" s="4">
        <v>8</v>
      </c>
      <c r="E2193" s="4" t="s">
        <v>1547</v>
      </c>
      <c r="F2193" s="4" t="s">
        <v>4692</v>
      </c>
    </row>
    <row r="2194" spans="1:6">
      <c r="A2194" s="4" t="s">
        <v>4693</v>
      </c>
      <c r="B2194" s="6" t="s">
        <v>4688</v>
      </c>
      <c r="C2194" s="4" t="s">
        <v>104</v>
      </c>
      <c r="D2194" s="4">
        <v>14</v>
      </c>
      <c r="E2194" s="4" t="s">
        <v>4637</v>
      </c>
    </row>
    <row r="2195" spans="1:6">
      <c r="A2195" s="4" t="s">
        <v>4694</v>
      </c>
      <c r="B2195" s="6" t="s">
        <v>4688</v>
      </c>
      <c r="C2195" s="4" t="s">
        <v>427</v>
      </c>
      <c r="D2195" s="4">
        <v>16</v>
      </c>
      <c r="E2195" s="4" t="s">
        <v>4695</v>
      </c>
    </row>
    <row r="2196" spans="1:6">
      <c r="A2196" s="4" t="s">
        <v>4696</v>
      </c>
      <c r="B2196" s="6" t="s">
        <v>4688</v>
      </c>
      <c r="C2196" s="4" t="s">
        <v>3484</v>
      </c>
      <c r="D2196" s="4">
        <v>10</v>
      </c>
      <c r="E2196" s="4" t="s">
        <v>4695</v>
      </c>
    </row>
    <row r="2197" spans="1:6">
      <c r="A2197" s="4" t="s">
        <v>4697</v>
      </c>
      <c r="B2197" s="6" t="s">
        <v>4698</v>
      </c>
      <c r="C2197" s="4" t="s">
        <v>3168</v>
      </c>
      <c r="D2197" s="4">
        <v>15</v>
      </c>
      <c r="E2197" s="4" t="s">
        <v>4699</v>
      </c>
      <c r="F2197" s="4" t="s">
        <v>4700</v>
      </c>
    </row>
    <row r="2198" spans="1:6">
      <c r="A2198" s="4" t="s">
        <v>4701</v>
      </c>
      <c r="B2198" s="6" t="s">
        <v>4698</v>
      </c>
      <c r="C2198" s="4" t="s">
        <v>140</v>
      </c>
      <c r="D2198" s="4">
        <v>23</v>
      </c>
      <c r="E2198" s="4" t="s">
        <v>638</v>
      </c>
      <c r="F2198" s="4" t="s">
        <v>4702</v>
      </c>
    </row>
    <row r="2199" spans="1:6">
      <c r="A2199" s="4" t="s">
        <v>4703</v>
      </c>
      <c r="B2199" s="6" t="s">
        <v>4698</v>
      </c>
      <c r="C2199" s="4" t="s">
        <v>4704</v>
      </c>
      <c r="D2199" s="4">
        <v>19</v>
      </c>
      <c r="E2199" s="4" t="s">
        <v>617</v>
      </c>
      <c r="F2199" s="4" t="s">
        <v>4705</v>
      </c>
    </row>
    <row r="2200" spans="1:6">
      <c r="A2200" s="4" t="s">
        <v>4706</v>
      </c>
      <c r="B2200" s="6" t="s">
        <v>4698</v>
      </c>
      <c r="C2200" s="4" t="s">
        <v>14</v>
      </c>
      <c r="D2200" s="4">
        <v>12</v>
      </c>
      <c r="E2200" s="4" t="s">
        <v>1615</v>
      </c>
      <c r="F2200" s="4" t="s">
        <v>4707</v>
      </c>
    </row>
    <row r="2201" spans="1:6">
      <c r="A2201" s="4" t="s">
        <v>4708</v>
      </c>
      <c r="B2201" s="6" t="s">
        <v>4698</v>
      </c>
      <c r="C2201" s="4" t="s">
        <v>45</v>
      </c>
      <c r="D2201" s="4">
        <v>12</v>
      </c>
      <c r="E2201" s="4" t="s">
        <v>1615</v>
      </c>
    </row>
    <row r="2202" spans="1:6">
      <c r="A2202" s="4" t="s">
        <v>301</v>
      </c>
      <c r="B2202" s="6" t="s">
        <v>4709</v>
      </c>
      <c r="C2202" s="4" t="s">
        <v>301</v>
      </c>
      <c r="D2202" s="4">
        <v>6</v>
      </c>
      <c r="E2202" s="4" t="s">
        <v>1047</v>
      </c>
      <c r="F2202" s="4" t="s">
        <v>4710</v>
      </c>
    </row>
    <row r="2203" spans="1:6">
      <c r="A2203" s="4" t="s">
        <v>3484</v>
      </c>
      <c r="B2203" s="6" t="s">
        <v>4709</v>
      </c>
      <c r="C2203" s="4" t="s">
        <v>3484</v>
      </c>
      <c r="D2203" s="4">
        <v>2</v>
      </c>
      <c r="E2203" s="4" t="s">
        <v>4711</v>
      </c>
    </row>
    <row r="2204" spans="1:6">
      <c r="A2204" s="4" t="s">
        <v>4712</v>
      </c>
      <c r="B2204" s="6" t="s">
        <v>4709</v>
      </c>
      <c r="C2204" s="4" t="s">
        <v>3484</v>
      </c>
      <c r="D2204" s="4">
        <v>15</v>
      </c>
      <c r="E2204" s="4" t="s">
        <v>4711</v>
      </c>
    </row>
    <row r="2205" spans="1:6">
      <c r="A2205" s="4" t="s">
        <v>4713</v>
      </c>
      <c r="B2205" s="6" t="s">
        <v>4714</v>
      </c>
      <c r="C2205" s="4" t="s">
        <v>87</v>
      </c>
      <c r="D2205" s="4">
        <v>7</v>
      </c>
      <c r="E2205" s="4" t="s">
        <v>4715</v>
      </c>
    </row>
    <row r="2206" spans="1:6">
      <c r="A2206" s="4" t="s">
        <v>4716</v>
      </c>
      <c r="B2206" s="6" t="s">
        <v>4717</v>
      </c>
      <c r="C2206" s="4" t="s">
        <v>354</v>
      </c>
      <c r="D2206" s="4">
        <v>14</v>
      </c>
      <c r="E2206" s="4" t="s">
        <v>4718</v>
      </c>
    </row>
    <row r="2207" spans="1:6">
      <c r="A2207" s="4" t="s">
        <v>4719</v>
      </c>
      <c r="B2207" s="6" t="s">
        <v>4717</v>
      </c>
      <c r="C2207" s="4" t="s">
        <v>53</v>
      </c>
      <c r="D2207" s="4">
        <v>14</v>
      </c>
      <c r="E2207" s="4" t="s">
        <v>4720</v>
      </c>
    </row>
    <row r="2208" spans="1:6">
      <c r="A2208" s="4" t="s">
        <v>4721</v>
      </c>
      <c r="B2208" s="6" t="s">
        <v>4717</v>
      </c>
      <c r="C2208" s="4" t="s">
        <v>427</v>
      </c>
      <c r="D2208" s="4">
        <v>16</v>
      </c>
      <c r="E2208" s="4" t="s">
        <v>4722</v>
      </c>
    </row>
    <row r="2209" spans="1:6">
      <c r="A2209" s="4" t="s">
        <v>4723</v>
      </c>
      <c r="B2209" s="6" t="s">
        <v>4717</v>
      </c>
      <c r="C2209" s="4" t="s">
        <v>427</v>
      </c>
      <c r="D2209" s="4">
        <v>16</v>
      </c>
      <c r="E2209" s="4" t="s">
        <v>4722</v>
      </c>
    </row>
    <row r="2210" spans="1:6">
      <c r="A2210" s="4" t="s">
        <v>4724</v>
      </c>
      <c r="B2210" s="6" t="s">
        <v>4717</v>
      </c>
      <c r="C2210" s="4" t="s">
        <v>34</v>
      </c>
      <c r="D2210" s="4">
        <v>13</v>
      </c>
      <c r="E2210" s="4" t="s">
        <v>4725</v>
      </c>
    </row>
    <row r="2211" spans="1:6">
      <c r="A2211" s="4" t="s">
        <v>4726</v>
      </c>
      <c r="B2211" s="6" t="s">
        <v>4727</v>
      </c>
      <c r="C2211" s="4" t="s">
        <v>14</v>
      </c>
      <c r="D2211" s="4">
        <v>12</v>
      </c>
      <c r="E2211" s="4" t="s">
        <v>638</v>
      </c>
    </row>
    <row r="2212" spans="1:6">
      <c r="A2212" s="4" t="s">
        <v>110</v>
      </c>
      <c r="B2212" s="6" t="s">
        <v>4728</v>
      </c>
      <c r="C2212" s="4" t="s">
        <v>110</v>
      </c>
      <c r="D2212" s="4">
        <v>8</v>
      </c>
      <c r="E2212" s="4" t="s">
        <v>4729</v>
      </c>
      <c r="F2212" s="4" t="s">
        <v>4118</v>
      </c>
    </row>
    <row r="2213" spans="1:6">
      <c r="A2213" s="4" t="s">
        <v>4730</v>
      </c>
      <c r="B2213" s="6" t="s">
        <v>4728</v>
      </c>
      <c r="C2213" s="4" t="s">
        <v>34</v>
      </c>
      <c r="D2213" s="4">
        <v>11</v>
      </c>
      <c r="E2213" s="4" t="s">
        <v>4729</v>
      </c>
    </row>
    <row r="2214" spans="1:6">
      <c r="A2214" s="4" t="s">
        <v>4731</v>
      </c>
      <c r="B2214" s="6" t="s">
        <v>4728</v>
      </c>
      <c r="C2214" s="4" t="s">
        <v>254</v>
      </c>
      <c r="D2214" s="4">
        <v>10</v>
      </c>
      <c r="E2214" s="4" t="s">
        <v>4729</v>
      </c>
    </row>
    <row r="2215" spans="1:6">
      <c r="A2215" s="4" t="s">
        <v>4732</v>
      </c>
      <c r="B2215" s="6" t="s">
        <v>4733</v>
      </c>
      <c r="C2215" s="4" t="s">
        <v>104</v>
      </c>
      <c r="D2215" s="4">
        <v>17</v>
      </c>
      <c r="E2215" s="4" t="s">
        <v>4478</v>
      </c>
    </row>
    <row r="2216" spans="1:6">
      <c r="A2216" s="4" t="s">
        <v>4734</v>
      </c>
      <c r="B2216" s="6" t="s">
        <v>4733</v>
      </c>
      <c r="C2216" s="4" t="s">
        <v>49</v>
      </c>
      <c r="D2216" s="4">
        <v>13</v>
      </c>
      <c r="E2216" s="4" t="s">
        <v>4484</v>
      </c>
      <c r="F2216" s="4" t="s">
        <v>615</v>
      </c>
    </row>
    <row r="2217" spans="1:6">
      <c r="A2217" s="4" t="s">
        <v>4735</v>
      </c>
      <c r="B2217" s="6" t="s">
        <v>4733</v>
      </c>
      <c r="C2217" s="4" t="s">
        <v>53</v>
      </c>
      <c r="D2217" s="4">
        <v>17</v>
      </c>
      <c r="E2217" s="4" t="s">
        <v>4478</v>
      </c>
    </row>
    <row r="2218" spans="1:6">
      <c r="A2218" s="4" t="s">
        <v>4736</v>
      </c>
      <c r="B2218" s="6" t="s">
        <v>4737</v>
      </c>
      <c r="C2218" s="4" t="s">
        <v>53</v>
      </c>
      <c r="D2218" s="4">
        <v>9</v>
      </c>
      <c r="E2218" s="4" t="s">
        <v>428</v>
      </c>
      <c r="F2218" s="4" t="s">
        <v>4738</v>
      </c>
    </row>
    <row r="2219" spans="1:6">
      <c r="A2219" s="4" t="s">
        <v>4739</v>
      </c>
      <c r="B2219" s="6" t="s">
        <v>4740</v>
      </c>
      <c r="C2219" s="4" t="s">
        <v>1835</v>
      </c>
      <c r="D2219" s="4">
        <v>6</v>
      </c>
      <c r="E2219" s="4" t="s">
        <v>4456</v>
      </c>
      <c r="F2219" s="4" t="s">
        <v>4741</v>
      </c>
    </row>
    <row r="2220" spans="1:6">
      <c r="A2220" s="4" t="s">
        <v>4742</v>
      </c>
      <c r="B2220" s="6" t="s">
        <v>4743</v>
      </c>
      <c r="C2220" s="4" t="s">
        <v>705</v>
      </c>
      <c r="D2220" s="4">
        <v>12</v>
      </c>
      <c r="E2220" s="4" t="s">
        <v>4598</v>
      </c>
      <c r="F2220" s="4" t="s">
        <v>4744</v>
      </c>
    </row>
    <row r="2221" spans="1:6">
      <c r="A2221" s="4" t="s">
        <v>4745</v>
      </c>
      <c r="B2221" s="6" t="s">
        <v>4743</v>
      </c>
      <c r="C2221" s="4" t="s">
        <v>27</v>
      </c>
      <c r="D2221" s="4">
        <v>13</v>
      </c>
      <c r="E2221" s="4" t="s">
        <v>4598</v>
      </c>
      <c r="F2221" s="4" t="s">
        <v>4746</v>
      </c>
    </row>
    <row r="2222" spans="1:6">
      <c r="A2222" s="4" t="s">
        <v>4747</v>
      </c>
      <c r="B2222" s="6" t="s">
        <v>4743</v>
      </c>
      <c r="C2222" s="4" t="s">
        <v>81</v>
      </c>
      <c r="D2222" s="4">
        <v>14</v>
      </c>
      <c r="E2222" s="4" t="s">
        <v>4598</v>
      </c>
      <c r="F2222" s="4" t="s">
        <v>4748</v>
      </c>
    </row>
    <row r="2223" spans="1:6">
      <c r="A2223" s="4" t="s">
        <v>4749</v>
      </c>
      <c r="B2223" s="6" t="s">
        <v>4743</v>
      </c>
      <c r="C2223" s="4" t="s">
        <v>104</v>
      </c>
      <c r="D2223" s="4">
        <v>14</v>
      </c>
      <c r="E2223" s="4" t="s">
        <v>4598</v>
      </c>
      <c r="F2223" s="4" t="s">
        <v>4750</v>
      </c>
    </row>
    <row r="2224" spans="1:6">
      <c r="A2224" s="4" t="s">
        <v>53</v>
      </c>
      <c r="B2224" s="6" t="s">
        <v>4751</v>
      </c>
      <c r="C2224" s="4" t="s">
        <v>53</v>
      </c>
      <c r="D2224" s="4">
        <v>4</v>
      </c>
      <c r="E2224" s="4" t="s">
        <v>4752</v>
      </c>
      <c r="F2224" s="4" t="s">
        <v>3036</v>
      </c>
    </row>
    <row r="2225" spans="1:6">
      <c r="A2225" s="4" t="s">
        <v>4753</v>
      </c>
      <c r="B2225" s="6" t="s">
        <v>4751</v>
      </c>
      <c r="C2225" s="4" t="s">
        <v>53</v>
      </c>
      <c r="D2225" s="4">
        <v>7</v>
      </c>
      <c r="F2225" s="4" t="s">
        <v>4754</v>
      </c>
    </row>
    <row r="2226" spans="1:6">
      <c r="A2226" s="4" t="s">
        <v>4755</v>
      </c>
      <c r="B2226" s="6" t="s">
        <v>4751</v>
      </c>
      <c r="C2226" s="4" t="s">
        <v>87</v>
      </c>
      <c r="D2226" s="4">
        <v>7</v>
      </c>
      <c r="E2226" s="4" t="s">
        <v>4619</v>
      </c>
    </row>
    <row r="2227" spans="1:6">
      <c r="A2227" s="4" t="s">
        <v>4756</v>
      </c>
      <c r="B2227" s="6" t="s">
        <v>4757</v>
      </c>
      <c r="C2227" s="4" t="s">
        <v>1569</v>
      </c>
      <c r="D2227" s="4">
        <v>13</v>
      </c>
      <c r="E2227" s="4" t="s">
        <v>4758</v>
      </c>
      <c r="F2227" s="4" t="s">
        <v>4759</v>
      </c>
    </row>
    <row r="2228" spans="1:6">
      <c r="A2228" s="4" t="s">
        <v>4760</v>
      </c>
      <c r="B2228" s="6" t="s">
        <v>4757</v>
      </c>
      <c r="C2228" s="4" t="s">
        <v>1569</v>
      </c>
      <c r="D2228" s="4">
        <v>11</v>
      </c>
      <c r="E2228" s="4" t="s">
        <v>4761</v>
      </c>
    </row>
    <row r="2229" spans="1:6">
      <c r="A2229" s="4" t="s">
        <v>4762</v>
      </c>
      <c r="B2229" s="6" t="s">
        <v>4757</v>
      </c>
      <c r="C2229" s="4" t="s">
        <v>254</v>
      </c>
      <c r="D2229" s="4">
        <v>15</v>
      </c>
      <c r="E2229" s="4" t="s">
        <v>428</v>
      </c>
      <c r="F2229" s="4" t="s">
        <v>4763</v>
      </c>
    </row>
    <row r="2230" spans="1:6">
      <c r="A2230" s="4" t="s">
        <v>4764</v>
      </c>
      <c r="B2230" s="6" t="s">
        <v>4765</v>
      </c>
      <c r="C2230" s="4" t="s">
        <v>87</v>
      </c>
      <c r="D2230" s="4">
        <v>7</v>
      </c>
      <c r="E2230" s="4" t="s">
        <v>4766</v>
      </c>
    </row>
    <row r="2231" spans="1:6">
      <c r="A2231" s="4" t="s">
        <v>4767</v>
      </c>
      <c r="B2231" s="6" t="s">
        <v>4765</v>
      </c>
      <c r="C2231" s="4" t="s">
        <v>544</v>
      </c>
      <c r="D2231" s="4">
        <v>8</v>
      </c>
      <c r="E2231" s="4" t="s">
        <v>706</v>
      </c>
    </row>
    <row r="2232" spans="1:6">
      <c r="A2232" s="4" t="s">
        <v>4768</v>
      </c>
      <c r="B2232" s="6" t="s">
        <v>4765</v>
      </c>
      <c r="C2232" s="4" t="s">
        <v>87</v>
      </c>
      <c r="D2232" s="4">
        <v>7</v>
      </c>
      <c r="E2232" s="4" t="s">
        <v>4766</v>
      </c>
    </row>
    <row r="2233" spans="1:6">
      <c r="A2233" s="4" t="s">
        <v>4769</v>
      </c>
      <c r="B2233" s="6" t="s">
        <v>4770</v>
      </c>
      <c r="C2233" s="4" t="s">
        <v>14</v>
      </c>
      <c r="D2233" s="4">
        <v>8</v>
      </c>
      <c r="E2233" s="4" t="s">
        <v>4456</v>
      </c>
      <c r="F2233" s="4" t="s">
        <v>4771</v>
      </c>
    </row>
    <row r="2234" spans="1:6">
      <c r="A2234" s="4" t="s">
        <v>4772</v>
      </c>
      <c r="B2234" s="6" t="s">
        <v>4770</v>
      </c>
      <c r="C2234" s="4" t="s">
        <v>104</v>
      </c>
      <c r="D2234" s="4">
        <v>9</v>
      </c>
      <c r="E2234" s="4" t="s">
        <v>4453</v>
      </c>
    </row>
    <row r="2235" spans="1:6">
      <c r="A2235" s="4" t="s">
        <v>4773</v>
      </c>
      <c r="B2235" s="6" t="s">
        <v>4774</v>
      </c>
      <c r="C2235" s="4" t="s">
        <v>81</v>
      </c>
      <c r="D2235" s="4">
        <v>12</v>
      </c>
      <c r="E2235" s="4" t="s">
        <v>4775</v>
      </c>
      <c r="F2235" s="4" t="s">
        <v>4776</v>
      </c>
    </row>
    <row r="2236" spans="1:6">
      <c r="A2236" s="4" t="s">
        <v>4777</v>
      </c>
      <c r="B2236" s="6" t="s">
        <v>4774</v>
      </c>
      <c r="C2236" s="4" t="s">
        <v>81</v>
      </c>
      <c r="D2236" s="4">
        <v>18</v>
      </c>
      <c r="E2236" s="4" t="s">
        <v>4778</v>
      </c>
    </row>
    <row r="2237" spans="1:6">
      <c r="A2237" s="4" t="s">
        <v>4779</v>
      </c>
      <c r="B2237" s="6" t="s">
        <v>4780</v>
      </c>
      <c r="C2237" s="4" t="s">
        <v>243</v>
      </c>
      <c r="D2237" s="4">
        <v>4</v>
      </c>
      <c r="F2237" s="4" t="s">
        <v>4781</v>
      </c>
    </row>
    <row r="2238" spans="1:6">
      <c r="A2238" s="4" t="s">
        <v>4782</v>
      </c>
      <c r="B2238" s="6" t="s">
        <v>4783</v>
      </c>
      <c r="C2238" s="4" t="s">
        <v>14</v>
      </c>
      <c r="D2238" s="4">
        <v>9</v>
      </c>
      <c r="E2238" s="4" t="s">
        <v>4494</v>
      </c>
      <c r="F2238" s="4" t="s">
        <v>4784</v>
      </c>
    </row>
    <row r="2239" spans="1:6">
      <c r="A2239" s="4" t="s">
        <v>4785</v>
      </c>
      <c r="B2239" s="6" t="s">
        <v>4786</v>
      </c>
      <c r="C2239" s="4" t="s">
        <v>2111</v>
      </c>
      <c r="D2239" s="4">
        <v>8</v>
      </c>
      <c r="E2239" s="4" t="s">
        <v>428</v>
      </c>
      <c r="F2239" s="4" t="s">
        <v>4787</v>
      </c>
    </row>
    <row r="2240" spans="1:6">
      <c r="A2240" s="4" t="s">
        <v>995</v>
      </c>
      <c r="B2240" s="6" t="s">
        <v>4786</v>
      </c>
      <c r="C2240" s="4" t="s">
        <v>995</v>
      </c>
      <c r="D2240" s="4">
        <v>5</v>
      </c>
      <c r="E2240" s="4" t="s">
        <v>4619</v>
      </c>
      <c r="F2240" s="4" t="s">
        <v>4788</v>
      </c>
    </row>
    <row r="2241" spans="1:6">
      <c r="A2241" s="4" t="s">
        <v>4789</v>
      </c>
      <c r="B2241" s="6" t="s">
        <v>4786</v>
      </c>
      <c r="C2241" s="4" t="s">
        <v>995</v>
      </c>
      <c r="D2241" s="4">
        <v>13</v>
      </c>
      <c r="E2241" s="4" t="s">
        <v>4752</v>
      </c>
      <c r="F2241" s="4" t="s">
        <v>4790</v>
      </c>
    </row>
    <row r="2242" spans="1:6">
      <c r="A2242" s="4" t="s">
        <v>4791</v>
      </c>
      <c r="B2242" s="6" t="s">
        <v>4792</v>
      </c>
      <c r="C2242" s="4" t="s">
        <v>37</v>
      </c>
      <c r="D2242" s="4">
        <v>16</v>
      </c>
      <c r="E2242" s="4" t="s">
        <v>4575</v>
      </c>
      <c r="F2242" s="4" t="s">
        <v>2377</v>
      </c>
    </row>
    <row r="2243" spans="1:6">
      <c r="A2243" s="4" t="s">
        <v>4793</v>
      </c>
      <c r="B2243" s="6" t="s">
        <v>4794</v>
      </c>
      <c r="C2243" s="4" t="s">
        <v>1851</v>
      </c>
      <c r="D2243" s="4">
        <v>9</v>
      </c>
      <c r="E2243" s="4" t="s">
        <v>1615</v>
      </c>
      <c r="F2243" s="4" t="s">
        <v>4795</v>
      </c>
    </row>
    <row r="2244" spans="1:6">
      <c r="A2244" s="4" t="s">
        <v>4796</v>
      </c>
      <c r="B2244" s="6" t="s">
        <v>4797</v>
      </c>
      <c r="C2244" s="4" t="s">
        <v>179</v>
      </c>
      <c r="D2244" s="4">
        <v>7</v>
      </c>
      <c r="E2244" s="4" t="s">
        <v>4798</v>
      </c>
    </row>
    <row r="2245" spans="1:6">
      <c r="A2245" s="4" t="s">
        <v>4799</v>
      </c>
      <c r="B2245" s="6" t="s">
        <v>4797</v>
      </c>
      <c r="C2245" s="4" t="s">
        <v>53</v>
      </c>
      <c r="D2245" s="4">
        <v>11</v>
      </c>
      <c r="E2245" s="4" t="s">
        <v>4798</v>
      </c>
    </row>
    <row r="2246" spans="1:6">
      <c r="A2246" s="4" t="s">
        <v>4800</v>
      </c>
      <c r="B2246" s="6" t="s">
        <v>4797</v>
      </c>
      <c r="C2246" s="4" t="s">
        <v>254</v>
      </c>
      <c r="D2246" s="4">
        <v>21</v>
      </c>
      <c r="E2246" s="4" t="s">
        <v>1989</v>
      </c>
    </row>
    <row r="2247" spans="1:6">
      <c r="A2247" s="4" t="s">
        <v>4801</v>
      </c>
      <c r="B2247" s="6" t="s">
        <v>4797</v>
      </c>
      <c r="C2247" s="4" t="s">
        <v>14</v>
      </c>
      <c r="D2247" s="4">
        <v>10</v>
      </c>
      <c r="E2247" s="4" t="s">
        <v>4802</v>
      </c>
    </row>
    <row r="2248" spans="1:6">
      <c r="A2248" s="4" t="s">
        <v>4803</v>
      </c>
      <c r="B2248" s="6" t="s">
        <v>4804</v>
      </c>
      <c r="C2248" s="4" t="s">
        <v>420</v>
      </c>
      <c r="D2248" s="4">
        <v>7</v>
      </c>
      <c r="E2248" s="4" t="s">
        <v>4805</v>
      </c>
      <c r="F2248" s="4" t="s">
        <v>4806</v>
      </c>
    </row>
    <row r="2249" spans="1:6">
      <c r="A2249" s="4" t="s">
        <v>4807</v>
      </c>
      <c r="B2249" s="6" t="s">
        <v>4804</v>
      </c>
      <c r="C2249" s="4" t="s">
        <v>263</v>
      </c>
      <c r="D2249" s="4">
        <v>9</v>
      </c>
      <c r="E2249" s="4" t="s">
        <v>4808</v>
      </c>
      <c r="F2249" s="4" t="s">
        <v>4809</v>
      </c>
    </row>
    <row r="2250" spans="1:6">
      <c r="A2250" s="4" t="s">
        <v>4810</v>
      </c>
      <c r="B2250" s="6" t="s">
        <v>4804</v>
      </c>
      <c r="C2250" s="4" t="s">
        <v>23</v>
      </c>
      <c r="D2250" s="4">
        <v>12</v>
      </c>
      <c r="E2250" s="4" t="s">
        <v>4811</v>
      </c>
      <c r="F2250" s="4" t="s">
        <v>4812</v>
      </c>
    </row>
    <row r="2251" spans="1:6">
      <c r="A2251" s="4" t="s">
        <v>4813</v>
      </c>
      <c r="B2251" s="6" t="s">
        <v>4804</v>
      </c>
      <c r="C2251" s="4" t="s">
        <v>53</v>
      </c>
      <c r="D2251" s="4">
        <v>13</v>
      </c>
      <c r="E2251" s="4" t="s">
        <v>4814</v>
      </c>
      <c r="F2251" s="4" t="s">
        <v>4815</v>
      </c>
    </row>
    <row r="2252" spans="1:6">
      <c r="A2252" s="4" t="s">
        <v>4816</v>
      </c>
      <c r="B2252" s="6" t="s">
        <v>4804</v>
      </c>
      <c r="C2252" s="4" t="s">
        <v>14</v>
      </c>
      <c r="D2252" s="4">
        <v>10</v>
      </c>
      <c r="E2252" s="4" t="s">
        <v>4811</v>
      </c>
      <c r="F2252" s="4" t="s">
        <v>4812</v>
      </c>
    </row>
    <row r="2253" spans="1:6">
      <c r="A2253" s="4" t="s">
        <v>4817</v>
      </c>
      <c r="B2253" s="6" t="s">
        <v>4818</v>
      </c>
      <c r="C2253" s="4" t="s">
        <v>23</v>
      </c>
      <c r="D2253" s="4">
        <v>18</v>
      </c>
      <c r="E2253" s="4" t="s">
        <v>4819</v>
      </c>
      <c r="F2253" s="4" t="s">
        <v>2031</v>
      </c>
    </row>
    <row r="2254" spans="1:6">
      <c r="A2254" s="4" t="s">
        <v>4820</v>
      </c>
      <c r="B2254" s="6" t="s">
        <v>4821</v>
      </c>
      <c r="C2254" s="4" t="s">
        <v>23</v>
      </c>
      <c r="D2254" s="4">
        <v>8</v>
      </c>
      <c r="E2254" s="4" t="s">
        <v>4822</v>
      </c>
    </row>
    <row r="2255" spans="1:6">
      <c r="A2255" s="4" t="s">
        <v>4823</v>
      </c>
      <c r="B2255" s="6" t="s">
        <v>4824</v>
      </c>
      <c r="C2255" s="4" t="s">
        <v>34</v>
      </c>
      <c r="D2255" s="4">
        <v>10</v>
      </c>
      <c r="E2255" s="4" t="s">
        <v>4825</v>
      </c>
    </row>
    <row r="2256" spans="1:6">
      <c r="A2256" s="4" t="s">
        <v>4826</v>
      </c>
      <c r="B2256" s="6" t="s">
        <v>4827</v>
      </c>
      <c r="C2256" s="4" t="s">
        <v>34</v>
      </c>
      <c r="D2256" s="4">
        <v>9</v>
      </c>
      <c r="E2256" s="4" t="s">
        <v>4798</v>
      </c>
    </row>
    <row r="2257" spans="1:6">
      <c r="A2257" s="4" t="s">
        <v>4828</v>
      </c>
      <c r="B2257" s="6" t="s">
        <v>4827</v>
      </c>
      <c r="C2257" s="4" t="s">
        <v>34</v>
      </c>
      <c r="D2257" s="4">
        <v>10</v>
      </c>
      <c r="E2257" s="4" t="s">
        <v>4802</v>
      </c>
    </row>
    <row r="2258" spans="1:6">
      <c r="A2258" s="4" t="s">
        <v>4829</v>
      </c>
      <c r="B2258" s="6" t="s">
        <v>4830</v>
      </c>
      <c r="C2258" s="4" t="s">
        <v>1591</v>
      </c>
      <c r="D2258" s="4">
        <v>9</v>
      </c>
      <c r="E2258" s="4" t="s">
        <v>4831</v>
      </c>
    </row>
    <row r="2259" spans="1:6">
      <c r="A2259" s="4" t="s">
        <v>4832</v>
      </c>
      <c r="B2259" s="6" t="s">
        <v>4830</v>
      </c>
      <c r="C2259" s="4" t="s">
        <v>520</v>
      </c>
      <c r="D2259" s="4">
        <v>10</v>
      </c>
      <c r="E2259" s="4" t="s">
        <v>4831</v>
      </c>
    </row>
    <row r="2260" spans="1:6">
      <c r="A2260" s="4" t="s">
        <v>4833</v>
      </c>
      <c r="B2260" s="6" t="s">
        <v>4834</v>
      </c>
      <c r="C2260" s="4" t="s">
        <v>963</v>
      </c>
      <c r="D2260" s="4">
        <v>2</v>
      </c>
      <c r="E2260" s="4" t="s">
        <v>4831</v>
      </c>
      <c r="F2260" s="4" t="s">
        <v>1058</v>
      </c>
    </row>
    <row r="2261" spans="1:6">
      <c r="A2261" s="4" t="s">
        <v>4835</v>
      </c>
      <c r="B2261" s="6" t="s">
        <v>4836</v>
      </c>
      <c r="C2261" s="4" t="s">
        <v>860</v>
      </c>
      <c r="D2261" s="4">
        <v>11</v>
      </c>
      <c r="E2261" s="4" t="s">
        <v>4819</v>
      </c>
    </row>
    <row r="2262" spans="1:6">
      <c r="A2262" s="4" t="s">
        <v>4837</v>
      </c>
      <c r="B2262" s="6" t="s">
        <v>4836</v>
      </c>
      <c r="C2262" s="4" t="s">
        <v>81</v>
      </c>
      <c r="D2262" s="4">
        <v>10</v>
      </c>
      <c r="E2262" s="4" t="s">
        <v>4819</v>
      </c>
      <c r="F2262" s="4" t="s">
        <v>4838</v>
      </c>
    </row>
    <row r="2263" spans="1:6">
      <c r="A2263" s="4" t="s">
        <v>4839</v>
      </c>
      <c r="B2263" s="6" t="s">
        <v>4836</v>
      </c>
      <c r="C2263" s="4" t="s">
        <v>81</v>
      </c>
      <c r="D2263" s="4">
        <v>12</v>
      </c>
      <c r="E2263" s="4" t="s">
        <v>4819</v>
      </c>
      <c r="F2263" s="4" t="s">
        <v>4838</v>
      </c>
    </row>
    <row r="2264" spans="1:6">
      <c r="A2264" s="4" t="s">
        <v>4840</v>
      </c>
      <c r="B2264" s="6" t="s">
        <v>4841</v>
      </c>
      <c r="C2264" s="4" t="s">
        <v>4842</v>
      </c>
      <c r="D2264" s="4">
        <v>9</v>
      </c>
      <c r="E2264" s="4" t="s">
        <v>1922</v>
      </c>
      <c r="F2264" s="4" t="s">
        <v>4843</v>
      </c>
    </row>
    <row r="2265" spans="1:6">
      <c r="A2265" s="4" t="s">
        <v>4844</v>
      </c>
      <c r="B2265" s="6" t="s">
        <v>4841</v>
      </c>
      <c r="C2265" s="4" t="s">
        <v>121</v>
      </c>
      <c r="D2265" s="4">
        <v>8</v>
      </c>
      <c r="E2265" s="4" t="s">
        <v>4845</v>
      </c>
    </row>
    <row r="2266" spans="1:6">
      <c r="A2266" s="4" t="s">
        <v>4846</v>
      </c>
      <c r="B2266" s="6" t="s">
        <v>4841</v>
      </c>
      <c r="C2266" s="4" t="s">
        <v>34</v>
      </c>
      <c r="D2266" s="4">
        <v>11</v>
      </c>
      <c r="E2266" s="4" t="s">
        <v>4847</v>
      </c>
      <c r="F2266" s="4" t="s">
        <v>130</v>
      </c>
    </row>
    <row r="2267" spans="1:6">
      <c r="A2267" s="4" t="s">
        <v>4848</v>
      </c>
      <c r="B2267" s="6" t="s">
        <v>4849</v>
      </c>
      <c r="C2267" s="4" t="s">
        <v>1106</v>
      </c>
      <c r="D2267" s="4">
        <v>18</v>
      </c>
      <c r="E2267" s="4" t="s">
        <v>4850</v>
      </c>
      <c r="F2267" s="4" t="s">
        <v>4851</v>
      </c>
    </row>
    <row r="2268" spans="1:6">
      <c r="A2268" s="4" t="s">
        <v>4852</v>
      </c>
      <c r="B2268" s="6" t="s">
        <v>4853</v>
      </c>
      <c r="C2268" s="4" t="s">
        <v>34</v>
      </c>
      <c r="D2268" s="4">
        <v>15</v>
      </c>
      <c r="E2268" s="4" t="s">
        <v>2052</v>
      </c>
      <c r="F2268" s="4" t="s">
        <v>4854</v>
      </c>
    </row>
    <row r="2269" spans="1:6">
      <c r="A2269" s="4" t="s">
        <v>4855</v>
      </c>
      <c r="B2269" s="6" t="s">
        <v>4856</v>
      </c>
      <c r="C2269" s="4" t="s">
        <v>301</v>
      </c>
      <c r="D2269" s="4">
        <v>10</v>
      </c>
      <c r="E2269" s="4" t="s">
        <v>4857</v>
      </c>
      <c r="F2269" s="4" t="s">
        <v>4858</v>
      </c>
    </row>
    <row r="2270" spans="1:6">
      <c r="A2270" s="4" t="s">
        <v>4859</v>
      </c>
      <c r="B2270" s="6" t="s">
        <v>4860</v>
      </c>
      <c r="C2270" s="4" t="s">
        <v>354</v>
      </c>
      <c r="D2270" s="4">
        <v>10</v>
      </c>
      <c r="E2270" s="4" t="s">
        <v>4819</v>
      </c>
      <c r="F2270" s="4" t="s">
        <v>4861</v>
      </c>
    </row>
    <row r="2271" spans="1:6">
      <c r="A2271" s="4" t="s">
        <v>4862</v>
      </c>
      <c r="B2271" s="6" t="s">
        <v>4863</v>
      </c>
      <c r="C2271" s="4" t="s">
        <v>104</v>
      </c>
      <c r="D2271" s="4">
        <v>21</v>
      </c>
      <c r="E2271" s="4" t="s">
        <v>2055</v>
      </c>
    </row>
    <row r="2272" spans="1:6">
      <c r="A2272" s="4" t="s">
        <v>4864</v>
      </c>
      <c r="B2272" s="6" t="s">
        <v>4865</v>
      </c>
      <c r="C2272" s="4" t="s">
        <v>37</v>
      </c>
      <c r="D2272" s="4">
        <v>15</v>
      </c>
      <c r="E2272" s="4" t="s">
        <v>4866</v>
      </c>
      <c r="F2272" s="4" t="s">
        <v>4867</v>
      </c>
    </row>
    <row r="2273" spans="1:6">
      <c r="A2273" s="4" t="s">
        <v>4868</v>
      </c>
      <c r="B2273" s="6" t="s">
        <v>4865</v>
      </c>
      <c r="C2273" s="4" t="s">
        <v>2818</v>
      </c>
      <c r="D2273" s="4">
        <v>11</v>
      </c>
      <c r="E2273" s="4" t="s">
        <v>2099</v>
      </c>
      <c r="F2273" s="4" t="s">
        <v>4869</v>
      </c>
    </row>
    <row r="2274" spans="1:6">
      <c r="A2274" s="4" t="s">
        <v>4870</v>
      </c>
      <c r="B2274" s="6" t="s">
        <v>4865</v>
      </c>
      <c r="C2274" s="4" t="s">
        <v>81</v>
      </c>
      <c r="D2274" s="4">
        <v>15</v>
      </c>
      <c r="E2274" s="4" t="s">
        <v>2099</v>
      </c>
    </row>
    <row r="2275" spans="1:6">
      <c r="A2275" s="4" t="s">
        <v>4871</v>
      </c>
      <c r="B2275" s="6" t="s">
        <v>4865</v>
      </c>
      <c r="C2275" s="4" t="s">
        <v>104</v>
      </c>
      <c r="D2275" s="4">
        <v>9</v>
      </c>
      <c r="E2275" s="4" t="s">
        <v>4872</v>
      </c>
    </row>
    <row r="2276" spans="1:6">
      <c r="A2276" s="4" t="s">
        <v>4873</v>
      </c>
      <c r="B2276" s="6" t="s">
        <v>4874</v>
      </c>
      <c r="C2276" s="4" t="s">
        <v>87</v>
      </c>
      <c r="D2276" s="4">
        <v>8</v>
      </c>
      <c r="E2276" s="4" t="s">
        <v>4875</v>
      </c>
      <c r="F2276" s="4" t="s">
        <v>4876</v>
      </c>
    </row>
    <row r="2277" spans="1:6">
      <c r="A2277" s="4" t="s">
        <v>4877</v>
      </c>
      <c r="B2277" s="6" t="s">
        <v>4878</v>
      </c>
      <c r="C2277" s="4" t="s">
        <v>285</v>
      </c>
      <c r="D2277" s="4">
        <v>16</v>
      </c>
      <c r="E2277" s="4" t="s">
        <v>2881</v>
      </c>
    </row>
    <row r="2278" spans="1:6">
      <c r="A2278" s="4" t="s">
        <v>4879</v>
      </c>
      <c r="B2278" s="6" t="s">
        <v>4878</v>
      </c>
      <c r="C2278" s="4" t="s">
        <v>254</v>
      </c>
      <c r="D2278" s="4">
        <v>9</v>
      </c>
      <c r="E2278" s="4" t="s">
        <v>4880</v>
      </c>
      <c r="F2278" s="4" t="s">
        <v>4881</v>
      </c>
    </row>
    <row r="2279" spans="1:6">
      <c r="A2279" s="4" t="s">
        <v>4882</v>
      </c>
      <c r="B2279" s="6" t="s">
        <v>4878</v>
      </c>
      <c r="C2279" s="4" t="s">
        <v>23</v>
      </c>
      <c r="D2279" s="4">
        <v>10</v>
      </c>
      <c r="E2279" s="4" t="s">
        <v>4880</v>
      </c>
    </row>
    <row r="2280" spans="1:6">
      <c r="A2280" s="4" t="s">
        <v>4883</v>
      </c>
      <c r="B2280" s="6" t="s">
        <v>4878</v>
      </c>
      <c r="C2280" s="4" t="s">
        <v>14</v>
      </c>
      <c r="D2280" s="4">
        <v>10</v>
      </c>
      <c r="E2280" s="4" t="s">
        <v>4880</v>
      </c>
    </row>
    <row r="2281" spans="1:6">
      <c r="A2281" s="4" t="s">
        <v>4884</v>
      </c>
      <c r="B2281" s="6" t="s">
        <v>4878</v>
      </c>
      <c r="C2281" s="4" t="s">
        <v>285</v>
      </c>
      <c r="D2281" s="4">
        <v>10</v>
      </c>
      <c r="E2281" s="4" t="s">
        <v>4880</v>
      </c>
    </row>
    <row r="2282" spans="1:6">
      <c r="A2282" s="4" t="s">
        <v>4885</v>
      </c>
      <c r="B2282" s="6" t="s">
        <v>4878</v>
      </c>
      <c r="C2282" s="4" t="s">
        <v>285</v>
      </c>
      <c r="D2282" s="4">
        <v>10</v>
      </c>
      <c r="E2282" s="4" t="s">
        <v>4880</v>
      </c>
    </row>
    <row r="2283" spans="1:6">
      <c r="A2283" s="4" t="s">
        <v>4886</v>
      </c>
      <c r="B2283" s="6" t="s">
        <v>4887</v>
      </c>
      <c r="C2283" s="4" t="s">
        <v>427</v>
      </c>
      <c r="D2283" s="4">
        <v>13</v>
      </c>
      <c r="E2283" s="4" t="s">
        <v>4880</v>
      </c>
    </row>
    <row r="2284" spans="1:6">
      <c r="A2284" s="4" t="s">
        <v>4888</v>
      </c>
      <c r="B2284" s="6" t="s">
        <v>4889</v>
      </c>
    </row>
    <row r="2285" spans="1:6">
      <c r="A2285" s="4" t="s">
        <v>4890</v>
      </c>
      <c r="B2285" s="6" t="s">
        <v>4889</v>
      </c>
      <c r="C2285" s="4" t="s">
        <v>104</v>
      </c>
      <c r="D2285" s="4">
        <v>8</v>
      </c>
      <c r="E2285" s="4" t="s">
        <v>2812</v>
      </c>
    </row>
    <row r="2286" spans="1:6">
      <c r="A2286" s="4" t="s">
        <v>4891</v>
      </c>
      <c r="B2286" s="6" t="s">
        <v>4892</v>
      </c>
      <c r="C2286" s="4" t="s">
        <v>595</v>
      </c>
      <c r="D2286" s="4">
        <v>9</v>
      </c>
      <c r="F2286" s="4" t="s">
        <v>4893</v>
      </c>
    </row>
    <row r="2287" spans="1:6">
      <c r="A2287" s="4" t="s">
        <v>4894</v>
      </c>
      <c r="B2287" s="6" t="s">
        <v>4895</v>
      </c>
      <c r="C2287" s="4" t="s">
        <v>4514</v>
      </c>
      <c r="D2287" s="4">
        <v>24</v>
      </c>
      <c r="E2287" s="4" t="s">
        <v>1469</v>
      </c>
    </row>
    <row r="2288" spans="1:6">
      <c r="A2288" s="4" t="s">
        <v>4896</v>
      </c>
      <c r="B2288" s="6" t="s">
        <v>4895</v>
      </c>
      <c r="C2288" s="4" t="s">
        <v>427</v>
      </c>
      <c r="D2288" s="4">
        <v>17</v>
      </c>
      <c r="E2288" s="4" t="s">
        <v>1469</v>
      </c>
    </row>
    <row r="2289" spans="1:6">
      <c r="A2289" s="4" t="s">
        <v>4897</v>
      </c>
      <c r="B2289" s="6" t="s">
        <v>4895</v>
      </c>
      <c r="C2289" s="4" t="s">
        <v>23</v>
      </c>
      <c r="D2289" s="4">
        <v>14</v>
      </c>
      <c r="E2289" s="4" t="s">
        <v>1469</v>
      </c>
    </row>
    <row r="2290" spans="1:6">
      <c r="A2290" s="4" t="s">
        <v>4898</v>
      </c>
      <c r="B2290" s="6" t="s">
        <v>4899</v>
      </c>
      <c r="C2290" s="4" t="s">
        <v>414</v>
      </c>
      <c r="D2290" s="4">
        <v>11</v>
      </c>
      <c r="E2290" s="4" t="s">
        <v>1469</v>
      </c>
    </row>
    <row r="2291" spans="1:6">
      <c r="A2291" s="4" t="s">
        <v>4900</v>
      </c>
      <c r="B2291" s="6" t="s">
        <v>4901</v>
      </c>
      <c r="C2291" s="4" t="s">
        <v>595</v>
      </c>
      <c r="D2291" s="4">
        <v>11</v>
      </c>
    </row>
    <row r="2292" spans="1:6">
      <c r="A2292" s="4" t="s">
        <v>4902</v>
      </c>
      <c r="B2292" s="6" t="s">
        <v>4903</v>
      </c>
      <c r="C2292" s="4" t="s">
        <v>470</v>
      </c>
      <c r="D2292" s="4">
        <v>7</v>
      </c>
      <c r="E2292" s="4" t="s">
        <v>3152</v>
      </c>
      <c r="F2292" s="4" t="s">
        <v>4904</v>
      </c>
    </row>
    <row r="2293" spans="1:6">
      <c r="A2293" s="4" t="s">
        <v>4905</v>
      </c>
      <c r="B2293" s="6" t="s">
        <v>4906</v>
      </c>
      <c r="C2293" s="4" t="s">
        <v>271</v>
      </c>
      <c r="D2293" s="4">
        <v>4</v>
      </c>
      <c r="E2293" s="4" t="s">
        <v>4907</v>
      </c>
      <c r="F2293" s="4" t="s">
        <v>4908</v>
      </c>
    </row>
    <row r="2294" spans="1:6">
      <c r="A2294" s="4" t="s">
        <v>4909</v>
      </c>
      <c r="B2294" s="6" t="s">
        <v>4910</v>
      </c>
      <c r="C2294" s="4" t="s">
        <v>1078</v>
      </c>
      <c r="D2294" s="4">
        <v>7</v>
      </c>
      <c r="E2294" s="4" t="s">
        <v>4880</v>
      </c>
      <c r="F2294" s="4" t="s">
        <v>4911</v>
      </c>
    </row>
    <row r="2295" spans="1:6">
      <c r="A2295" s="4" t="s">
        <v>4912</v>
      </c>
      <c r="B2295" s="6" t="s">
        <v>4913</v>
      </c>
      <c r="C2295" s="4" t="s">
        <v>195</v>
      </c>
      <c r="D2295" s="4">
        <v>15</v>
      </c>
      <c r="E2295" s="4" t="s">
        <v>4880</v>
      </c>
      <c r="F2295" s="4" t="s">
        <v>1381</v>
      </c>
    </row>
    <row r="2296" spans="1:6">
      <c r="A2296" s="4" t="s">
        <v>4914</v>
      </c>
      <c r="B2296" s="6" t="s">
        <v>4915</v>
      </c>
      <c r="C2296" s="4" t="s">
        <v>81</v>
      </c>
      <c r="D2296" s="4">
        <v>12</v>
      </c>
      <c r="E2296" s="4" t="s">
        <v>3110</v>
      </c>
      <c r="F2296" s="4" t="s">
        <v>3811</v>
      </c>
    </row>
    <row r="2297" spans="1:6">
      <c r="A2297" s="4" t="s">
        <v>4916</v>
      </c>
      <c r="B2297" s="6" t="s">
        <v>4915</v>
      </c>
      <c r="C2297" s="4" t="s">
        <v>1129</v>
      </c>
      <c r="D2297" s="4">
        <v>20</v>
      </c>
      <c r="E2297" s="4" t="s">
        <v>3110</v>
      </c>
      <c r="F2297" s="4" t="s">
        <v>4917</v>
      </c>
    </row>
    <row r="2298" spans="1:6">
      <c r="A2298" s="4" t="s">
        <v>4918</v>
      </c>
      <c r="B2298" s="6" t="s">
        <v>4915</v>
      </c>
      <c r="C2298" s="4" t="s">
        <v>221</v>
      </c>
      <c r="D2298" s="4">
        <v>18</v>
      </c>
      <c r="E2298" s="4" t="s">
        <v>3110</v>
      </c>
      <c r="F2298" s="4" t="s">
        <v>4919</v>
      </c>
    </row>
    <row r="2299" spans="1:6">
      <c r="A2299" s="4" t="s">
        <v>4920</v>
      </c>
      <c r="B2299" s="6" t="s">
        <v>4915</v>
      </c>
      <c r="C2299" s="4" t="s">
        <v>92</v>
      </c>
      <c r="D2299" s="4">
        <v>24</v>
      </c>
      <c r="E2299" s="4" t="s">
        <v>3110</v>
      </c>
    </row>
    <row r="2300" spans="1:6">
      <c r="A2300" s="4" t="s">
        <v>4921</v>
      </c>
      <c r="B2300" s="6" t="s">
        <v>4915</v>
      </c>
      <c r="C2300" s="4" t="s">
        <v>37</v>
      </c>
      <c r="D2300" s="4">
        <v>16</v>
      </c>
      <c r="E2300" s="4" t="s">
        <v>3110</v>
      </c>
    </row>
    <row r="2301" spans="1:6">
      <c r="A2301" s="4" t="s">
        <v>4922</v>
      </c>
      <c r="B2301" s="6" t="s">
        <v>4915</v>
      </c>
      <c r="C2301" s="4" t="s">
        <v>23</v>
      </c>
      <c r="D2301" s="4">
        <v>9</v>
      </c>
      <c r="E2301" s="4" t="s">
        <v>3110</v>
      </c>
    </row>
    <row r="2302" spans="1:6">
      <c r="A2302" s="4" t="s">
        <v>4923</v>
      </c>
      <c r="B2302" s="6" t="s">
        <v>4924</v>
      </c>
      <c r="C2302" s="4" t="s">
        <v>221</v>
      </c>
      <c r="D2302" s="4">
        <v>18</v>
      </c>
      <c r="E2302" s="4" t="s">
        <v>3110</v>
      </c>
      <c r="F2302" s="4" t="s">
        <v>4925</v>
      </c>
    </row>
    <row r="2303" spans="1:6">
      <c r="A2303" s="4" t="s">
        <v>4926</v>
      </c>
      <c r="B2303" s="6" t="s">
        <v>4927</v>
      </c>
      <c r="C2303" s="4" t="s">
        <v>285</v>
      </c>
      <c r="D2303" s="4">
        <v>8</v>
      </c>
      <c r="E2303" s="4" t="s">
        <v>3013</v>
      </c>
      <c r="F2303" s="4" t="s">
        <v>4928</v>
      </c>
    </row>
    <row r="2304" spans="1:6">
      <c r="A2304" s="4" t="s">
        <v>4929</v>
      </c>
      <c r="B2304" s="6" t="s">
        <v>4927</v>
      </c>
      <c r="C2304" s="4" t="s">
        <v>37</v>
      </c>
      <c r="D2304" s="4">
        <v>16</v>
      </c>
      <c r="E2304" s="4" t="s">
        <v>150</v>
      </c>
      <c r="F2304" s="4" t="s">
        <v>4930</v>
      </c>
    </row>
    <row r="2305" spans="1:6">
      <c r="A2305" s="4" t="s">
        <v>4931</v>
      </c>
      <c r="B2305" s="6" t="s">
        <v>4927</v>
      </c>
      <c r="C2305" s="4" t="s">
        <v>143</v>
      </c>
      <c r="D2305" s="4">
        <v>9</v>
      </c>
      <c r="E2305" s="4" t="s">
        <v>150</v>
      </c>
      <c r="F2305" s="4" t="s">
        <v>4932</v>
      </c>
    </row>
    <row r="2306" spans="1:6">
      <c r="A2306" s="4" t="s">
        <v>4933</v>
      </c>
      <c r="B2306" s="6" t="s">
        <v>4927</v>
      </c>
      <c r="C2306" s="4" t="s">
        <v>254</v>
      </c>
      <c r="D2306" s="4">
        <v>11</v>
      </c>
      <c r="E2306" s="4" t="s">
        <v>4934</v>
      </c>
    </row>
    <row r="2307" spans="1:6">
      <c r="A2307" s="4" t="s">
        <v>4935</v>
      </c>
      <c r="B2307" s="6" t="s">
        <v>4936</v>
      </c>
      <c r="C2307" s="4" t="s">
        <v>485</v>
      </c>
      <c r="D2307" s="4">
        <v>12</v>
      </c>
      <c r="E2307" s="4" t="s">
        <v>2812</v>
      </c>
      <c r="F2307" s="4" t="s">
        <v>1336</v>
      </c>
    </row>
    <row r="2308" spans="1:6">
      <c r="A2308" s="4" t="s">
        <v>4937</v>
      </c>
      <c r="B2308" s="6" t="s">
        <v>4936</v>
      </c>
      <c r="C2308" s="4" t="s">
        <v>53</v>
      </c>
      <c r="D2308" s="4">
        <v>11</v>
      </c>
      <c r="E2308" s="4" t="s">
        <v>1483</v>
      </c>
    </row>
    <row r="2309" spans="1:6">
      <c r="A2309" s="4" t="s">
        <v>4938</v>
      </c>
      <c r="B2309" s="6" t="s">
        <v>4939</v>
      </c>
      <c r="C2309" s="4" t="s">
        <v>254</v>
      </c>
      <c r="D2309" s="4">
        <v>13</v>
      </c>
      <c r="E2309" s="4" t="s">
        <v>1469</v>
      </c>
    </row>
    <row r="2310" spans="1:6">
      <c r="A2310" s="4" t="s">
        <v>544</v>
      </c>
      <c r="B2310" s="6" t="s">
        <v>4940</v>
      </c>
      <c r="C2310" s="4" t="s">
        <v>544</v>
      </c>
      <c r="D2310" s="4">
        <v>4</v>
      </c>
      <c r="E2310" s="4" t="s">
        <v>4941</v>
      </c>
    </row>
    <row r="2311" spans="1:6">
      <c r="A2311" s="4" t="s">
        <v>4942</v>
      </c>
      <c r="B2311" s="6" t="s">
        <v>4943</v>
      </c>
      <c r="C2311" s="4" t="s">
        <v>23</v>
      </c>
      <c r="D2311" s="4">
        <v>7</v>
      </c>
      <c r="E2311" s="4" t="s">
        <v>4944</v>
      </c>
    </row>
    <row r="2312" spans="1:6">
      <c r="A2312" s="4" t="s">
        <v>4945</v>
      </c>
      <c r="B2312" s="6" t="s">
        <v>4946</v>
      </c>
      <c r="C2312" s="4" t="s">
        <v>315</v>
      </c>
      <c r="D2312" s="4">
        <v>14</v>
      </c>
      <c r="E2312" s="4" t="s">
        <v>4944</v>
      </c>
      <c r="F2312" s="4" t="s">
        <v>4947</v>
      </c>
    </row>
    <row r="2313" spans="1:6">
      <c r="A2313" s="4" t="s">
        <v>4948</v>
      </c>
      <c r="B2313" s="6" t="s">
        <v>4949</v>
      </c>
      <c r="C2313" s="4" t="s">
        <v>595</v>
      </c>
      <c r="D2313" s="4">
        <v>9</v>
      </c>
      <c r="F2313" s="4" t="s">
        <v>4950</v>
      </c>
    </row>
    <row r="2314" spans="1:6">
      <c r="A2314" s="4" t="s">
        <v>4951</v>
      </c>
      <c r="B2314" s="6" t="s">
        <v>4946</v>
      </c>
      <c r="C2314" s="4" t="s">
        <v>76</v>
      </c>
      <c r="D2314" s="4">
        <v>11</v>
      </c>
      <c r="E2314" s="4" t="s">
        <v>972</v>
      </c>
    </row>
    <row r="2315" spans="1:6">
      <c r="A2315" s="4" t="s">
        <v>4952</v>
      </c>
      <c r="B2315" s="6" t="s">
        <v>4953</v>
      </c>
      <c r="C2315" s="4" t="s">
        <v>92</v>
      </c>
      <c r="D2315" s="4">
        <v>21</v>
      </c>
      <c r="E2315" s="4" t="s">
        <v>4954</v>
      </c>
    </row>
    <row r="2316" spans="1:6">
      <c r="A2316" s="4" t="s">
        <v>4955</v>
      </c>
      <c r="B2316" s="6" t="s">
        <v>4956</v>
      </c>
      <c r="C2316" s="4" t="s">
        <v>27</v>
      </c>
      <c r="D2316" s="4">
        <v>9</v>
      </c>
      <c r="E2316" s="4" t="s">
        <v>4954</v>
      </c>
    </row>
    <row r="2317" spans="1:6">
      <c r="A2317" s="4" t="s">
        <v>4957</v>
      </c>
      <c r="B2317" s="6" t="s">
        <v>4958</v>
      </c>
      <c r="C2317" s="4" t="s">
        <v>254</v>
      </c>
      <c r="D2317" s="4">
        <v>11</v>
      </c>
      <c r="E2317" s="4" t="s">
        <v>4959</v>
      </c>
    </row>
    <row r="2318" spans="1:6">
      <c r="A2318" s="4" t="s">
        <v>4960</v>
      </c>
      <c r="B2318" s="6" t="s">
        <v>4961</v>
      </c>
      <c r="C2318" s="4" t="s">
        <v>81</v>
      </c>
      <c r="D2318" s="4">
        <v>16</v>
      </c>
      <c r="E2318" s="4" t="s">
        <v>4944</v>
      </c>
    </row>
    <row r="2319" spans="1:6">
      <c r="A2319" s="4" t="s">
        <v>4962</v>
      </c>
      <c r="B2319" s="6" t="s">
        <v>4963</v>
      </c>
      <c r="C2319" s="4" t="s">
        <v>595</v>
      </c>
      <c r="D2319" s="4">
        <v>7</v>
      </c>
      <c r="F2319" s="4" t="s">
        <v>4964</v>
      </c>
    </row>
    <row r="2320" spans="1:6">
      <c r="A2320" s="4" t="s">
        <v>4965</v>
      </c>
      <c r="B2320" s="6" t="s">
        <v>4966</v>
      </c>
      <c r="C2320" s="4" t="s">
        <v>285</v>
      </c>
      <c r="D2320" s="4">
        <v>7</v>
      </c>
      <c r="E2320" s="4" t="s">
        <v>900</v>
      </c>
    </row>
    <row r="2321" spans="1:6">
      <c r="A2321" s="4" t="s">
        <v>4967</v>
      </c>
      <c r="B2321" s="6" t="s">
        <v>4968</v>
      </c>
      <c r="C2321" s="4" t="s">
        <v>285</v>
      </c>
      <c r="D2321" s="4">
        <v>6</v>
      </c>
      <c r="E2321" s="4" t="s">
        <v>832</v>
      </c>
    </row>
    <row r="2322" spans="1:6">
      <c r="A2322" s="4" t="s">
        <v>4969</v>
      </c>
      <c r="B2322" s="6" t="s">
        <v>4970</v>
      </c>
      <c r="C2322" s="4" t="s">
        <v>23</v>
      </c>
      <c r="D2322" s="4">
        <v>6</v>
      </c>
      <c r="E2322" s="4" t="s">
        <v>832</v>
      </c>
      <c r="F2322" s="4" t="s">
        <v>4971</v>
      </c>
    </row>
    <row r="2323" spans="1:6">
      <c r="A2323" s="4" t="s">
        <v>4972</v>
      </c>
      <c r="B2323" s="6" t="s">
        <v>4973</v>
      </c>
      <c r="C2323" s="4" t="s">
        <v>1248</v>
      </c>
      <c r="D2323" s="4">
        <v>11</v>
      </c>
      <c r="E2323" s="4" t="s">
        <v>3827</v>
      </c>
    </row>
    <row r="2324" spans="1:6">
      <c r="A2324" s="4" t="s">
        <v>4974</v>
      </c>
      <c r="B2324" s="6" t="s">
        <v>4973</v>
      </c>
      <c r="C2324" s="4" t="s">
        <v>254</v>
      </c>
      <c r="D2324" s="4">
        <v>10</v>
      </c>
      <c r="E2324" s="4" t="s">
        <v>3827</v>
      </c>
    </row>
    <row r="2325" spans="1:6">
      <c r="A2325" s="4" t="s">
        <v>4975</v>
      </c>
      <c r="B2325" s="6" t="s">
        <v>4976</v>
      </c>
      <c r="C2325" s="4" t="s">
        <v>275</v>
      </c>
      <c r="D2325" s="4">
        <v>7</v>
      </c>
      <c r="E2325" s="4" t="s">
        <v>3827</v>
      </c>
      <c r="F2325" s="4" t="s">
        <v>4977</v>
      </c>
    </row>
    <row r="2326" spans="1:6">
      <c r="A2326" s="4" t="s">
        <v>4978</v>
      </c>
      <c r="B2326" s="6" t="s">
        <v>4979</v>
      </c>
      <c r="C2326" s="4" t="s">
        <v>49</v>
      </c>
      <c r="D2326" s="4">
        <v>7</v>
      </c>
      <c r="E2326" s="4" t="s">
        <v>3827</v>
      </c>
    </row>
    <row r="2327" spans="1:6">
      <c r="A2327" s="4" t="s">
        <v>4980</v>
      </c>
      <c r="B2327" s="6" t="s">
        <v>4979</v>
      </c>
      <c r="C2327" s="4" t="s">
        <v>963</v>
      </c>
      <c r="D2327" s="4">
        <v>2</v>
      </c>
      <c r="E2327" s="4" t="s">
        <v>727</v>
      </c>
    </row>
    <row r="2328" spans="1:6">
      <c r="A2328" s="4" t="s">
        <v>4981</v>
      </c>
      <c r="B2328" s="6" t="s">
        <v>4979</v>
      </c>
      <c r="C2328" s="4" t="s">
        <v>23</v>
      </c>
      <c r="D2328" s="4">
        <v>21</v>
      </c>
      <c r="E2328" s="4" t="s">
        <v>3827</v>
      </c>
    </row>
    <row r="2329" spans="1:6">
      <c r="A2329" s="4" t="s">
        <v>4982</v>
      </c>
      <c r="B2329" s="6" t="s">
        <v>4979</v>
      </c>
      <c r="C2329" s="4" t="s">
        <v>37</v>
      </c>
      <c r="D2329" s="4">
        <v>13</v>
      </c>
      <c r="E2329" s="4" t="s">
        <v>852</v>
      </c>
      <c r="F2329" s="4" t="s">
        <v>4983</v>
      </c>
    </row>
    <row r="2330" spans="1:6">
      <c r="A2330" s="4" t="s">
        <v>4984</v>
      </c>
      <c r="B2330" s="6" t="s">
        <v>4985</v>
      </c>
      <c r="C2330" s="4" t="s">
        <v>254</v>
      </c>
      <c r="D2330" s="4">
        <v>15</v>
      </c>
      <c r="E2330" s="4" t="s">
        <v>2881</v>
      </c>
    </row>
    <row r="2331" spans="1:6">
      <c r="A2331" s="4" t="s">
        <v>4986</v>
      </c>
      <c r="B2331" s="6" t="s">
        <v>4985</v>
      </c>
      <c r="C2331" s="4" t="s">
        <v>4987</v>
      </c>
      <c r="D2331" s="4">
        <v>14</v>
      </c>
      <c r="E2331" s="4" t="s">
        <v>2881</v>
      </c>
      <c r="F2331" s="4" t="s">
        <v>4988</v>
      </c>
    </row>
    <row r="2332" spans="1:6">
      <c r="A2332" s="4" t="s">
        <v>4989</v>
      </c>
      <c r="B2332" s="6" t="s">
        <v>4985</v>
      </c>
      <c r="C2332" s="4" t="s">
        <v>45</v>
      </c>
      <c r="D2332" s="4">
        <v>8</v>
      </c>
      <c r="E2332" s="4" t="s">
        <v>2881</v>
      </c>
      <c r="F2332" s="4" t="s">
        <v>4990</v>
      </c>
    </row>
    <row r="2333" spans="1:6">
      <c r="A2333" s="4" t="s">
        <v>4991</v>
      </c>
      <c r="B2333" s="6" t="s">
        <v>4985</v>
      </c>
      <c r="C2333" s="4" t="s">
        <v>285</v>
      </c>
      <c r="D2333" s="4">
        <v>17</v>
      </c>
      <c r="E2333" s="4" t="s">
        <v>4992</v>
      </c>
    </row>
    <row r="2334" spans="1:6">
      <c r="A2334" s="4" t="s">
        <v>4993</v>
      </c>
      <c r="B2334" s="6" t="s">
        <v>4994</v>
      </c>
      <c r="C2334" s="4" t="s">
        <v>87</v>
      </c>
      <c r="D2334" s="4">
        <v>7</v>
      </c>
      <c r="E2334" s="4" t="s">
        <v>3879</v>
      </c>
    </row>
    <row r="2335" spans="1:6">
      <c r="A2335" s="4" t="s">
        <v>4995</v>
      </c>
      <c r="B2335" s="6" t="s">
        <v>4996</v>
      </c>
      <c r="C2335" s="4" t="s">
        <v>1726</v>
      </c>
      <c r="D2335" s="4">
        <v>17</v>
      </c>
      <c r="E2335" s="4" t="s">
        <v>4997</v>
      </c>
      <c r="F2335" s="4" t="s">
        <v>4998</v>
      </c>
    </row>
    <row r="2336" spans="1:6">
      <c r="A2336" s="4" t="s">
        <v>4999</v>
      </c>
      <c r="B2336" s="6" t="s">
        <v>4996</v>
      </c>
      <c r="C2336" s="4" t="s">
        <v>23</v>
      </c>
      <c r="D2336" s="4">
        <v>20</v>
      </c>
      <c r="E2336" s="4" t="s">
        <v>4997</v>
      </c>
      <c r="F2336" s="4" t="s">
        <v>4998</v>
      </c>
    </row>
    <row r="2337" spans="1:6">
      <c r="A2337" s="4" t="s">
        <v>5000</v>
      </c>
      <c r="B2337" s="6" t="s">
        <v>5001</v>
      </c>
      <c r="C2337" s="4" t="s">
        <v>485</v>
      </c>
      <c r="D2337" s="4">
        <v>9</v>
      </c>
      <c r="E2337" s="4" t="s">
        <v>2887</v>
      </c>
      <c r="F2337" s="4" t="s">
        <v>5002</v>
      </c>
    </row>
    <row r="2338" spans="1:6">
      <c r="A2338" s="4" t="s">
        <v>5003</v>
      </c>
      <c r="B2338" s="6" t="s">
        <v>5004</v>
      </c>
      <c r="C2338" s="4" t="s">
        <v>595</v>
      </c>
      <c r="D2338" s="4">
        <v>8</v>
      </c>
      <c r="F2338" s="4" t="s">
        <v>5005</v>
      </c>
    </row>
    <row r="2339" spans="1:6">
      <c r="A2339" s="4" t="s">
        <v>5006</v>
      </c>
      <c r="B2339" s="6" t="s">
        <v>5001</v>
      </c>
      <c r="C2339" s="4" t="s">
        <v>14</v>
      </c>
      <c r="D2339" s="4">
        <v>7</v>
      </c>
      <c r="E2339" s="4" t="s">
        <v>2910</v>
      </c>
    </row>
    <row r="2340" spans="1:6">
      <c r="A2340" s="4" t="s">
        <v>5007</v>
      </c>
      <c r="B2340" s="6" t="s">
        <v>5008</v>
      </c>
      <c r="C2340" s="4" t="s">
        <v>976</v>
      </c>
      <c r="D2340" s="4">
        <v>8</v>
      </c>
      <c r="E2340" s="4" t="s">
        <v>2925</v>
      </c>
      <c r="F2340" s="4" t="s">
        <v>5009</v>
      </c>
    </row>
    <row r="2341" spans="1:6">
      <c r="A2341" s="4" t="s">
        <v>5010</v>
      </c>
      <c r="B2341" s="6" t="s">
        <v>5008</v>
      </c>
      <c r="C2341" s="4" t="s">
        <v>254</v>
      </c>
      <c r="D2341" s="4">
        <v>14</v>
      </c>
      <c r="E2341" s="4" t="s">
        <v>2925</v>
      </c>
    </row>
    <row r="2342" spans="1:6">
      <c r="A2342" s="4" t="s">
        <v>5011</v>
      </c>
      <c r="B2342" s="6" t="s">
        <v>5008</v>
      </c>
      <c r="C2342" s="4" t="s">
        <v>27</v>
      </c>
      <c r="D2342" s="4">
        <v>12</v>
      </c>
      <c r="E2342" s="4" t="s">
        <v>2925</v>
      </c>
      <c r="F2342" s="4" t="s">
        <v>5009</v>
      </c>
    </row>
    <row r="2343" spans="1:6">
      <c r="A2343" s="4" t="s">
        <v>5012</v>
      </c>
      <c r="B2343" s="6" t="s">
        <v>5008</v>
      </c>
      <c r="C2343" s="4" t="s">
        <v>285</v>
      </c>
      <c r="D2343" s="4">
        <v>15</v>
      </c>
      <c r="E2343" s="4" t="s">
        <v>2925</v>
      </c>
    </row>
    <row r="2344" spans="1:6">
      <c r="A2344" s="4" t="s">
        <v>5013</v>
      </c>
      <c r="B2344" s="6" t="s">
        <v>5014</v>
      </c>
      <c r="C2344" s="4" t="s">
        <v>254</v>
      </c>
      <c r="D2344" s="4">
        <v>22</v>
      </c>
      <c r="E2344" s="4" t="s">
        <v>150</v>
      </c>
    </row>
    <row r="2345" spans="1:6">
      <c r="A2345" s="4" t="s">
        <v>41</v>
      </c>
      <c r="B2345" s="6" t="s">
        <v>5014</v>
      </c>
      <c r="C2345" s="4" t="s">
        <v>41</v>
      </c>
      <c r="D2345" s="4">
        <v>3</v>
      </c>
      <c r="E2345" s="4" t="s">
        <v>150</v>
      </c>
    </row>
    <row r="2346" spans="1:6">
      <c r="A2346" s="4" t="s">
        <v>5015</v>
      </c>
      <c r="B2346" s="6" t="s">
        <v>5016</v>
      </c>
      <c r="C2346" s="4" t="s">
        <v>268</v>
      </c>
      <c r="D2346" s="4">
        <v>18</v>
      </c>
      <c r="E2346" s="4" t="s">
        <v>2910</v>
      </c>
      <c r="F2346" s="4" t="s">
        <v>5017</v>
      </c>
    </row>
    <row r="2347" spans="1:6">
      <c r="A2347" s="4" t="s">
        <v>5018</v>
      </c>
      <c r="B2347" s="6" t="s">
        <v>5019</v>
      </c>
      <c r="C2347" s="4" t="s">
        <v>53</v>
      </c>
      <c r="D2347" s="4">
        <v>13</v>
      </c>
      <c r="E2347" s="4" t="s">
        <v>5020</v>
      </c>
      <c r="F2347" s="4" t="s">
        <v>3895</v>
      </c>
    </row>
    <row r="2348" spans="1:6">
      <c r="A2348" s="4" t="s">
        <v>5021</v>
      </c>
      <c r="B2348" s="6" t="s">
        <v>5022</v>
      </c>
      <c r="C2348" s="4" t="s">
        <v>34</v>
      </c>
      <c r="D2348" s="4">
        <v>17</v>
      </c>
      <c r="E2348" s="4" t="s">
        <v>2881</v>
      </c>
      <c r="F2348" s="4" t="s">
        <v>1166</v>
      </c>
    </row>
    <row r="2349" spans="1:6">
      <c r="A2349" s="4" t="s">
        <v>5023</v>
      </c>
      <c r="B2349" s="6" t="s">
        <v>5024</v>
      </c>
      <c r="C2349" s="4" t="s">
        <v>1851</v>
      </c>
      <c r="D2349" s="4">
        <v>13</v>
      </c>
      <c r="E2349" s="4" t="s">
        <v>2881</v>
      </c>
    </row>
    <row r="2350" spans="1:6">
      <c r="A2350" s="4" t="s">
        <v>5025</v>
      </c>
      <c r="B2350" s="6" t="s">
        <v>5026</v>
      </c>
      <c r="C2350" s="4" t="s">
        <v>37</v>
      </c>
      <c r="D2350" s="4">
        <v>20</v>
      </c>
      <c r="E2350" s="4" t="s">
        <v>2881</v>
      </c>
    </row>
    <row r="2351" spans="1:6">
      <c r="A2351" s="4" t="s">
        <v>5027</v>
      </c>
      <c r="B2351" s="6" t="s">
        <v>5026</v>
      </c>
      <c r="C2351" s="4" t="s">
        <v>37</v>
      </c>
      <c r="D2351" s="4">
        <v>15</v>
      </c>
      <c r="E2351" s="4" t="s">
        <v>2881</v>
      </c>
      <c r="F2351" s="4" t="s">
        <v>5028</v>
      </c>
    </row>
    <row r="2352" spans="1:6">
      <c r="A2352" s="4" t="s">
        <v>5029</v>
      </c>
      <c r="B2352" s="6" t="s">
        <v>5026</v>
      </c>
      <c r="C2352" s="4" t="s">
        <v>163</v>
      </c>
      <c r="D2352" s="4">
        <v>11</v>
      </c>
      <c r="E2352" s="4" t="s">
        <v>1140</v>
      </c>
      <c r="F2352" s="4" t="s">
        <v>5030</v>
      </c>
    </row>
    <row r="2353" spans="1:6">
      <c r="A2353" s="4" t="s">
        <v>5031</v>
      </c>
      <c r="B2353" s="6" t="s">
        <v>5026</v>
      </c>
      <c r="C2353" s="4" t="s">
        <v>427</v>
      </c>
      <c r="D2353" s="4">
        <v>19</v>
      </c>
      <c r="E2353" s="4" t="s">
        <v>2881</v>
      </c>
      <c r="F2353" s="4" t="s">
        <v>5032</v>
      </c>
    </row>
    <row r="2354" spans="1:6">
      <c r="A2354" s="4" t="s">
        <v>5033</v>
      </c>
      <c r="B2354" s="6" t="s">
        <v>5034</v>
      </c>
      <c r="C2354" s="4" t="s">
        <v>275</v>
      </c>
      <c r="D2354" s="4">
        <v>9</v>
      </c>
      <c r="E2354" s="4" t="s">
        <v>5035</v>
      </c>
      <c r="F2354" s="4" t="s">
        <v>5036</v>
      </c>
    </row>
    <row r="2355" spans="1:6">
      <c r="A2355" s="4" t="s">
        <v>5037</v>
      </c>
      <c r="B2355" s="6" t="s">
        <v>5038</v>
      </c>
      <c r="C2355" s="4" t="s">
        <v>246</v>
      </c>
      <c r="D2355" s="4">
        <v>13</v>
      </c>
      <c r="E2355" s="4" t="s">
        <v>721</v>
      </c>
      <c r="F2355" s="4" t="s">
        <v>2061</v>
      </c>
    </row>
    <row r="2356" spans="1:6">
      <c r="A2356" s="4" t="s">
        <v>5039</v>
      </c>
      <c r="B2356" s="6" t="s">
        <v>5040</v>
      </c>
      <c r="C2356" s="4" t="s">
        <v>221</v>
      </c>
      <c r="D2356" s="4">
        <v>13</v>
      </c>
      <c r="E2356" s="4" t="s">
        <v>3013</v>
      </c>
      <c r="F2356" s="4" t="s">
        <v>5041</v>
      </c>
    </row>
    <row r="2357" spans="1:6">
      <c r="A2357" s="4" t="s">
        <v>5042</v>
      </c>
      <c r="B2357" s="6" t="s">
        <v>5043</v>
      </c>
      <c r="C2357" s="4" t="s">
        <v>1569</v>
      </c>
      <c r="D2357" s="4">
        <v>5</v>
      </c>
      <c r="E2357" s="4" t="s">
        <v>5044</v>
      </c>
      <c r="F2357" s="4" t="s">
        <v>5045</v>
      </c>
    </row>
    <row r="2358" spans="1:6">
      <c r="A2358" s="4" t="s">
        <v>5046</v>
      </c>
      <c r="B2358" s="6" t="s">
        <v>5047</v>
      </c>
      <c r="C2358" s="4" t="s">
        <v>57</v>
      </c>
      <c r="D2358" s="4">
        <v>8</v>
      </c>
      <c r="E2358" s="4" t="s">
        <v>3013</v>
      </c>
      <c r="F2358" s="4" t="s">
        <v>4273</v>
      </c>
    </row>
    <row r="2359" spans="1:6">
      <c r="A2359" s="4" t="s">
        <v>5048</v>
      </c>
      <c r="B2359" s="6" t="s">
        <v>5049</v>
      </c>
      <c r="C2359" s="4" t="s">
        <v>595</v>
      </c>
      <c r="D2359" s="4">
        <v>14</v>
      </c>
      <c r="F2359" s="4" t="s">
        <v>5050</v>
      </c>
    </row>
    <row r="2360" spans="1:6">
      <c r="A2360" s="4" t="s">
        <v>5051</v>
      </c>
      <c r="B2360" s="6" t="s">
        <v>5052</v>
      </c>
      <c r="C2360" s="4" t="s">
        <v>23</v>
      </c>
      <c r="D2360" s="4">
        <v>7</v>
      </c>
      <c r="E2360" s="4" t="s">
        <v>2812</v>
      </c>
    </row>
    <row r="2361" spans="1:6">
      <c r="A2361" s="4" t="s">
        <v>595</v>
      </c>
      <c r="B2361" s="6" t="s">
        <v>5053</v>
      </c>
      <c r="C2361" s="4" t="s">
        <v>595</v>
      </c>
      <c r="D2361" s="4">
        <v>5</v>
      </c>
      <c r="E2361" s="4" t="s">
        <v>4880</v>
      </c>
      <c r="F2361" s="4" t="s">
        <v>5054</v>
      </c>
    </row>
    <row r="2362" spans="1:6">
      <c r="A2362" s="4" t="s">
        <v>5055</v>
      </c>
      <c r="B2362" s="6" t="s">
        <v>5056</v>
      </c>
      <c r="C2362" s="4" t="s">
        <v>263</v>
      </c>
      <c r="D2362" s="4">
        <v>4</v>
      </c>
      <c r="E2362" s="4" t="s">
        <v>2640</v>
      </c>
      <c r="F2362" s="4" t="s">
        <v>5057</v>
      </c>
    </row>
    <row r="2363" spans="1:6">
      <c r="A2363" s="4" t="s">
        <v>5058</v>
      </c>
      <c r="B2363" s="6" t="s">
        <v>5059</v>
      </c>
      <c r="C2363" s="4" t="s">
        <v>4016</v>
      </c>
      <c r="D2363" s="4">
        <v>9</v>
      </c>
      <c r="E2363" s="4" t="s">
        <v>4880</v>
      </c>
      <c r="F2363" s="4" t="s">
        <v>5060</v>
      </c>
    </row>
    <row r="2364" spans="1:6">
      <c r="A2364" s="4" t="s">
        <v>218</v>
      </c>
      <c r="B2364" s="6" t="s">
        <v>5061</v>
      </c>
      <c r="C2364" s="4" t="s">
        <v>57</v>
      </c>
      <c r="D2364" s="4">
        <v>5</v>
      </c>
      <c r="E2364" s="4" t="s">
        <v>5062</v>
      </c>
      <c r="F2364" s="4" t="s">
        <v>940</v>
      </c>
    </row>
    <row r="2365" spans="1:6">
      <c r="A2365" s="4" t="s">
        <v>5063</v>
      </c>
      <c r="B2365" s="6" t="s">
        <v>5064</v>
      </c>
      <c r="C2365" s="4" t="s">
        <v>23</v>
      </c>
      <c r="D2365" s="4">
        <v>7</v>
      </c>
      <c r="E2365" s="4" t="s">
        <v>5065</v>
      </c>
      <c r="F2365" s="4" t="s">
        <v>5066</v>
      </c>
    </row>
    <row r="2366" spans="1:6">
      <c r="A2366" s="4" t="s">
        <v>5067</v>
      </c>
      <c r="B2366" s="6" t="s">
        <v>5064</v>
      </c>
      <c r="C2366" s="4" t="s">
        <v>23</v>
      </c>
      <c r="D2366" s="4">
        <v>7</v>
      </c>
      <c r="E2366" s="4" t="s">
        <v>2640</v>
      </c>
      <c r="F2366" s="4" t="s">
        <v>4911</v>
      </c>
    </row>
    <row r="2367" spans="1:6">
      <c r="A2367" s="4" t="s">
        <v>5068</v>
      </c>
      <c r="B2367" s="6" t="s">
        <v>5064</v>
      </c>
      <c r="C2367" s="4" t="s">
        <v>53</v>
      </c>
      <c r="D2367" s="4">
        <v>11</v>
      </c>
      <c r="E2367" s="4" t="s">
        <v>2640</v>
      </c>
    </row>
    <row r="2368" spans="1:6">
      <c r="A2368" s="4" t="s">
        <v>5069</v>
      </c>
      <c r="B2368" s="6" t="s">
        <v>5064</v>
      </c>
      <c r="C2368" s="4" t="s">
        <v>427</v>
      </c>
      <c r="D2368" s="4">
        <v>13</v>
      </c>
      <c r="E2368" s="4" t="s">
        <v>2640</v>
      </c>
    </row>
    <row r="2369" spans="1:6">
      <c r="A2369" s="4" t="s">
        <v>5070</v>
      </c>
      <c r="B2369" s="6" t="s">
        <v>5064</v>
      </c>
      <c r="C2369" s="4" t="s">
        <v>1231</v>
      </c>
      <c r="D2369" s="4">
        <v>18</v>
      </c>
      <c r="E2369" s="4" t="s">
        <v>5071</v>
      </c>
    </row>
    <row r="2370" spans="1:6">
      <c r="A2370" s="4" t="s">
        <v>5072</v>
      </c>
      <c r="B2370" s="6" t="s">
        <v>5073</v>
      </c>
      <c r="C2370" s="4" t="s">
        <v>1129</v>
      </c>
      <c r="D2370" s="4">
        <v>17</v>
      </c>
      <c r="E2370" s="4" t="s">
        <v>5044</v>
      </c>
      <c r="F2370" s="4" t="s">
        <v>5074</v>
      </c>
    </row>
    <row r="2371" spans="1:6">
      <c r="A2371" s="4" t="s">
        <v>5075</v>
      </c>
      <c r="B2371" s="6" t="s">
        <v>5073</v>
      </c>
      <c r="C2371" s="4" t="s">
        <v>285</v>
      </c>
      <c r="D2371" s="4">
        <v>13</v>
      </c>
      <c r="E2371" s="4" t="s">
        <v>805</v>
      </c>
    </row>
    <row r="2372" spans="1:6">
      <c r="A2372" s="4" t="s">
        <v>37</v>
      </c>
      <c r="B2372" s="6" t="s">
        <v>5076</v>
      </c>
      <c r="C2372" s="4" t="s">
        <v>37</v>
      </c>
      <c r="D2372" s="4">
        <v>7</v>
      </c>
      <c r="E2372" s="4" t="s">
        <v>4997</v>
      </c>
      <c r="F2372" s="4" t="s">
        <v>5077</v>
      </c>
    </row>
    <row r="2373" spans="1:6">
      <c r="A2373" s="4" t="s">
        <v>5078</v>
      </c>
      <c r="B2373" s="6" t="s">
        <v>5079</v>
      </c>
      <c r="C2373" s="4" t="s">
        <v>458</v>
      </c>
      <c r="D2373" s="4">
        <v>7</v>
      </c>
      <c r="E2373" s="4" t="s">
        <v>2099</v>
      </c>
      <c r="F2373" s="4" t="s">
        <v>5080</v>
      </c>
    </row>
    <row r="2374" spans="1:6">
      <c r="A2374" s="4" t="s">
        <v>5081</v>
      </c>
      <c r="B2374" s="6" t="s">
        <v>5082</v>
      </c>
      <c r="C2374" s="4" t="s">
        <v>23</v>
      </c>
      <c r="D2374" s="4">
        <v>7</v>
      </c>
      <c r="E2374" s="4" t="s">
        <v>346</v>
      </c>
      <c r="F2374" s="4" t="s">
        <v>5083</v>
      </c>
    </row>
    <row r="2375" spans="1:6">
      <c r="A2375" s="4" t="s">
        <v>5084</v>
      </c>
      <c r="B2375" s="6" t="s">
        <v>5085</v>
      </c>
      <c r="C2375" s="4" t="s">
        <v>81</v>
      </c>
      <c r="D2375" s="4">
        <v>7</v>
      </c>
      <c r="E2375" s="4" t="s">
        <v>2640</v>
      </c>
    </row>
    <row r="2376" spans="1:6">
      <c r="A2376" s="4" t="s">
        <v>5086</v>
      </c>
      <c r="B2376" s="6" t="s">
        <v>5087</v>
      </c>
      <c r="C2376" s="4" t="s">
        <v>37</v>
      </c>
      <c r="D2376" s="4">
        <v>14</v>
      </c>
      <c r="E2376" s="4" t="s">
        <v>5065</v>
      </c>
      <c r="F2376" s="4" t="s">
        <v>5088</v>
      </c>
    </row>
    <row r="2377" spans="1:6">
      <c r="A2377" s="4" t="s">
        <v>5089</v>
      </c>
      <c r="B2377" s="6" t="s">
        <v>5087</v>
      </c>
      <c r="C2377" s="4" t="s">
        <v>275</v>
      </c>
      <c r="D2377" s="4">
        <v>12</v>
      </c>
      <c r="E2377" s="4" t="s">
        <v>5090</v>
      </c>
      <c r="F2377" s="4" t="s">
        <v>3201</v>
      </c>
    </row>
    <row r="2378" spans="1:6">
      <c r="A2378" s="4" t="s">
        <v>5091</v>
      </c>
      <c r="B2378" s="6" t="s">
        <v>5087</v>
      </c>
      <c r="C2378" s="4" t="s">
        <v>81</v>
      </c>
      <c r="D2378" s="4">
        <v>10</v>
      </c>
      <c r="E2378" s="4" t="s">
        <v>2640</v>
      </c>
      <c r="F2378" s="4" t="s">
        <v>5092</v>
      </c>
    </row>
    <row r="2379" spans="1:6">
      <c r="A2379" s="4" t="s">
        <v>5093</v>
      </c>
      <c r="B2379" s="6" t="s">
        <v>5087</v>
      </c>
      <c r="C2379" s="4" t="s">
        <v>104</v>
      </c>
      <c r="D2379" s="4">
        <v>11</v>
      </c>
      <c r="E2379" s="4" t="s">
        <v>2640</v>
      </c>
    </row>
    <row r="2380" spans="1:6">
      <c r="A2380" s="4" t="s">
        <v>5094</v>
      </c>
      <c r="B2380" s="6" t="s">
        <v>5087</v>
      </c>
      <c r="C2380" s="4" t="s">
        <v>23</v>
      </c>
      <c r="D2380" s="4">
        <v>10</v>
      </c>
      <c r="E2380" s="4" t="s">
        <v>2640</v>
      </c>
    </row>
    <row r="2381" spans="1:6">
      <c r="A2381" s="4" t="s">
        <v>5095</v>
      </c>
      <c r="B2381" s="6" t="s">
        <v>5087</v>
      </c>
      <c r="C2381" s="4" t="s">
        <v>45</v>
      </c>
      <c r="D2381" s="4">
        <v>14</v>
      </c>
      <c r="E2381" s="4" t="s">
        <v>2640</v>
      </c>
    </row>
    <row r="2382" spans="1:6">
      <c r="A2382" s="4" t="s">
        <v>5096</v>
      </c>
      <c r="B2382" s="6" t="s">
        <v>5097</v>
      </c>
      <c r="C2382" s="4" t="s">
        <v>976</v>
      </c>
      <c r="D2382" s="4">
        <v>3</v>
      </c>
      <c r="E2382" s="4" t="s">
        <v>5098</v>
      </c>
    </row>
    <row r="2383" spans="1:6">
      <c r="A2383" s="4" t="s">
        <v>5099</v>
      </c>
      <c r="B2383" s="6" t="s">
        <v>5100</v>
      </c>
      <c r="C2383" s="4" t="s">
        <v>3181</v>
      </c>
      <c r="D2383" s="4">
        <v>13</v>
      </c>
      <c r="E2383" s="4" t="s">
        <v>1442</v>
      </c>
    </row>
    <row r="2384" spans="1:6">
      <c r="A2384" s="4" t="s">
        <v>5101</v>
      </c>
      <c r="B2384" s="6" t="s">
        <v>5100</v>
      </c>
      <c r="C2384" s="4" t="s">
        <v>14</v>
      </c>
      <c r="D2384" s="4">
        <v>10</v>
      </c>
      <c r="E2384" s="4" t="s">
        <v>5065</v>
      </c>
    </row>
    <row r="2385" spans="1:6">
      <c r="A2385" s="4" t="s">
        <v>5102</v>
      </c>
      <c r="B2385" s="6" t="s">
        <v>5100</v>
      </c>
      <c r="C2385" s="4" t="s">
        <v>81</v>
      </c>
      <c r="D2385" s="4">
        <v>13</v>
      </c>
      <c r="E2385" s="4" t="s">
        <v>1442</v>
      </c>
      <c r="F2385" s="4" t="s">
        <v>5103</v>
      </c>
    </row>
    <row r="2386" spans="1:6">
      <c r="A2386" s="4" t="s">
        <v>5104</v>
      </c>
      <c r="B2386" s="6" t="s">
        <v>5105</v>
      </c>
      <c r="C2386" s="4" t="s">
        <v>285</v>
      </c>
      <c r="D2386" s="4">
        <v>12</v>
      </c>
      <c r="E2386" s="4" t="s">
        <v>5106</v>
      </c>
    </row>
    <row r="2387" spans="1:6">
      <c r="A2387" s="4" t="s">
        <v>5107</v>
      </c>
      <c r="B2387" s="6" t="s">
        <v>5108</v>
      </c>
      <c r="C2387" s="4" t="s">
        <v>173</v>
      </c>
      <c r="D2387" s="4">
        <v>6</v>
      </c>
      <c r="E2387" s="4" t="s">
        <v>1378</v>
      </c>
      <c r="F2387" s="4" t="s">
        <v>5109</v>
      </c>
    </row>
    <row r="2388" spans="1:6">
      <c r="A2388" s="4" t="s">
        <v>5110</v>
      </c>
      <c r="B2388" s="6" t="s">
        <v>5108</v>
      </c>
      <c r="C2388" s="4" t="s">
        <v>285</v>
      </c>
      <c r="D2388" s="4">
        <v>21</v>
      </c>
      <c r="E2388" s="4" t="s">
        <v>2881</v>
      </c>
    </row>
    <row r="2389" spans="1:6">
      <c r="A2389" s="4" t="s">
        <v>5111</v>
      </c>
      <c r="B2389" s="6" t="s">
        <v>5112</v>
      </c>
      <c r="C2389" s="4" t="s">
        <v>87</v>
      </c>
      <c r="D2389" s="4">
        <v>13</v>
      </c>
      <c r="E2389" s="4" t="s">
        <v>150</v>
      </c>
      <c r="F2389" s="4" t="s">
        <v>5113</v>
      </c>
    </row>
    <row r="2390" spans="1:6">
      <c r="A2390" s="4" t="s">
        <v>5114</v>
      </c>
      <c r="B2390" s="6" t="s">
        <v>5112</v>
      </c>
      <c r="C2390" s="4" t="s">
        <v>976</v>
      </c>
      <c r="D2390" s="4">
        <v>4</v>
      </c>
      <c r="E2390" s="4" t="s">
        <v>5115</v>
      </c>
      <c r="F2390" s="4" t="s">
        <v>375</v>
      </c>
    </row>
    <row r="2391" spans="1:6">
      <c r="A2391" s="4" t="s">
        <v>5116</v>
      </c>
      <c r="B2391" s="6" t="s">
        <v>5112</v>
      </c>
      <c r="C2391" s="4" t="s">
        <v>95</v>
      </c>
      <c r="D2391" s="4">
        <v>10</v>
      </c>
      <c r="E2391" s="4" t="s">
        <v>5115</v>
      </c>
      <c r="F2391" s="4" t="s">
        <v>5117</v>
      </c>
    </row>
    <row r="2392" spans="1:6">
      <c r="A2392" s="4" t="s">
        <v>5118</v>
      </c>
      <c r="B2392" s="6" t="s">
        <v>5119</v>
      </c>
      <c r="C2392" s="4" t="s">
        <v>19</v>
      </c>
      <c r="D2392" s="4">
        <v>7</v>
      </c>
      <c r="E2392" s="4" t="s">
        <v>150</v>
      </c>
    </row>
    <row r="2393" spans="1:6">
      <c r="A2393" s="4" t="s">
        <v>5120</v>
      </c>
      <c r="B2393" s="6" t="s">
        <v>5121</v>
      </c>
      <c r="C2393" s="4" t="s">
        <v>221</v>
      </c>
      <c r="D2393" s="4">
        <v>19</v>
      </c>
      <c r="E2393" s="4" t="s">
        <v>3013</v>
      </c>
      <c r="F2393" s="4" t="s">
        <v>5122</v>
      </c>
    </row>
    <row r="2394" spans="1:6">
      <c r="A2394" s="4" t="s">
        <v>5123</v>
      </c>
      <c r="B2394" s="6" t="s">
        <v>5121</v>
      </c>
      <c r="C2394" s="4" t="s">
        <v>81</v>
      </c>
      <c r="D2394" s="4">
        <v>14</v>
      </c>
      <c r="E2394" s="4" t="s">
        <v>150</v>
      </c>
    </row>
    <row r="2395" spans="1:6">
      <c r="A2395" s="4" t="s">
        <v>354</v>
      </c>
      <c r="B2395" s="6" t="s">
        <v>5124</v>
      </c>
      <c r="C2395" s="4" t="s">
        <v>354</v>
      </c>
      <c r="D2395" s="4">
        <v>4</v>
      </c>
      <c r="E2395" s="4" t="s">
        <v>5125</v>
      </c>
      <c r="F2395" s="4" t="s">
        <v>5126</v>
      </c>
    </row>
    <row r="2396" spans="1:6">
      <c r="A2396" s="4" t="s">
        <v>5127</v>
      </c>
      <c r="B2396" s="6" t="s">
        <v>5128</v>
      </c>
      <c r="C2396" s="4" t="s">
        <v>74</v>
      </c>
      <c r="D2396" s="4">
        <v>4</v>
      </c>
      <c r="E2396" s="4" t="s">
        <v>2640</v>
      </c>
      <c r="F2396" s="4" t="s">
        <v>5129</v>
      </c>
    </row>
    <row r="2397" spans="1:6">
      <c r="A2397" s="4" t="s">
        <v>5130</v>
      </c>
      <c r="B2397" s="6" t="s">
        <v>5128</v>
      </c>
      <c r="C2397" s="4" t="s">
        <v>254</v>
      </c>
      <c r="D2397" s="4">
        <v>6</v>
      </c>
      <c r="E2397" s="4" t="s">
        <v>2640</v>
      </c>
    </row>
    <row r="2398" spans="1:6">
      <c r="A2398" s="4" t="s">
        <v>5131</v>
      </c>
      <c r="B2398" s="6" t="s">
        <v>5132</v>
      </c>
      <c r="C2398" s="4" t="s">
        <v>45</v>
      </c>
      <c r="D2398" s="4">
        <v>12</v>
      </c>
      <c r="E2398" s="4" t="s">
        <v>5106</v>
      </c>
    </row>
    <row r="2399" spans="1:6">
      <c r="A2399" s="4" t="s">
        <v>5133</v>
      </c>
      <c r="B2399" s="6" t="s">
        <v>5134</v>
      </c>
      <c r="C2399" s="4" t="s">
        <v>1248</v>
      </c>
      <c r="D2399" s="4">
        <v>14</v>
      </c>
      <c r="E2399" s="4" t="s">
        <v>5135</v>
      </c>
    </row>
    <row r="2400" spans="1:6">
      <c r="A2400" s="4" t="s">
        <v>5136</v>
      </c>
      <c r="B2400" s="6" t="s">
        <v>5137</v>
      </c>
      <c r="C2400" s="4" t="s">
        <v>254</v>
      </c>
      <c r="D2400" s="4">
        <v>11</v>
      </c>
      <c r="E2400" s="4" t="s">
        <v>2881</v>
      </c>
      <c r="F2400" s="4" t="s">
        <v>5138</v>
      </c>
    </row>
    <row r="2401" spans="1:6">
      <c r="A2401" s="4" t="s">
        <v>5139</v>
      </c>
      <c r="B2401" s="6" t="s">
        <v>5137</v>
      </c>
      <c r="C2401" s="4" t="s">
        <v>3168</v>
      </c>
      <c r="D2401" s="4">
        <v>18</v>
      </c>
      <c r="E2401" s="4" t="s">
        <v>2881</v>
      </c>
    </row>
    <row r="2402" spans="1:6">
      <c r="A2402" s="4" t="s">
        <v>5140</v>
      </c>
      <c r="B2402" s="6" t="s">
        <v>5137</v>
      </c>
      <c r="C2402" s="4" t="s">
        <v>254</v>
      </c>
      <c r="D2402" s="4">
        <v>14</v>
      </c>
      <c r="E2402" s="4" t="s">
        <v>2881</v>
      </c>
      <c r="F2402" s="4" t="s">
        <v>5138</v>
      </c>
    </row>
    <row r="2403" spans="1:6">
      <c r="A2403" s="4" t="s">
        <v>5141</v>
      </c>
      <c r="B2403" s="6" t="s">
        <v>5137</v>
      </c>
      <c r="C2403" s="4" t="s">
        <v>37</v>
      </c>
      <c r="D2403" s="4">
        <v>13</v>
      </c>
      <c r="E2403" s="4" t="s">
        <v>1378</v>
      </c>
    </row>
    <row r="2404" spans="1:6">
      <c r="A2404" s="4" t="s">
        <v>5142</v>
      </c>
      <c r="B2404" s="6" t="s">
        <v>5143</v>
      </c>
      <c r="C2404" s="4" t="s">
        <v>87</v>
      </c>
      <c r="D2404" s="4">
        <v>14</v>
      </c>
      <c r="E2404" s="4" t="s">
        <v>5144</v>
      </c>
      <c r="F2404" s="4" t="s">
        <v>5145</v>
      </c>
    </row>
    <row r="2405" spans="1:6">
      <c r="A2405" s="4" t="s">
        <v>1129</v>
      </c>
      <c r="B2405" s="6" t="s">
        <v>5143</v>
      </c>
      <c r="C2405" s="4" t="s">
        <v>1129</v>
      </c>
      <c r="D2405" s="4">
        <v>11</v>
      </c>
      <c r="E2405" s="4" t="s">
        <v>2808</v>
      </c>
      <c r="F2405" s="4" t="s">
        <v>5146</v>
      </c>
    </row>
    <row r="2406" spans="1:6">
      <c r="A2406" s="4" t="s">
        <v>5147</v>
      </c>
      <c r="B2406" s="6" t="s">
        <v>5148</v>
      </c>
      <c r="C2406" s="4" t="s">
        <v>470</v>
      </c>
      <c r="D2406" s="4">
        <v>16</v>
      </c>
      <c r="E2406" s="4" t="s">
        <v>2925</v>
      </c>
      <c r="F2406" s="4" t="s">
        <v>5149</v>
      </c>
    </row>
    <row r="2407" spans="1:6">
      <c r="A2407" s="4" t="s">
        <v>5150</v>
      </c>
      <c r="B2407" s="6" t="s">
        <v>5151</v>
      </c>
      <c r="C2407" s="4" t="s">
        <v>254</v>
      </c>
      <c r="D2407" s="4">
        <v>6</v>
      </c>
      <c r="E2407" s="4" t="s">
        <v>2719</v>
      </c>
      <c r="F2407" s="4" t="s">
        <v>5152</v>
      </c>
    </row>
    <row r="2408" spans="1:6">
      <c r="A2408" s="4" t="s">
        <v>5153</v>
      </c>
      <c r="B2408" s="6" t="s">
        <v>5154</v>
      </c>
      <c r="C2408" s="4" t="s">
        <v>3181</v>
      </c>
      <c r="D2408" s="4">
        <v>10</v>
      </c>
      <c r="E2408" s="4" t="s">
        <v>5035</v>
      </c>
      <c r="F2408" s="4" t="s">
        <v>5155</v>
      </c>
    </row>
    <row r="2409" spans="1:6">
      <c r="A2409" s="4" t="s">
        <v>5156</v>
      </c>
      <c r="B2409" s="6" t="s">
        <v>5154</v>
      </c>
      <c r="C2409" s="4" t="s">
        <v>76</v>
      </c>
      <c r="D2409" s="4">
        <v>15</v>
      </c>
      <c r="E2409" s="4" t="s">
        <v>5035</v>
      </c>
    </row>
    <row r="2410" spans="1:6">
      <c r="A2410" s="4" t="s">
        <v>2111</v>
      </c>
      <c r="B2410" s="6" t="s">
        <v>5157</v>
      </c>
      <c r="C2410" s="4" t="s">
        <v>2111</v>
      </c>
      <c r="D2410" s="4">
        <v>4</v>
      </c>
      <c r="E2410" s="4" t="s">
        <v>5158</v>
      </c>
      <c r="F2410" s="4" t="s">
        <v>5159</v>
      </c>
    </row>
    <row r="2411" spans="1:6">
      <c r="A2411" s="4" t="s">
        <v>5160</v>
      </c>
      <c r="B2411" s="6" t="s">
        <v>5161</v>
      </c>
      <c r="C2411" s="4" t="s">
        <v>37</v>
      </c>
      <c r="D2411" s="4">
        <v>14</v>
      </c>
      <c r="E2411" s="4" t="s">
        <v>5162</v>
      </c>
      <c r="F2411" s="4" t="s">
        <v>5163</v>
      </c>
    </row>
    <row r="2412" spans="1:6">
      <c r="A2412" s="4" t="s">
        <v>5164</v>
      </c>
      <c r="B2412" s="6" t="s">
        <v>5161</v>
      </c>
      <c r="C2412" s="4" t="s">
        <v>92</v>
      </c>
      <c r="D2412" s="4">
        <v>22</v>
      </c>
      <c r="E2412" s="4" t="s">
        <v>2640</v>
      </c>
    </row>
    <row r="2413" spans="1:6">
      <c r="A2413" s="4" t="s">
        <v>5165</v>
      </c>
      <c r="B2413" s="6" t="s">
        <v>5161</v>
      </c>
      <c r="C2413" s="4" t="s">
        <v>1335</v>
      </c>
      <c r="D2413" s="4">
        <v>10</v>
      </c>
      <c r="E2413" s="4" t="s">
        <v>5166</v>
      </c>
    </row>
    <row r="2414" spans="1:6">
      <c r="A2414" s="4" t="s">
        <v>5167</v>
      </c>
      <c r="B2414" s="6" t="s">
        <v>5168</v>
      </c>
      <c r="C2414" s="4" t="s">
        <v>351</v>
      </c>
      <c r="D2414" s="4">
        <v>12</v>
      </c>
      <c r="E2414" s="4" t="s">
        <v>5162</v>
      </c>
      <c r="F2414" s="4" t="s">
        <v>5169</v>
      </c>
    </row>
    <row r="2415" spans="1:6">
      <c r="A2415" s="4" t="s">
        <v>5170</v>
      </c>
      <c r="B2415" s="6" t="s">
        <v>5171</v>
      </c>
      <c r="C2415" s="4" t="s">
        <v>49</v>
      </c>
      <c r="D2415" s="4">
        <v>8</v>
      </c>
      <c r="E2415" s="4" t="s">
        <v>4880</v>
      </c>
      <c r="F2415" s="4" t="s">
        <v>4788</v>
      </c>
    </row>
    <row r="2416" spans="1:6">
      <c r="A2416" s="4" t="s">
        <v>5172</v>
      </c>
      <c r="B2416" s="6" t="s">
        <v>5171</v>
      </c>
      <c r="C2416" s="4" t="s">
        <v>1420</v>
      </c>
      <c r="D2416" s="4">
        <v>13</v>
      </c>
      <c r="E2416" s="4" t="s">
        <v>4880</v>
      </c>
    </row>
    <row r="2417" spans="1:6">
      <c r="A2417" s="4" t="s">
        <v>5173</v>
      </c>
      <c r="B2417" s="6" t="s">
        <v>5171</v>
      </c>
      <c r="C2417" s="4" t="s">
        <v>53</v>
      </c>
      <c r="D2417" s="4">
        <v>12</v>
      </c>
      <c r="E2417" s="4" t="s">
        <v>15</v>
      </c>
    </row>
    <row r="2418" spans="1:6">
      <c r="A2418" s="4" t="s">
        <v>5174</v>
      </c>
      <c r="B2418" s="6" t="s">
        <v>5171</v>
      </c>
      <c r="C2418" s="4" t="s">
        <v>5174</v>
      </c>
      <c r="D2418" s="4">
        <v>4</v>
      </c>
      <c r="E2418" s="4" t="s">
        <v>5175</v>
      </c>
      <c r="F2418" s="4" t="s">
        <v>5176</v>
      </c>
    </row>
    <row r="2419" spans="1:6">
      <c r="A2419" s="4" t="s">
        <v>5177</v>
      </c>
      <c r="B2419" s="6" t="s">
        <v>5171</v>
      </c>
      <c r="C2419" s="4" t="s">
        <v>23</v>
      </c>
      <c r="D2419" s="4">
        <v>7</v>
      </c>
      <c r="E2419" s="4" t="s">
        <v>5175</v>
      </c>
    </row>
    <row r="2420" spans="1:6">
      <c r="A2420" s="4" t="s">
        <v>5178</v>
      </c>
      <c r="B2420" s="6" t="s">
        <v>5179</v>
      </c>
      <c r="C2420" s="4" t="s">
        <v>87</v>
      </c>
      <c r="D2420" s="4">
        <v>11</v>
      </c>
      <c r="E2420" s="4" t="s">
        <v>727</v>
      </c>
    </row>
    <row r="2421" spans="1:6">
      <c r="A2421" s="4" t="s">
        <v>5180</v>
      </c>
      <c r="B2421" s="6" t="s">
        <v>5179</v>
      </c>
      <c r="C2421" s="4" t="s">
        <v>1420</v>
      </c>
      <c r="D2421" s="4">
        <v>12</v>
      </c>
      <c r="E2421" s="4" t="s">
        <v>3445</v>
      </c>
      <c r="F2421" s="4" t="s">
        <v>2238</v>
      </c>
    </row>
    <row r="2422" spans="1:6">
      <c r="A2422" s="4" t="s">
        <v>5181</v>
      </c>
      <c r="B2422" s="6" t="s">
        <v>5179</v>
      </c>
      <c r="C2422" s="4" t="s">
        <v>23</v>
      </c>
      <c r="D2422" s="4">
        <v>11</v>
      </c>
      <c r="E2422" s="4" t="s">
        <v>727</v>
      </c>
    </row>
    <row r="2423" spans="1:6">
      <c r="A2423" s="4" t="s">
        <v>5182</v>
      </c>
      <c r="B2423" s="6" t="s">
        <v>5179</v>
      </c>
      <c r="C2423" s="4" t="s">
        <v>285</v>
      </c>
      <c r="D2423" s="4">
        <v>11</v>
      </c>
      <c r="E2423" s="4" t="s">
        <v>727</v>
      </c>
      <c r="F2423" s="4" t="s">
        <v>5183</v>
      </c>
    </row>
    <row r="2424" spans="1:6">
      <c r="A2424" s="4" t="s">
        <v>5184</v>
      </c>
      <c r="B2424" s="6" t="s">
        <v>5179</v>
      </c>
      <c r="C2424" s="4" t="s">
        <v>285</v>
      </c>
      <c r="D2424" s="4">
        <v>11</v>
      </c>
      <c r="E2424" s="4" t="s">
        <v>727</v>
      </c>
      <c r="F2424" s="4" t="s">
        <v>5183</v>
      </c>
    </row>
    <row r="2425" spans="1:6">
      <c r="A2425" s="4" t="s">
        <v>5185</v>
      </c>
      <c r="B2425" s="6" t="s">
        <v>5186</v>
      </c>
      <c r="C2425" s="4" t="s">
        <v>285</v>
      </c>
      <c r="D2425" s="4">
        <v>8</v>
      </c>
      <c r="E2425" s="4" t="s">
        <v>3013</v>
      </c>
      <c r="F2425" s="4" t="s">
        <v>5187</v>
      </c>
    </row>
    <row r="2426" spans="1:6">
      <c r="A2426" s="4" t="s">
        <v>5188</v>
      </c>
      <c r="B2426" s="6" t="s">
        <v>5186</v>
      </c>
      <c r="C2426" s="4" t="s">
        <v>285</v>
      </c>
      <c r="D2426" s="4">
        <v>20</v>
      </c>
      <c r="E2426" s="4" t="s">
        <v>3013</v>
      </c>
      <c r="F2426" s="4" t="s">
        <v>5189</v>
      </c>
    </row>
    <row r="2427" spans="1:6">
      <c r="A2427" s="4" t="s">
        <v>5190</v>
      </c>
      <c r="B2427" s="6" t="s">
        <v>5186</v>
      </c>
      <c r="C2427" s="4" t="s">
        <v>76</v>
      </c>
      <c r="D2427" s="4">
        <v>17</v>
      </c>
      <c r="E2427" s="4" t="s">
        <v>3013</v>
      </c>
    </row>
    <row r="2428" spans="1:6">
      <c r="A2428" s="4" t="s">
        <v>5191</v>
      </c>
      <c r="B2428" s="6" t="s">
        <v>5186</v>
      </c>
      <c r="C2428" s="4" t="s">
        <v>285</v>
      </c>
      <c r="D2428" s="4">
        <v>12</v>
      </c>
      <c r="E2428" s="4" t="s">
        <v>3013</v>
      </c>
    </row>
    <row r="2429" spans="1:6">
      <c r="A2429" s="4" t="s">
        <v>5192</v>
      </c>
      <c r="B2429" s="6" t="s">
        <v>5186</v>
      </c>
      <c r="C2429" s="4" t="s">
        <v>285</v>
      </c>
      <c r="D2429" s="4">
        <v>23</v>
      </c>
      <c r="E2429" s="4" t="s">
        <v>3013</v>
      </c>
      <c r="F2429" s="4" t="s">
        <v>5189</v>
      </c>
    </row>
    <row r="2430" spans="1:6">
      <c r="A2430" s="4" t="s">
        <v>5193</v>
      </c>
      <c r="B2430" s="6" t="s">
        <v>5194</v>
      </c>
      <c r="C2430" s="4" t="s">
        <v>221</v>
      </c>
      <c r="D2430" s="4">
        <v>18</v>
      </c>
      <c r="E2430" s="4" t="s">
        <v>3013</v>
      </c>
      <c r="F2430" s="4" t="s">
        <v>5195</v>
      </c>
    </row>
    <row r="2431" spans="1:6">
      <c r="A2431" s="4" t="s">
        <v>5196</v>
      </c>
      <c r="B2431" s="6" t="s">
        <v>5197</v>
      </c>
      <c r="C2431" s="4" t="s">
        <v>110</v>
      </c>
      <c r="D2431" s="4">
        <v>12</v>
      </c>
      <c r="E2431" s="4" t="s">
        <v>5198</v>
      </c>
    </row>
    <row r="2432" spans="1:6">
      <c r="A2432" s="4" t="s">
        <v>5199</v>
      </c>
      <c r="B2432" s="6" t="s">
        <v>5197</v>
      </c>
      <c r="C2432" s="4" t="s">
        <v>76</v>
      </c>
      <c r="D2432" s="4">
        <v>17</v>
      </c>
      <c r="E2432" s="4" t="s">
        <v>5198</v>
      </c>
    </row>
    <row r="2433" spans="1:6">
      <c r="A2433" s="4" t="s">
        <v>5200</v>
      </c>
      <c r="B2433" s="6" t="s">
        <v>5197</v>
      </c>
      <c r="C2433" s="4" t="s">
        <v>14</v>
      </c>
      <c r="D2433" s="4">
        <v>15</v>
      </c>
      <c r="E2433" s="4" t="s">
        <v>731</v>
      </c>
    </row>
    <row r="2434" spans="1:6">
      <c r="A2434" s="4" t="s">
        <v>5201</v>
      </c>
      <c r="B2434" s="6" t="s">
        <v>5197</v>
      </c>
      <c r="C2434" s="4" t="s">
        <v>14</v>
      </c>
      <c r="D2434" s="4">
        <v>15</v>
      </c>
      <c r="E2434" s="4" t="s">
        <v>5198</v>
      </c>
    </row>
    <row r="2435" spans="1:6">
      <c r="A2435" s="4" t="s">
        <v>5202</v>
      </c>
      <c r="B2435" s="6" t="s">
        <v>5203</v>
      </c>
      <c r="C2435" s="4" t="s">
        <v>1106</v>
      </c>
      <c r="D2435" s="4">
        <v>13</v>
      </c>
      <c r="E2435" s="4" t="s">
        <v>4880</v>
      </c>
      <c r="F2435" s="4" t="s">
        <v>5204</v>
      </c>
    </row>
    <row r="2436" spans="1:6">
      <c r="A2436" s="4" t="s">
        <v>5205</v>
      </c>
      <c r="B2436" s="6" t="s">
        <v>5206</v>
      </c>
      <c r="C2436" s="4" t="s">
        <v>995</v>
      </c>
      <c r="D2436" s="4">
        <v>11</v>
      </c>
      <c r="E2436" s="4" t="s">
        <v>5207</v>
      </c>
      <c r="F2436" s="4" t="s">
        <v>5208</v>
      </c>
    </row>
    <row r="2437" spans="1:6">
      <c r="A2437" s="4" t="s">
        <v>5209</v>
      </c>
      <c r="B2437" s="6" t="s">
        <v>5210</v>
      </c>
      <c r="C2437" s="4" t="s">
        <v>285</v>
      </c>
      <c r="D2437" s="4">
        <v>8</v>
      </c>
      <c r="E2437" s="4" t="s">
        <v>3110</v>
      </c>
      <c r="F2437" s="4" t="s">
        <v>5211</v>
      </c>
    </row>
    <row r="2438" spans="1:6">
      <c r="A2438" s="4" t="s">
        <v>5212</v>
      </c>
      <c r="B2438" s="6" t="s">
        <v>5210</v>
      </c>
      <c r="C2438" s="4" t="s">
        <v>285</v>
      </c>
      <c r="D2438" s="4">
        <v>17</v>
      </c>
      <c r="E2438" s="4" t="s">
        <v>3110</v>
      </c>
      <c r="F2438" s="4" t="s">
        <v>5211</v>
      </c>
    </row>
    <row r="2439" spans="1:6">
      <c r="A2439" s="4" t="s">
        <v>5213</v>
      </c>
      <c r="B2439" s="6" t="s">
        <v>5214</v>
      </c>
      <c r="C2439" s="4" t="s">
        <v>132</v>
      </c>
      <c r="D2439" s="4">
        <v>15</v>
      </c>
      <c r="E2439" s="4" t="s">
        <v>2699</v>
      </c>
      <c r="F2439" s="4" t="s">
        <v>5215</v>
      </c>
    </row>
    <row r="2440" spans="1:6">
      <c r="A2440" s="4" t="s">
        <v>5216</v>
      </c>
      <c r="B2440" s="6" t="s">
        <v>5214</v>
      </c>
      <c r="C2440" s="4" t="s">
        <v>453</v>
      </c>
      <c r="D2440" s="4">
        <v>19</v>
      </c>
      <c r="E2440" s="4" t="s">
        <v>3013</v>
      </c>
      <c r="F2440" s="4" t="s">
        <v>5217</v>
      </c>
    </row>
    <row r="2441" spans="1:6">
      <c r="A2441" s="4" t="s">
        <v>5218</v>
      </c>
      <c r="B2441" s="6" t="s">
        <v>5214</v>
      </c>
      <c r="C2441" s="4" t="s">
        <v>95</v>
      </c>
      <c r="D2441" s="4">
        <v>12</v>
      </c>
      <c r="E2441" s="4" t="s">
        <v>2699</v>
      </c>
      <c r="F2441" s="4" t="s">
        <v>5215</v>
      </c>
    </row>
    <row r="2442" spans="1:6">
      <c r="A2442" s="4" t="s">
        <v>5219</v>
      </c>
      <c r="B2442" s="6" t="s">
        <v>5220</v>
      </c>
      <c r="C2442" s="4" t="s">
        <v>14</v>
      </c>
      <c r="D2442" s="4">
        <v>7</v>
      </c>
      <c r="E2442" s="4" t="s">
        <v>5221</v>
      </c>
    </row>
    <row r="2443" spans="1:6">
      <c r="A2443" s="4" t="s">
        <v>5222</v>
      </c>
      <c r="B2443" s="6" t="s">
        <v>5220</v>
      </c>
      <c r="C2443" s="4" t="s">
        <v>2506</v>
      </c>
      <c r="D2443" s="4">
        <v>4</v>
      </c>
      <c r="E2443" s="4" t="s">
        <v>5223</v>
      </c>
      <c r="F2443" s="4" t="s">
        <v>5224</v>
      </c>
    </row>
    <row r="2444" spans="1:6">
      <c r="A2444" s="4" t="s">
        <v>5225</v>
      </c>
      <c r="B2444" s="6" t="s">
        <v>5220</v>
      </c>
      <c r="C2444" s="4" t="s">
        <v>14</v>
      </c>
      <c r="D2444" s="4">
        <v>9</v>
      </c>
      <c r="E2444" s="4" t="s">
        <v>5221</v>
      </c>
    </row>
    <row r="2445" spans="1:6">
      <c r="A2445" s="4" t="s">
        <v>254</v>
      </c>
      <c r="B2445" s="6" t="s">
        <v>5226</v>
      </c>
      <c r="C2445" s="4" t="s">
        <v>254</v>
      </c>
      <c r="D2445" s="4">
        <v>2</v>
      </c>
      <c r="E2445" s="4" t="s">
        <v>5227</v>
      </c>
      <c r="F2445" s="4" t="s">
        <v>5228</v>
      </c>
    </row>
    <row r="2446" spans="1:6">
      <c r="A2446" s="4" t="s">
        <v>5229</v>
      </c>
      <c r="B2446" s="6" t="s">
        <v>5226</v>
      </c>
      <c r="C2446" s="4" t="s">
        <v>254</v>
      </c>
      <c r="D2446" s="4">
        <v>4</v>
      </c>
      <c r="E2446" s="4" t="s">
        <v>5227</v>
      </c>
    </row>
    <row r="2447" spans="1:6">
      <c r="A2447" s="4" t="s">
        <v>5230</v>
      </c>
      <c r="B2447" s="6" t="s">
        <v>5226</v>
      </c>
      <c r="C2447" s="4" t="s">
        <v>1335</v>
      </c>
      <c r="D2447" s="4">
        <v>6</v>
      </c>
      <c r="E2447" s="4" t="s">
        <v>164</v>
      </c>
      <c r="F2447" s="4" t="s">
        <v>5231</v>
      </c>
    </row>
    <row r="2448" spans="1:6">
      <c r="A2448" s="4" t="s">
        <v>5232</v>
      </c>
      <c r="B2448" s="6" t="s">
        <v>5226</v>
      </c>
      <c r="C2448" s="4" t="s">
        <v>14</v>
      </c>
      <c r="D2448" s="4">
        <v>9</v>
      </c>
      <c r="E2448" s="4" t="s">
        <v>164</v>
      </c>
    </row>
    <row r="2449" spans="1:6">
      <c r="A2449" s="4" t="s">
        <v>5233</v>
      </c>
      <c r="B2449" s="6" t="s">
        <v>5226</v>
      </c>
      <c r="C2449" s="4" t="s">
        <v>3563</v>
      </c>
      <c r="D2449" s="4">
        <v>10</v>
      </c>
      <c r="E2449" s="4" t="s">
        <v>164</v>
      </c>
    </row>
    <row r="2450" spans="1:6">
      <c r="A2450" s="4" t="s">
        <v>976</v>
      </c>
      <c r="B2450" s="6" t="s">
        <v>5226</v>
      </c>
      <c r="C2450" s="4" t="s">
        <v>976</v>
      </c>
      <c r="D2450" s="4">
        <v>2</v>
      </c>
      <c r="E2450" s="4" t="s">
        <v>5227</v>
      </c>
    </row>
    <row r="2451" spans="1:6">
      <c r="A2451" s="4" t="s">
        <v>448</v>
      </c>
      <c r="B2451" s="6" t="s">
        <v>5234</v>
      </c>
      <c r="C2451" s="4" t="s">
        <v>448</v>
      </c>
      <c r="D2451" s="4">
        <v>1</v>
      </c>
      <c r="E2451" s="4" t="s">
        <v>5235</v>
      </c>
      <c r="F2451" s="4" t="s">
        <v>5236</v>
      </c>
    </row>
    <row r="2452" spans="1:6">
      <c r="A2452" s="4" t="s">
        <v>5237</v>
      </c>
      <c r="B2452" s="6" t="s">
        <v>5234</v>
      </c>
      <c r="C2452" s="4" t="s">
        <v>2506</v>
      </c>
      <c r="D2452" s="4">
        <v>7</v>
      </c>
      <c r="E2452" s="4" t="s">
        <v>5235</v>
      </c>
      <c r="F2452" s="4" t="s">
        <v>5236</v>
      </c>
    </row>
    <row r="2453" spans="1:6">
      <c r="A2453" s="4" t="s">
        <v>5238</v>
      </c>
      <c r="B2453" s="6" t="s">
        <v>5234</v>
      </c>
      <c r="C2453" s="4" t="s">
        <v>2506</v>
      </c>
      <c r="D2453" s="4">
        <v>12</v>
      </c>
      <c r="E2453" s="4" t="s">
        <v>5235</v>
      </c>
    </row>
    <row r="2454" spans="1:6">
      <c r="A2454" s="4" t="s">
        <v>5239</v>
      </c>
      <c r="B2454" s="6" t="s">
        <v>5234</v>
      </c>
      <c r="C2454" s="4" t="s">
        <v>1603</v>
      </c>
      <c r="D2454" s="4">
        <v>4</v>
      </c>
      <c r="E2454" s="4" t="s">
        <v>5235</v>
      </c>
    </row>
    <row r="2455" spans="1:6">
      <c r="A2455" s="4" t="s">
        <v>5240</v>
      </c>
      <c r="B2455" s="6" t="s">
        <v>5241</v>
      </c>
      <c r="C2455" s="4" t="s">
        <v>453</v>
      </c>
      <c r="D2455" s="4">
        <v>13</v>
      </c>
      <c r="E2455" s="4" t="s">
        <v>1030</v>
      </c>
    </row>
    <row r="2456" spans="1:6">
      <c r="A2456" s="4" t="s">
        <v>5242</v>
      </c>
      <c r="B2456" s="6" t="s">
        <v>5241</v>
      </c>
      <c r="C2456" s="4" t="s">
        <v>458</v>
      </c>
      <c r="D2456" s="4">
        <v>13</v>
      </c>
      <c r="E2456" s="4" t="s">
        <v>5243</v>
      </c>
      <c r="F2456" s="4" t="s">
        <v>5244</v>
      </c>
    </row>
    <row r="2457" spans="1:6">
      <c r="A2457" s="4" t="s">
        <v>5245</v>
      </c>
      <c r="B2457" s="6" t="s">
        <v>5246</v>
      </c>
      <c r="C2457" s="4" t="s">
        <v>81</v>
      </c>
      <c r="D2457" s="4">
        <v>7</v>
      </c>
      <c r="E2457" s="4" t="s">
        <v>5221</v>
      </c>
      <c r="F2457" s="4" t="s">
        <v>5247</v>
      </c>
    </row>
    <row r="2458" spans="1:6">
      <c r="A2458" s="4" t="s">
        <v>5248</v>
      </c>
      <c r="B2458" s="6" t="s">
        <v>5249</v>
      </c>
      <c r="C2458" s="4" t="s">
        <v>81</v>
      </c>
      <c r="D2458" s="4">
        <v>10</v>
      </c>
      <c r="E2458" s="4" t="s">
        <v>5227</v>
      </c>
    </row>
    <row r="2459" spans="1:6">
      <c r="A2459" s="4" t="s">
        <v>5250</v>
      </c>
      <c r="B2459" s="6" t="s">
        <v>5251</v>
      </c>
      <c r="C2459" s="4" t="s">
        <v>37</v>
      </c>
      <c r="D2459" s="4">
        <v>14</v>
      </c>
      <c r="E2459" s="4" t="s">
        <v>5252</v>
      </c>
      <c r="F2459" s="4" t="s">
        <v>5253</v>
      </c>
    </row>
    <row r="2460" spans="1:6">
      <c r="A2460" s="4" t="s">
        <v>5254</v>
      </c>
      <c r="B2460" s="6" t="s">
        <v>5251</v>
      </c>
      <c r="C2460" s="4" t="s">
        <v>271</v>
      </c>
      <c r="D2460" s="4">
        <v>3</v>
      </c>
      <c r="E2460" s="4" t="s">
        <v>5227</v>
      </c>
      <c r="F2460" s="4" t="s">
        <v>1631</v>
      </c>
    </row>
    <row r="2461" spans="1:6">
      <c r="A2461" s="4" t="s">
        <v>5255</v>
      </c>
      <c r="B2461" s="6" t="s">
        <v>5251</v>
      </c>
      <c r="C2461" s="4" t="s">
        <v>254</v>
      </c>
      <c r="D2461" s="4">
        <v>5</v>
      </c>
      <c r="E2461" s="4" t="s">
        <v>5223</v>
      </c>
    </row>
    <row r="2462" spans="1:6">
      <c r="A2462" s="4" t="s">
        <v>5256</v>
      </c>
      <c r="B2462" s="6" t="s">
        <v>5251</v>
      </c>
      <c r="C2462" s="4" t="s">
        <v>254</v>
      </c>
      <c r="D2462" s="4">
        <v>5</v>
      </c>
      <c r="E2462" s="4" t="s">
        <v>5223</v>
      </c>
    </row>
    <row r="2463" spans="1:6">
      <c r="A2463" s="4" t="s">
        <v>5257</v>
      </c>
      <c r="B2463" s="6" t="s">
        <v>5251</v>
      </c>
      <c r="C2463" s="4" t="s">
        <v>271</v>
      </c>
      <c r="D2463" s="4">
        <v>3</v>
      </c>
      <c r="E2463" s="4" t="s">
        <v>5227</v>
      </c>
      <c r="F2463" s="4" t="s">
        <v>1631</v>
      </c>
    </row>
    <row r="2464" spans="1:6">
      <c r="A2464" s="4" t="s">
        <v>1749</v>
      </c>
      <c r="B2464" s="6" t="s">
        <v>5261</v>
      </c>
      <c r="C2464" s="4" t="s">
        <v>1749</v>
      </c>
      <c r="D2464" s="4">
        <v>2</v>
      </c>
      <c r="E2464" s="4" t="s">
        <v>5262</v>
      </c>
      <c r="F2464" s="4" t="s">
        <v>5263</v>
      </c>
    </row>
    <row r="2465" spans="1:6">
      <c r="A2465" s="4" t="s">
        <v>5264</v>
      </c>
      <c r="B2465" s="6" t="s">
        <v>5259</v>
      </c>
      <c r="C2465" s="4" t="s">
        <v>27</v>
      </c>
      <c r="D2465" s="4">
        <v>5</v>
      </c>
      <c r="F2465" s="4" t="s">
        <v>5265</v>
      </c>
    </row>
    <row r="2466" spans="1:6">
      <c r="A2466" s="4" t="s">
        <v>104</v>
      </c>
      <c r="B2466" s="6" t="s">
        <v>5266</v>
      </c>
      <c r="C2466" s="4" t="s">
        <v>104</v>
      </c>
      <c r="D2466" s="4">
        <v>4</v>
      </c>
      <c r="E2466" s="4" t="s">
        <v>5267</v>
      </c>
      <c r="F2466" s="4" t="s">
        <v>1854</v>
      </c>
    </row>
    <row r="2467" spans="1:6">
      <c r="A2467" s="4" t="s">
        <v>5268</v>
      </c>
      <c r="B2467" s="6" t="s">
        <v>5269</v>
      </c>
      <c r="C2467" s="4" t="s">
        <v>23</v>
      </c>
      <c r="D2467" s="4">
        <v>12</v>
      </c>
      <c r="E2467" s="4" t="s">
        <v>1208</v>
      </c>
      <c r="F2467" s="4" t="s">
        <v>5270</v>
      </c>
    </row>
    <row r="2468" spans="1:6">
      <c r="A2468" s="4" t="s">
        <v>5271</v>
      </c>
      <c r="B2468" s="6" t="s">
        <v>5272</v>
      </c>
      <c r="C2468" s="4" t="s">
        <v>976</v>
      </c>
      <c r="D2468" s="4">
        <v>7</v>
      </c>
      <c r="E2468" s="4" t="s">
        <v>5273</v>
      </c>
      <c r="F2468" s="4" t="s">
        <v>5274</v>
      </c>
    </row>
    <row r="2469" spans="1:6">
      <c r="A2469" s="4" t="s">
        <v>5275</v>
      </c>
      <c r="B2469" s="6" t="s">
        <v>5276</v>
      </c>
      <c r="C2469" s="4" t="s">
        <v>686</v>
      </c>
      <c r="D2469" s="4">
        <v>12</v>
      </c>
      <c r="E2469" s="4" t="s">
        <v>5277</v>
      </c>
      <c r="F2469" s="4" t="s">
        <v>5278</v>
      </c>
    </row>
    <row r="2470" spans="1:6">
      <c r="A2470" s="4" t="s">
        <v>5279</v>
      </c>
      <c r="B2470" s="6" t="s">
        <v>5276</v>
      </c>
      <c r="C2470" s="4" t="s">
        <v>686</v>
      </c>
      <c r="D2470" s="4">
        <v>16</v>
      </c>
      <c r="E2470" s="4" t="s">
        <v>5280</v>
      </c>
      <c r="F2470" s="4" t="s">
        <v>5281</v>
      </c>
    </row>
    <row r="2471" spans="1:6">
      <c r="A2471" s="4" t="s">
        <v>5282</v>
      </c>
      <c r="B2471" s="6" t="s">
        <v>5276</v>
      </c>
      <c r="C2471" s="4" t="s">
        <v>34</v>
      </c>
      <c r="D2471" s="4">
        <v>15</v>
      </c>
      <c r="E2471" s="4" t="s">
        <v>5283</v>
      </c>
      <c r="F2471" s="4" t="s">
        <v>3861</v>
      </c>
    </row>
    <row r="2472" spans="1:6">
      <c r="A2472" s="4" t="s">
        <v>5284</v>
      </c>
      <c r="B2472" s="6" t="s">
        <v>5285</v>
      </c>
      <c r="C2472" s="4" t="s">
        <v>53</v>
      </c>
      <c r="D2472" s="4">
        <v>16</v>
      </c>
      <c r="E2472" s="4" t="s">
        <v>2055</v>
      </c>
    </row>
    <row r="2473" spans="1:6">
      <c r="A2473" s="4" t="s">
        <v>5286</v>
      </c>
      <c r="B2473" s="6" t="s">
        <v>5287</v>
      </c>
      <c r="C2473" s="4" t="s">
        <v>34</v>
      </c>
      <c r="D2473" s="4">
        <v>13</v>
      </c>
      <c r="E2473" s="4" t="s">
        <v>5288</v>
      </c>
      <c r="F2473" s="4" t="s">
        <v>1023</v>
      </c>
    </row>
    <row r="2474" spans="1:6">
      <c r="A2474" s="4" t="s">
        <v>5289</v>
      </c>
      <c r="B2474" s="6" t="s">
        <v>5287</v>
      </c>
      <c r="C2474" s="4" t="s">
        <v>81</v>
      </c>
      <c r="D2474" s="4">
        <v>14</v>
      </c>
      <c r="E2474" s="4" t="s">
        <v>1069</v>
      </c>
    </row>
    <row r="2475" spans="1:6">
      <c r="A2475" s="4" t="s">
        <v>5290</v>
      </c>
      <c r="B2475" s="6" t="s">
        <v>5287</v>
      </c>
      <c r="C2475" s="4" t="s">
        <v>81</v>
      </c>
      <c r="D2475" s="4">
        <v>21</v>
      </c>
      <c r="E2475" s="4" t="s">
        <v>1069</v>
      </c>
    </row>
    <row r="2476" spans="1:6">
      <c r="A2476" s="4" t="s">
        <v>5291</v>
      </c>
      <c r="B2476" s="6" t="s">
        <v>5287</v>
      </c>
      <c r="C2476" s="4" t="s">
        <v>34</v>
      </c>
      <c r="D2476" s="4">
        <v>21</v>
      </c>
      <c r="E2476" s="4" t="s">
        <v>5288</v>
      </c>
      <c r="F2476" s="4" t="s">
        <v>1023</v>
      </c>
    </row>
    <row r="2477" spans="1:6">
      <c r="A2477" s="4" t="s">
        <v>5292</v>
      </c>
      <c r="B2477" s="6" t="s">
        <v>5287</v>
      </c>
      <c r="C2477" s="4" t="s">
        <v>23</v>
      </c>
      <c r="D2477" s="4">
        <v>21</v>
      </c>
      <c r="E2477" s="4" t="s">
        <v>1069</v>
      </c>
      <c r="F2477" s="4" t="s">
        <v>5293</v>
      </c>
    </row>
    <row r="2478" spans="1:6">
      <c r="A2478" s="4" t="s">
        <v>5294</v>
      </c>
      <c r="B2478" s="6" t="s">
        <v>5295</v>
      </c>
      <c r="C2478" s="4" t="s">
        <v>23</v>
      </c>
      <c r="D2478" s="4">
        <v>9</v>
      </c>
      <c r="E2478" s="4" t="s">
        <v>164</v>
      </c>
    </row>
    <row r="2479" spans="1:6">
      <c r="A2479" s="4" t="s">
        <v>5296</v>
      </c>
      <c r="B2479" s="6" t="s">
        <v>5297</v>
      </c>
      <c r="C2479" s="4" t="s">
        <v>53</v>
      </c>
      <c r="D2479" s="4">
        <v>9</v>
      </c>
      <c r="E2479" s="4" t="s">
        <v>5298</v>
      </c>
      <c r="F2479" s="4" t="s">
        <v>5299</v>
      </c>
    </row>
    <row r="2480" spans="1:6">
      <c r="A2480" s="4" t="s">
        <v>5300</v>
      </c>
      <c r="B2480" s="6" t="s">
        <v>5297</v>
      </c>
      <c r="C2480" s="4" t="s">
        <v>917</v>
      </c>
      <c r="D2480" s="4">
        <v>5</v>
      </c>
      <c r="E2480" s="4" t="s">
        <v>5301</v>
      </c>
    </row>
    <row r="2481" spans="1:6">
      <c r="A2481" s="4" t="s">
        <v>5302</v>
      </c>
      <c r="B2481" s="6" t="s">
        <v>5303</v>
      </c>
      <c r="C2481" s="4" t="s">
        <v>34</v>
      </c>
      <c r="D2481" s="4">
        <v>18</v>
      </c>
      <c r="E2481" s="4" t="s">
        <v>1253</v>
      </c>
    </row>
    <row r="2482" spans="1:6">
      <c r="A2482" s="4" t="s">
        <v>5304</v>
      </c>
      <c r="B2482" s="6" t="s">
        <v>5305</v>
      </c>
      <c r="C2482" s="4" t="s">
        <v>254</v>
      </c>
      <c r="D2482" s="4">
        <v>6</v>
      </c>
      <c r="E2482" s="4" t="s">
        <v>5221</v>
      </c>
      <c r="F2482" s="4" t="s">
        <v>5306</v>
      </c>
    </row>
    <row r="2483" spans="1:6">
      <c r="A2483" s="4" t="s">
        <v>5307</v>
      </c>
      <c r="B2483" s="6" t="s">
        <v>5308</v>
      </c>
      <c r="C2483" s="4" t="s">
        <v>686</v>
      </c>
      <c r="D2483" s="4">
        <v>15</v>
      </c>
      <c r="E2483" s="4" t="s">
        <v>5309</v>
      </c>
      <c r="F2483" s="4" t="s">
        <v>2359</v>
      </c>
    </row>
    <row r="2484" spans="1:6">
      <c r="A2484" s="4" t="s">
        <v>1282</v>
      </c>
      <c r="B2484" s="6" t="s">
        <v>5310</v>
      </c>
      <c r="C2484" s="4" t="s">
        <v>1282</v>
      </c>
      <c r="D2484" s="4">
        <v>6</v>
      </c>
      <c r="E2484" s="4" t="s">
        <v>5273</v>
      </c>
      <c r="F2484" s="4" t="s">
        <v>5311</v>
      </c>
    </row>
    <row r="2485" spans="1:6">
      <c r="A2485" s="4" t="s">
        <v>5312</v>
      </c>
      <c r="B2485" s="6" t="s">
        <v>5310</v>
      </c>
      <c r="C2485" s="4" t="s">
        <v>5313</v>
      </c>
      <c r="D2485" s="4">
        <v>14</v>
      </c>
      <c r="E2485" s="4" t="s">
        <v>5273</v>
      </c>
    </row>
    <row r="2486" spans="1:6">
      <c r="A2486" s="4" t="s">
        <v>5314</v>
      </c>
      <c r="B2486" s="6" t="s">
        <v>5310</v>
      </c>
      <c r="C2486" s="4" t="s">
        <v>2474</v>
      </c>
      <c r="D2486" s="4">
        <v>5</v>
      </c>
      <c r="E2486" s="4" t="s">
        <v>5273</v>
      </c>
    </row>
    <row r="2487" spans="1:6">
      <c r="A2487" s="4" t="s">
        <v>74</v>
      </c>
      <c r="B2487" s="6" t="s">
        <v>5315</v>
      </c>
      <c r="C2487" s="4" t="s">
        <v>74</v>
      </c>
      <c r="D2487" s="4">
        <v>2</v>
      </c>
      <c r="E2487" s="4" t="s">
        <v>5316</v>
      </c>
      <c r="F2487" s="4" t="s">
        <v>5317</v>
      </c>
    </row>
    <row r="2488" spans="1:6">
      <c r="A2488" s="4" t="s">
        <v>5318</v>
      </c>
      <c r="B2488" s="6" t="s">
        <v>5315</v>
      </c>
      <c r="C2488" s="4" t="s">
        <v>1603</v>
      </c>
      <c r="D2488" s="4">
        <v>6</v>
      </c>
      <c r="E2488" s="4" t="s">
        <v>5316</v>
      </c>
      <c r="F2488" s="4" t="s">
        <v>5319</v>
      </c>
    </row>
    <row r="2489" spans="1:6">
      <c r="A2489" s="4" t="s">
        <v>5320</v>
      </c>
      <c r="B2489" s="6" t="s">
        <v>5315</v>
      </c>
      <c r="C2489" s="4" t="s">
        <v>49</v>
      </c>
      <c r="D2489" s="4">
        <v>15</v>
      </c>
      <c r="E2489" s="4" t="s">
        <v>5321</v>
      </c>
      <c r="F2489" s="4" t="s">
        <v>5322</v>
      </c>
    </row>
    <row r="2490" spans="1:6">
      <c r="A2490" s="4" t="s">
        <v>5323</v>
      </c>
      <c r="B2490" s="6" t="s">
        <v>5315</v>
      </c>
      <c r="C2490" s="4" t="s">
        <v>49</v>
      </c>
      <c r="D2490" s="4">
        <v>19</v>
      </c>
      <c r="E2490" s="4" t="s">
        <v>5321</v>
      </c>
      <c r="F2490" s="4" t="s">
        <v>5322</v>
      </c>
    </row>
    <row r="2491" spans="1:6">
      <c r="A2491" s="4" t="s">
        <v>5324</v>
      </c>
      <c r="B2491" s="6" t="s">
        <v>5315</v>
      </c>
      <c r="C2491" s="4" t="s">
        <v>1603</v>
      </c>
      <c r="D2491" s="4">
        <v>5</v>
      </c>
      <c r="E2491" s="4" t="s">
        <v>5316</v>
      </c>
    </row>
    <row r="2492" spans="1:6">
      <c r="A2492" s="4" t="s">
        <v>5325</v>
      </c>
      <c r="B2492" s="6" t="s">
        <v>5315</v>
      </c>
      <c r="C2492" s="4" t="s">
        <v>1603</v>
      </c>
      <c r="D2492" s="4">
        <v>12</v>
      </c>
      <c r="E2492" s="4" t="s">
        <v>5316</v>
      </c>
      <c r="F2492" s="4" t="s">
        <v>5319</v>
      </c>
    </row>
    <row r="2493" spans="1:6">
      <c r="A2493" s="4" t="s">
        <v>5326</v>
      </c>
      <c r="B2493" s="6" t="s">
        <v>5315</v>
      </c>
      <c r="C2493" s="4" t="s">
        <v>464</v>
      </c>
      <c r="D2493" s="4">
        <v>9</v>
      </c>
      <c r="E2493" s="4" t="s">
        <v>1615</v>
      </c>
    </row>
    <row r="2494" spans="1:6">
      <c r="A2494" s="4" t="s">
        <v>5327</v>
      </c>
      <c r="B2494" s="6" t="s">
        <v>5328</v>
      </c>
      <c r="C2494" s="4" t="s">
        <v>53</v>
      </c>
      <c r="D2494" s="4">
        <v>9</v>
      </c>
      <c r="E2494" s="4" t="s">
        <v>5329</v>
      </c>
      <c r="F2494" s="4" t="s">
        <v>5330</v>
      </c>
    </row>
    <row r="2495" spans="1:6">
      <c r="A2495" s="4" t="s">
        <v>5331</v>
      </c>
      <c r="B2495" s="6" t="s">
        <v>5328</v>
      </c>
      <c r="C2495" s="4" t="s">
        <v>63</v>
      </c>
      <c r="D2495" s="4">
        <v>14</v>
      </c>
      <c r="E2495" s="4" t="s">
        <v>5332</v>
      </c>
    </row>
    <row r="2496" spans="1:6">
      <c r="A2496" s="4" t="s">
        <v>5333</v>
      </c>
      <c r="B2496" s="6" t="s">
        <v>5328</v>
      </c>
      <c r="C2496" s="4" t="s">
        <v>254</v>
      </c>
      <c r="D2496" s="4">
        <v>16</v>
      </c>
      <c r="E2496" s="4" t="s">
        <v>5332</v>
      </c>
    </row>
    <row r="2497" spans="1:6">
      <c r="A2497" s="4" t="s">
        <v>5334</v>
      </c>
      <c r="B2497" s="6" t="s">
        <v>5328</v>
      </c>
      <c r="C2497" s="4" t="s">
        <v>81</v>
      </c>
      <c r="D2497" s="4">
        <v>17</v>
      </c>
      <c r="E2497" s="4" t="s">
        <v>5335</v>
      </c>
    </row>
    <row r="2498" spans="1:6">
      <c r="A2498" s="4" t="s">
        <v>5336</v>
      </c>
      <c r="B2498" s="6" t="s">
        <v>5328</v>
      </c>
      <c r="C2498" s="4" t="s">
        <v>34</v>
      </c>
      <c r="D2498" s="4">
        <v>12</v>
      </c>
      <c r="E2498" s="4" t="s">
        <v>5337</v>
      </c>
      <c r="F2498" s="4" t="s">
        <v>5338</v>
      </c>
    </row>
    <row r="2499" spans="1:6">
      <c r="A2499" s="4" t="s">
        <v>5339</v>
      </c>
      <c r="B2499" s="6" t="s">
        <v>5328</v>
      </c>
      <c r="C2499" s="4" t="s">
        <v>87</v>
      </c>
      <c r="D2499" s="4">
        <v>17</v>
      </c>
      <c r="E2499" s="4" t="s">
        <v>5332</v>
      </c>
      <c r="F2499" s="4" t="s">
        <v>5340</v>
      </c>
    </row>
    <row r="2500" spans="1:6">
      <c r="A2500" s="4" t="s">
        <v>5341</v>
      </c>
      <c r="B2500" s="6" t="s">
        <v>5328</v>
      </c>
      <c r="C2500" s="4" t="s">
        <v>14</v>
      </c>
      <c r="D2500" s="4">
        <v>17</v>
      </c>
      <c r="E2500" s="4" t="s">
        <v>5332</v>
      </c>
    </row>
    <row r="2501" spans="1:6">
      <c r="A2501" s="4" t="s">
        <v>5342</v>
      </c>
      <c r="B2501" s="6" t="s">
        <v>5343</v>
      </c>
      <c r="C2501" s="4" t="s">
        <v>87</v>
      </c>
      <c r="D2501" s="4">
        <v>15</v>
      </c>
      <c r="E2501" s="4" t="s">
        <v>1164</v>
      </c>
      <c r="F2501" s="4" t="s">
        <v>5344</v>
      </c>
    </row>
    <row r="2502" spans="1:6">
      <c r="A2502" s="4" t="s">
        <v>5345</v>
      </c>
      <c r="B2502" s="6" t="s">
        <v>5343</v>
      </c>
      <c r="C2502" s="4" t="s">
        <v>110</v>
      </c>
      <c r="D2502" s="4">
        <v>12</v>
      </c>
      <c r="E2502" s="4" t="s">
        <v>1164</v>
      </c>
      <c r="F2502" s="4" t="s">
        <v>5346</v>
      </c>
    </row>
    <row r="2503" spans="1:6">
      <c r="A2503" s="4" t="s">
        <v>5347</v>
      </c>
      <c r="B2503" s="6" t="s">
        <v>5348</v>
      </c>
      <c r="C2503" s="4" t="s">
        <v>427</v>
      </c>
      <c r="D2503" s="4">
        <v>10</v>
      </c>
      <c r="E2503" s="4" t="s">
        <v>5349</v>
      </c>
      <c r="F2503" s="4" t="s">
        <v>5350</v>
      </c>
    </row>
    <row r="2504" spans="1:6">
      <c r="A2504" s="4" t="s">
        <v>5351</v>
      </c>
      <c r="B2504" s="6" t="s">
        <v>5352</v>
      </c>
      <c r="C2504" s="4" t="s">
        <v>315</v>
      </c>
      <c r="D2504" s="4">
        <v>15</v>
      </c>
      <c r="E2504" s="4" t="s">
        <v>50</v>
      </c>
      <c r="F2504" s="4" t="s">
        <v>5353</v>
      </c>
    </row>
    <row r="2505" spans="1:6">
      <c r="A2505" s="4" t="s">
        <v>5354</v>
      </c>
      <c r="B2505" s="6" t="s">
        <v>5355</v>
      </c>
      <c r="C2505" s="4" t="s">
        <v>1078</v>
      </c>
      <c r="D2505" s="4">
        <v>6</v>
      </c>
      <c r="E2505" s="4" t="s">
        <v>1004</v>
      </c>
      <c r="F2505" s="4" t="s">
        <v>1620</v>
      </c>
    </row>
    <row r="2506" spans="1:6">
      <c r="A2506" s="4" t="s">
        <v>5356</v>
      </c>
      <c r="B2506" s="6" t="s">
        <v>5357</v>
      </c>
      <c r="C2506" s="4" t="s">
        <v>574</v>
      </c>
      <c r="D2506" s="4">
        <v>11</v>
      </c>
      <c r="E2506" s="4" t="s">
        <v>4811</v>
      </c>
      <c r="F2506" s="4" t="s">
        <v>5330</v>
      </c>
    </row>
    <row r="2507" spans="1:6">
      <c r="A2507" s="4" t="s">
        <v>5358</v>
      </c>
      <c r="B2507" s="6" t="s">
        <v>5359</v>
      </c>
      <c r="C2507" s="4" t="s">
        <v>182</v>
      </c>
      <c r="D2507" s="4">
        <v>8</v>
      </c>
      <c r="E2507" s="4" t="s">
        <v>5360</v>
      </c>
      <c r="F2507" s="4" t="s">
        <v>5361</v>
      </c>
    </row>
    <row r="2508" spans="1:6">
      <c r="A2508" s="4" t="s">
        <v>5362</v>
      </c>
      <c r="B2508" s="6" t="s">
        <v>5363</v>
      </c>
      <c r="C2508" s="4" t="s">
        <v>3484</v>
      </c>
      <c r="D2508" s="4">
        <v>4</v>
      </c>
      <c r="E2508" s="4" t="s">
        <v>1253</v>
      </c>
    </row>
    <row r="2509" spans="1:6">
      <c r="A2509" s="4" t="s">
        <v>5364</v>
      </c>
      <c r="B2509" s="6" t="s">
        <v>5365</v>
      </c>
      <c r="C2509" s="4" t="s">
        <v>708</v>
      </c>
      <c r="D2509" s="4">
        <v>17</v>
      </c>
      <c r="E2509" s="4" t="s">
        <v>5332</v>
      </c>
    </row>
    <row r="2510" spans="1:6">
      <c r="A2510" s="4" t="s">
        <v>860</v>
      </c>
      <c r="B2510" s="6" t="s">
        <v>5366</v>
      </c>
      <c r="C2510" s="4" t="s">
        <v>860</v>
      </c>
      <c r="D2510" s="4">
        <v>6</v>
      </c>
      <c r="E2510" s="4" t="s">
        <v>5367</v>
      </c>
      <c r="F2510" s="4" t="s">
        <v>5368</v>
      </c>
    </row>
    <row r="2511" spans="1:6">
      <c r="A2511" s="4" t="s">
        <v>5369</v>
      </c>
      <c r="B2511" s="6" t="s">
        <v>5366</v>
      </c>
      <c r="C2511" s="4" t="s">
        <v>5370</v>
      </c>
      <c r="D2511" s="4">
        <v>10</v>
      </c>
      <c r="E2511" s="4" t="s">
        <v>5371</v>
      </c>
      <c r="F2511" s="4" t="s">
        <v>5372</v>
      </c>
    </row>
    <row r="2512" spans="1:6">
      <c r="A2512" s="4" t="s">
        <v>5373</v>
      </c>
      <c r="B2512" s="6" t="s">
        <v>5366</v>
      </c>
      <c r="C2512" s="4" t="s">
        <v>223</v>
      </c>
      <c r="D2512" s="4">
        <v>15</v>
      </c>
      <c r="F2512" s="4" t="s">
        <v>5374</v>
      </c>
    </row>
    <row r="2513" spans="1:6">
      <c r="A2513" s="4" t="s">
        <v>5375</v>
      </c>
      <c r="B2513" s="6" t="s">
        <v>5366</v>
      </c>
      <c r="C2513" s="4" t="s">
        <v>45</v>
      </c>
      <c r="D2513" s="4">
        <v>7</v>
      </c>
      <c r="E2513" s="4" t="s">
        <v>5376</v>
      </c>
      <c r="F2513" s="4" t="s">
        <v>5368</v>
      </c>
    </row>
    <row r="2514" spans="1:6">
      <c r="A2514" s="4" t="s">
        <v>5377</v>
      </c>
      <c r="B2514" s="6" t="s">
        <v>5378</v>
      </c>
      <c r="C2514" s="4" t="s">
        <v>14</v>
      </c>
      <c r="D2514" s="4">
        <v>6</v>
      </c>
      <c r="E2514" s="4" t="s">
        <v>5379</v>
      </c>
      <c r="F2514" s="4" t="s">
        <v>5380</v>
      </c>
    </row>
    <row r="2515" spans="1:6">
      <c r="A2515" s="4" t="s">
        <v>5381</v>
      </c>
      <c r="B2515" s="6" t="s">
        <v>5378</v>
      </c>
      <c r="C2515" s="4" t="s">
        <v>87</v>
      </c>
      <c r="D2515" s="4">
        <v>9</v>
      </c>
      <c r="E2515" s="4" t="s">
        <v>5382</v>
      </c>
    </row>
    <row r="2516" spans="1:6">
      <c r="A2516" s="4" t="s">
        <v>5383</v>
      </c>
      <c r="B2516" s="6" t="s">
        <v>5384</v>
      </c>
      <c r="C2516" s="4" t="s">
        <v>254</v>
      </c>
      <c r="D2516" s="4">
        <v>4</v>
      </c>
      <c r="E2516" s="4" t="s">
        <v>5385</v>
      </c>
    </row>
    <row r="2517" spans="1:6">
      <c r="A2517" s="4" t="s">
        <v>5386</v>
      </c>
      <c r="B2517" s="6" t="s">
        <v>5387</v>
      </c>
      <c r="C2517" s="4" t="s">
        <v>458</v>
      </c>
      <c r="D2517" s="4">
        <v>18</v>
      </c>
      <c r="E2517" s="4" t="s">
        <v>1253</v>
      </c>
      <c r="F2517" s="4" t="s">
        <v>5388</v>
      </c>
    </row>
    <row r="2518" spans="1:6">
      <c r="A2518" s="4" t="s">
        <v>5389</v>
      </c>
      <c r="B2518" s="6" t="s">
        <v>5390</v>
      </c>
      <c r="C2518" s="4" t="s">
        <v>1262</v>
      </c>
      <c r="D2518" s="4">
        <v>20</v>
      </c>
      <c r="E2518" s="4" t="s">
        <v>1253</v>
      </c>
      <c r="F2518" s="4" t="s">
        <v>5391</v>
      </c>
    </row>
    <row r="2519" spans="1:6">
      <c r="A2519" s="4" t="s">
        <v>5392</v>
      </c>
      <c r="B2519" s="6" t="s">
        <v>5390</v>
      </c>
      <c r="C2519" s="4" t="s">
        <v>27</v>
      </c>
      <c r="D2519" s="4">
        <v>16</v>
      </c>
      <c r="E2519" s="4" t="s">
        <v>1253</v>
      </c>
    </row>
    <row r="2520" spans="1:6">
      <c r="A2520" s="4" t="s">
        <v>5393</v>
      </c>
      <c r="B2520" s="6" t="s">
        <v>5390</v>
      </c>
      <c r="C2520" s="4" t="s">
        <v>34</v>
      </c>
      <c r="D2520" s="4">
        <v>20</v>
      </c>
      <c r="E2520" s="4" t="s">
        <v>1253</v>
      </c>
    </row>
    <row r="2521" spans="1:6">
      <c r="A2521" s="4" t="s">
        <v>5394</v>
      </c>
      <c r="B2521" s="6" t="s">
        <v>5390</v>
      </c>
      <c r="C2521" s="4" t="s">
        <v>27</v>
      </c>
      <c r="D2521" s="4">
        <v>20</v>
      </c>
      <c r="E2521" s="4" t="s">
        <v>1253</v>
      </c>
    </row>
    <row r="2522" spans="1:6">
      <c r="A2522" s="4" t="s">
        <v>5395</v>
      </c>
      <c r="B2522" s="6" t="s">
        <v>5396</v>
      </c>
      <c r="C2522" s="4" t="s">
        <v>49</v>
      </c>
      <c r="D2522" s="4">
        <v>8</v>
      </c>
      <c r="E2522" s="4" t="s">
        <v>5397</v>
      </c>
      <c r="F2522" s="4" t="s">
        <v>5398</v>
      </c>
    </row>
    <row r="2523" spans="1:6">
      <c r="A2523" s="4" t="s">
        <v>5399</v>
      </c>
      <c r="B2523" s="6" t="s">
        <v>5396</v>
      </c>
      <c r="C2523" s="4" t="s">
        <v>464</v>
      </c>
      <c r="D2523" s="4">
        <v>10</v>
      </c>
      <c r="E2523" s="4" t="s">
        <v>5400</v>
      </c>
      <c r="F2523" s="4" t="s">
        <v>5401</v>
      </c>
    </row>
    <row r="2524" spans="1:6">
      <c r="A2524" s="4" t="s">
        <v>5402</v>
      </c>
      <c r="B2524" s="6" t="s">
        <v>5396</v>
      </c>
      <c r="C2524" s="4" t="s">
        <v>14</v>
      </c>
      <c r="D2524" s="4">
        <v>13</v>
      </c>
      <c r="E2524" s="4" t="s">
        <v>5385</v>
      </c>
    </row>
    <row r="2525" spans="1:6">
      <c r="A2525" s="4" t="s">
        <v>5403</v>
      </c>
      <c r="B2525" s="6" t="s">
        <v>5396</v>
      </c>
      <c r="C2525" s="4" t="s">
        <v>34</v>
      </c>
      <c r="D2525" s="4">
        <v>13</v>
      </c>
      <c r="E2525" s="4" t="s">
        <v>5404</v>
      </c>
    </row>
    <row r="2526" spans="1:6">
      <c r="A2526" s="4" t="s">
        <v>5405</v>
      </c>
      <c r="B2526" s="6" t="s">
        <v>5406</v>
      </c>
      <c r="C2526" s="4" t="s">
        <v>37</v>
      </c>
      <c r="D2526" s="4">
        <v>20</v>
      </c>
      <c r="E2526" s="4" t="s">
        <v>1253</v>
      </c>
      <c r="F2526" s="4" t="s">
        <v>5407</v>
      </c>
    </row>
    <row r="2527" spans="1:6">
      <c r="A2527" s="4" t="s">
        <v>5408</v>
      </c>
      <c r="B2527" s="6" t="s">
        <v>5409</v>
      </c>
      <c r="C2527" s="4" t="s">
        <v>87</v>
      </c>
      <c r="D2527" s="4">
        <v>6</v>
      </c>
      <c r="E2527" s="4" t="s">
        <v>5382</v>
      </c>
      <c r="F2527" s="4" t="s">
        <v>5410</v>
      </c>
    </row>
    <row r="2528" spans="1:6">
      <c r="A2528" s="4" t="s">
        <v>5411</v>
      </c>
      <c r="B2528" s="6" t="s">
        <v>5412</v>
      </c>
      <c r="C2528" s="4" t="s">
        <v>605</v>
      </c>
      <c r="D2528" s="4">
        <v>5</v>
      </c>
      <c r="E2528" s="4" t="s">
        <v>5316</v>
      </c>
      <c r="F2528" s="4" t="s">
        <v>2003</v>
      </c>
    </row>
    <row r="2529" spans="1:6">
      <c r="A2529" s="4" t="s">
        <v>5413</v>
      </c>
      <c r="B2529" s="6" t="s">
        <v>5414</v>
      </c>
      <c r="C2529" s="4" t="s">
        <v>1211</v>
      </c>
      <c r="D2529" s="4">
        <v>11</v>
      </c>
      <c r="E2529" s="4" t="s">
        <v>5415</v>
      </c>
      <c r="F2529" s="4" t="s">
        <v>5416</v>
      </c>
    </row>
    <row r="2530" spans="1:6">
      <c r="A2530" s="4" t="s">
        <v>5417</v>
      </c>
      <c r="B2530" s="6" t="s">
        <v>5414</v>
      </c>
      <c r="C2530" s="4" t="s">
        <v>1129</v>
      </c>
      <c r="D2530" s="4">
        <v>16</v>
      </c>
      <c r="E2530" s="4" t="s">
        <v>5415</v>
      </c>
      <c r="F2530" s="4" t="s">
        <v>5418</v>
      </c>
    </row>
    <row r="2531" spans="1:6">
      <c r="A2531" s="4" t="s">
        <v>5419</v>
      </c>
      <c r="B2531" s="6" t="s">
        <v>5420</v>
      </c>
      <c r="C2531" s="4" t="s">
        <v>34</v>
      </c>
      <c r="D2531" s="4">
        <v>8</v>
      </c>
      <c r="E2531" s="4" t="s">
        <v>5421</v>
      </c>
    </row>
    <row r="2532" spans="1:6">
      <c r="A2532" s="4" t="s">
        <v>5422</v>
      </c>
      <c r="B2532" s="6" t="s">
        <v>5423</v>
      </c>
      <c r="C2532" s="4" t="s">
        <v>598</v>
      </c>
      <c r="D2532" s="4">
        <v>6</v>
      </c>
      <c r="E2532" s="4" t="s">
        <v>5424</v>
      </c>
      <c r="F2532" s="4" t="s">
        <v>5425</v>
      </c>
    </row>
    <row r="2533" spans="1:6">
      <c r="A2533" s="4" t="s">
        <v>5426</v>
      </c>
      <c r="B2533" s="6" t="s">
        <v>5427</v>
      </c>
      <c r="C2533" s="4" t="s">
        <v>87</v>
      </c>
      <c r="D2533" s="4">
        <v>10</v>
      </c>
      <c r="E2533" s="4" t="s">
        <v>5428</v>
      </c>
    </row>
    <row r="2534" spans="1:6">
      <c r="A2534" s="4" t="s">
        <v>5429</v>
      </c>
      <c r="B2534" s="6" t="s">
        <v>5430</v>
      </c>
      <c r="C2534" s="4" t="s">
        <v>81</v>
      </c>
      <c r="D2534" s="4">
        <v>8</v>
      </c>
      <c r="E2534" s="4" t="s">
        <v>5424</v>
      </c>
    </row>
    <row r="2535" spans="1:6">
      <c r="A2535" s="4" t="s">
        <v>5431</v>
      </c>
      <c r="B2535" s="6" t="s">
        <v>5430</v>
      </c>
      <c r="C2535" s="4" t="s">
        <v>53</v>
      </c>
      <c r="D2535" s="4">
        <v>12</v>
      </c>
      <c r="E2535" s="4" t="s">
        <v>5432</v>
      </c>
    </row>
    <row r="2536" spans="1:6">
      <c r="A2536" s="4" t="s">
        <v>5433</v>
      </c>
      <c r="B2536" s="6" t="s">
        <v>5434</v>
      </c>
      <c r="C2536" s="4" t="s">
        <v>461</v>
      </c>
      <c r="D2536" s="4">
        <v>11</v>
      </c>
      <c r="E2536" s="4" t="s">
        <v>979</v>
      </c>
      <c r="F2536" s="4" t="s">
        <v>3856</v>
      </c>
    </row>
    <row r="2537" spans="1:6">
      <c r="A2537" s="4" t="s">
        <v>5435</v>
      </c>
      <c r="B2537" s="6" t="s">
        <v>5430</v>
      </c>
      <c r="C2537" s="4" t="s">
        <v>23</v>
      </c>
      <c r="D2537" s="4">
        <v>11</v>
      </c>
      <c r="E2537" s="4" t="s">
        <v>1183</v>
      </c>
      <c r="F2537" s="4" t="s">
        <v>5436</v>
      </c>
    </row>
    <row r="2538" spans="1:6">
      <c r="A2538" s="4" t="s">
        <v>5437</v>
      </c>
      <c r="B2538" s="6" t="s">
        <v>5438</v>
      </c>
      <c r="C2538" s="4" t="s">
        <v>34</v>
      </c>
      <c r="D2538" s="4">
        <v>11</v>
      </c>
      <c r="E2538" s="4" t="s">
        <v>5439</v>
      </c>
      <c r="F2538" s="4" t="s">
        <v>5440</v>
      </c>
    </row>
    <row r="2539" spans="1:6">
      <c r="A2539" s="4" t="s">
        <v>5441</v>
      </c>
      <c r="B2539" s="6" t="s">
        <v>5442</v>
      </c>
      <c r="C2539" s="4" t="s">
        <v>605</v>
      </c>
      <c r="D2539" s="4">
        <v>7</v>
      </c>
      <c r="E2539" s="4" t="s">
        <v>5443</v>
      </c>
    </row>
    <row r="2540" spans="1:6">
      <c r="A2540" s="4" t="s">
        <v>5444</v>
      </c>
      <c r="B2540" s="6" t="s">
        <v>5445</v>
      </c>
      <c r="C2540" s="4" t="s">
        <v>45</v>
      </c>
      <c r="D2540" s="4">
        <v>14</v>
      </c>
      <c r="E2540" s="4" t="s">
        <v>5446</v>
      </c>
      <c r="F2540" s="4" t="s">
        <v>5447</v>
      </c>
    </row>
    <row r="2541" spans="1:6">
      <c r="A2541" s="4" t="s">
        <v>5448</v>
      </c>
      <c r="B2541" s="6" t="s">
        <v>5445</v>
      </c>
      <c r="C2541" s="4" t="s">
        <v>53</v>
      </c>
      <c r="D2541" s="4">
        <v>18</v>
      </c>
      <c r="E2541" s="4" t="s">
        <v>2055</v>
      </c>
    </row>
    <row r="2542" spans="1:6">
      <c r="A2542" s="4" t="s">
        <v>5449</v>
      </c>
      <c r="B2542" s="6" t="s">
        <v>5445</v>
      </c>
      <c r="C2542" s="4" t="s">
        <v>23</v>
      </c>
      <c r="D2542" s="4">
        <v>17</v>
      </c>
      <c r="E2542" s="4" t="s">
        <v>5446</v>
      </c>
    </row>
    <row r="2543" spans="1:6">
      <c r="A2543" s="4" t="s">
        <v>5450</v>
      </c>
      <c r="B2543" s="6" t="s">
        <v>5451</v>
      </c>
      <c r="C2543" s="4" t="s">
        <v>87</v>
      </c>
      <c r="D2543" s="4">
        <v>13</v>
      </c>
      <c r="E2543" s="4" t="s">
        <v>5452</v>
      </c>
      <c r="F2543" s="4" t="s">
        <v>5453</v>
      </c>
    </row>
    <row r="2544" spans="1:6">
      <c r="A2544" s="4" t="s">
        <v>5454</v>
      </c>
      <c r="B2544" s="6" t="s">
        <v>5455</v>
      </c>
      <c r="C2544" s="4" t="s">
        <v>254</v>
      </c>
      <c r="D2544" s="4">
        <v>8</v>
      </c>
      <c r="E2544" s="4" t="s">
        <v>5456</v>
      </c>
    </row>
    <row r="2545" spans="1:6">
      <c r="A2545" s="4" t="s">
        <v>5457</v>
      </c>
      <c r="B2545" s="6" t="s">
        <v>5455</v>
      </c>
      <c r="C2545" s="4" t="s">
        <v>254</v>
      </c>
      <c r="D2545" s="4">
        <v>7</v>
      </c>
      <c r="E2545" s="4" t="s">
        <v>5456</v>
      </c>
    </row>
    <row r="2546" spans="1:6">
      <c r="A2546" s="4" t="s">
        <v>5458</v>
      </c>
      <c r="B2546" s="6" t="s">
        <v>5459</v>
      </c>
      <c r="C2546" s="4" t="s">
        <v>708</v>
      </c>
      <c r="D2546" s="4">
        <v>8</v>
      </c>
      <c r="E2546" s="4" t="s">
        <v>5460</v>
      </c>
    </row>
    <row r="2547" spans="1:6">
      <c r="A2547" s="4" t="s">
        <v>5461</v>
      </c>
      <c r="B2547" s="6" t="s">
        <v>5462</v>
      </c>
      <c r="C2547" s="4" t="s">
        <v>173</v>
      </c>
      <c r="D2547" s="4">
        <v>7</v>
      </c>
      <c r="E2547" s="4" t="s">
        <v>3913</v>
      </c>
      <c r="F2547" s="4" t="s">
        <v>5463</v>
      </c>
    </row>
    <row r="2548" spans="1:6">
      <c r="A2548" s="4" t="s">
        <v>5464</v>
      </c>
      <c r="B2548" s="6" t="s">
        <v>5462</v>
      </c>
      <c r="C2548" s="4" t="s">
        <v>104</v>
      </c>
      <c r="D2548" s="4">
        <v>13</v>
      </c>
      <c r="E2548" s="4" t="s">
        <v>1956</v>
      </c>
      <c r="F2548" s="4" t="s">
        <v>5465</v>
      </c>
    </row>
    <row r="2549" spans="1:6">
      <c r="A2549" s="4" t="s">
        <v>5466</v>
      </c>
      <c r="B2549" s="6" t="s">
        <v>5467</v>
      </c>
      <c r="C2549" s="4" t="s">
        <v>14</v>
      </c>
      <c r="D2549" s="4">
        <v>5</v>
      </c>
      <c r="E2549" s="4" t="s">
        <v>5460</v>
      </c>
      <c r="F2549" s="4" t="s">
        <v>5468</v>
      </c>
    </row>
    <row r="2550" spans="1:6">
      <c r="A2550" s="4" t="s">
        <v>5469</v>
      </c>
      <c r="B2550" s="6" t="s">
        <v>5467</v>
      </c>
      <c r="C2550" s="4" t="s">
        <v>238</v>
      </c>
      <c r="D2550" s="4">
        <v>8</v>
      </c>
      <c r="E2550" s="4" t="s">
        <v>5460</v>
      </c>
    </row>
    <row r="2551" spans="1:6">
      <c r="A2551" s="4" t="s">
        <v>5470</v>
      </c>
      <c r="B2551" s="6" t="s">
        <v>5471</v>
      </c>
      <c r="C2551" s="4" t="s">
        <v>5370</v>
      </c>
      <c r="D2551" s="4">
        <v>13</v>
      </c>
      <c r="E2551" s="4" t="s">
        <v>4819</v>
      </c>
    </row>
    <row r="2552" spans="1:6">
      <c r="A2552" s="4" t="s">
        <v>5472</v>
      </c>
      <c r="B2552" s="6" t="s">
        <v>5473</v>
      </c>
      <c r="C2552" s="4" t="s">
        <v>354</v>
      </c>
      <c r="D2552" s="4">
        <v>17</v>
      </c>
      <c r="E2552" s="4" t="s">
        <v>4819</v>
      </c>
      <c r="F2552" s="4" t="s">
        <v>5474</v>
      </c>
    </row>
    <row r="2553" spans="1:6">
      <c r="A2553" s="4" t="s">
        <v>5475</v>
      </c>
      <c r="B2553" s="6" t="s">
        <v>5476</v>
      </c>
      <c r="C2553" s="4" t="s">
        <v>87</v>
      </c>
      <c r="D2553" s="4">
        <v>16</v>
      </c>
      <c r="E2553" s="4" t="s">
        <v>4819</v>
      </c>
      <c r="F2553" s="4" t="s">
        <v>5477</v>
      </c>
    </row>
    <row r="2554" spans="1:6">
      <c r="A2554" s="4" t="s">
        <v>5478</v>
      </c>
      <c r="B2554" s="6" t="s">
        <v>5479</v>
      </c>
      <c r="C2554" s="4" t="s">
        <v>705</v>
      </c>
      <c r="D2554" s="4">
        <v>7</v>
      </c>
      <c r="E2554" s="4" t="s">
        <v>5460</v>
      </c>
      <c r="F2554" s="4" t="s">
        <v>934</v>
      </c>
    </row>
    <row r="2555" spans="1:6">
      <c r="A2555" s="4" t="s">
        <v>5480</v>
      </c>
      <c r="B2555" s="6" t="s">
        <v>5479</v>
      </c>
      <c r="C2555" s="4" t="s">
        <v>464</v>
      </c>
      <c r="D2555" s="4">
        <v>8</v>
      </c>
      <c r="E2555" s="4" t="s">
        <v>5460</v>
      </c>
    </row>
    <row r="2556" spans="1:6">
      <c r="A2556" s="4" t="s">
        <v>5481</v>
      </c>
      <c r="B2556" s="6" t="s">
        <v>5482</v>
      </c>
      <c r="C2556" s="4" t="s">
        <v>81</v>
      </c>
      <c r="D2556" s="4">
        <v>9</v>
      </c>
      <c r="E2556" s="4" t="s">
        <v>5483</v>
      </c>
      <c r="F2556" s="4" t="s">
        <v>5484</v>
      </c>
    </row>
    <row r="2557" spans="1:6">
      <c r="A2557" s="4" t="s">
        <v>5485</v>
      </c>
      <c r="B2557" s="6" t="s">
        <v>5486</v>
      </c>
      <c r="C2557" s="4" t="s">
        <v>917</v>
      </c>
      <c r="D2557" s="4">
        <v>4</v>
      </c>
      <c r="E2557" s="4" t="s">
        <v>5487</v>
      </c>
      <c r="F2557" s="4" t="s">
        <v>5488</v>
      </c>
    </row>
    <row r="2558" spans="1:6">
      <c r="A2558" s="4" t="s">
        <v>5489</v>
      </c>
      <c r="B2558" s="6" t="s">
        <v>5490</v>
      </c>
      <c r="C2558" s="4" t="s">
        <v>14</v>
      </c>
      <c r="D2558" s="4">
        <v>14</v>
      </c>
      <c r="E2558" s="4" t="s">
        <v>5491</v>
      </c>
    </row>
    <row r="2559" spans="1:6">
      <c r="A2559" s="4" t="s">
        <v>5492</v>
      </c>
      <c r="B2559" s="6" t="s">
        <v>5493</v>
      </c>
      <c r="C2559" s="4" t="s">
        <v>23</v>
      </c>
      <c r="D2559" s="4">
        <v>7</v>
      </c>
      <c r="E2559" s="4" t="s">
        <v>2371</v>
      </c>
    </row>
    <row r="2560" spans="1:6">
      <c r="A2560" s="4" t="s">
        <v>5494</v>
      </c>
      <c r="B2560" s="6" t="s">
        <v>5495</v>
      </c>
      <c r="C2560" s="4" t="s">
        <v>76</v>
      </c>
      <c r="D2560" s="4">
        <v>13</v>
      </c>
      <c r="E2560" s="4" t="s">
        <v>5496</v>
      </c>
    </row>
    <row r="2561" spans="1:6">
      <c r="A2561" s="4" t="s">
        <v>5497</v>
      </c>
      <c r="B2561" s="6" t="s">
        <v>5498</v>
      </c>
      <c r="C2561" s="4" t="s">
        <v>254</v>
      </c>
      <c r="D2561" s="4">
        <v>15</v>
      </c>
      <c r="E2561" s="4" t="s">
        <v>4819</v>
      </c>
    </row>
    <row r="2562" spans="1:6">
      <c r="A2562" s="4" t="s">
        <v>5499</v>
      </c>
      <c r="B2562" s="6" t="s">
        <v>5500</v>
      </c>
      <c r="C2562" s="4" t="s">
        <v>14</v>
      </c>
      <c r="D2562" s="4">
        <v>10</v>
      </c>
      <c r="E2562" s="4" t="s">
        <v>1253</v>
      </c>
      <c r="F2562" s="4" t="s">
        <v>5501</v>
      </c>
    </row>
    <row r="2563" spans="1:6">
      <c r="A2563" s="4" t="s">
        <v>5502</v>
      </c>
      <c r="B2563" s="6" t="s">
        <v>5500</v>
      </c>
      <c r="C2563" s="4" t="s">
        <v>14</v>
      </c>
      <c r="D2563" s="4">
        <v>16</v>
      </c>
      <c r="E2563" s="4" t="s">
        <v>1253</v>
      </c>
    </row>
    <row r="2564" spans="1:6">
      <c r="A2564" s="4" t="s">
        <v>5503</v>
      </c>
      <c r="B2564" s="6" t="s">
        <v>5500</v>
      </c>
      <c r="C2564" s="4" t="s">
        <v>14</v>
      </c>
      <c r="D2564" s="4">
        <v>20</v>
      </c>
      <c r="E2564" s="4" t="s">
        <v>1253</v>
      </c>
    </row>
    <row r="2565" spans="1:6">
      <c r="A2565" s="4" t="s">
        <v>14</v>
      </c>
      <c r="B2565" s="6" t="s">
        <v>5504</v>
      </c>
      <c r="C2565" s="4" t="s">
        <v>14</v>
      </c>
      <c r="D2565" s="4">
        <v>3</v>
      </c>
      <c r="E2565" s="4" t="s">
        <v>5382</v>
      </c>
      <c r="F2565" s="4" t="s">
        <v>5505</v>
      </c>
    </row>
    <row r="2566" spans="1:6">
      <c r="A2566" s="4" t="s">
        <v>5506</v>
      </c>
      <c r="B2566" s="6" t="s">
        <v>5507</v>
      </c>
      <c r="C2566" s="4" t="s">
        <v>301</v>
      </c>
      <c r="D2566" s="4">
        <v>10</v>
      </c>
      <c r="E2566" s="4" t="s">
        <v>1161</v>
      </c>
      <c r="F2566" s="4" t="s">
        <v>5508</v>
      </c>
    </row>
    <row r="2567" spans="1:6">
      <c r="A2567" s="4" t="s">
        <v>5509</v>
      </c>
      <c r="B2567" s="6" t="s">
        <v>5507</v>
      </c>
      <c r="C2567" s="4" t="s">
        <v>81</v>
      </c>
      <c r="D2567" s="4">
        <v>7</v>
      </c>
      <c r="E2567" s="4" t="s">
        <v>5510</v>
      </c>
    </row>
    <row r="2568" spans="1:6">
      <c r="A2568" s="4" t="s">
        <v>5511</v>
      </c>
      <c r="B2568" s="6" t="s">
        <v>5512</v>
      </c>
      <c r="C2568" s="4" t="s">
        <v>81</v>
      </c>
      <c r="D2568" s="4">
        <v>8</v>
      </c>
      <c r="E2568" s="4" t="s">
        <v>5513</v>
      </c>
    </row>
    <row r="2569" spans="1:6">
      <c r="A2569" s="4" t="s">
        <v>5514</v>
      </c>
      <c r="B2569" s="6" t="s">
        <v>5515</v>
      </c>
      <c r="C2569" s="4" t="s">
        <v>87</v>
      </c>
      <c r="D2569" s="4">
        <v>12</v>
      </c>
      <c r="E2569" s="4" t="s">
        <v>721</v>
      </c>
      <c r="F2569" s="4" t="s">
        <v>5516</v>
      </c>
    </row>
    <row r="2570" spans="1:6">
      <c r="A2570" s="4" t="s">
        <v>5517</v>
      </c>
      <c r="B2570" s="6" t="s">
        <v>5515</v>
      </c>
      <c r="C2570" s="4" t="s">
        <v>315</v>
      </c>
      <c r="D2570" s="4">
        <v>17</v>
      </c>
      <c r="E2570" s="4" t="s">
        <v>721</v>
      </c>
      <c r="F2570" s="4" t="s">
        <v>5518</v>
      </c>
    </row>
    <row r="2571" spans="1:6">
      <c r="A2571" s="4" t="s">
        <v>5519</v>
      </c>
      <c r="B2571" s="6" t="s">
        <v>5515</v>
      </c>
      <c r="C2571" s="4" t="s">
        <v>1425</v>
      </c>
      <c r="D2571" s="4">
        <v>14</v>
      </c>
      <c r="E2571" s="4" t="s">
        <v>3126</v>
      </c>
      <c r="F2571" s="4" t="s">
        <v>5520</v>
      </c>
    </row>
    <row r="2572" spans="1:6">
      <c r="A2572" s="4" t="s">
        <v>5521</v>
      </c>
      <c r="B2572" s="6" t="s">
        <v>5515</v>
      </c>
      <c r="C2572" s="4" t="s">
        <v>427</v>
      </c>
      <c r="D2572" s="4">
        <v>12</v>
      </c>
      <c r="E2572" s="4" t="s">
        <v>5522</v>
      </c>
      <c r="F2572" s="4" t="s">
        <v>5523</v>
      </c>
    </row>
    <row r="2573" spans="1:6">
      <c r="A2573" s="4" t="s">
        <v>5524</v>
      </c>
      <c r="B2573" s="6" t="s">
        <v>5515</v>
      </c>
      <c r="C2573" s="4" t="s">
        <v>427</v>
      </c>
      <c r="D2573" s="4">
        <v>15</v>
      </c>
      <c r="E2573" s="4" t="s">
        <v>2604</v>
      </c>
      <c r="F2573" s="4" t="s">
        <v>5525</v>
      </c>
    </row>
    <row r="2574" spans="1:6">
      <c r="A2574" s="4" t="s">
        <v>5526</v>
      </c>
      <c r="B2574" s="6" t="s">
        <v>5515</v>
      </c>
      <c r="C2574" s="4" t="s">
        <v>23</v>
      </c>
      <c r="D2574" s="4">
        <v>9</v>
      </c>
      <c r="E2574" s="4" t="s">
        <v>24</v>
      </c>
    </row>
    <row r="2575" spans="1:6">
      <c r="A2575" s="4" t="s">
        <v>5527</v>
      </c>
      <c r="B2575" s="6" t="s">
        <v>5515</v>
      </c>
      <c r="C2575" s="4" t="s">
        <v>14</v>
      </c>
      <c r="D2575" s="4">
        <v>9</v>
      </c>
      <c r="E2575" s="4" t="s">
        <v>5528</v>
      </c>
    </row>
    <row r="2576" spans="1:6">
      <c r="A2576" s="4" t="s">
        <v>5529</v>
      </c>
      <c r="B2576" s="6" t="s">
        <v>5530</v>
      </c>
      <c r="C2576" s="4" t="s">
        <v>675</v>
      </c>
      <c r="D2576" s="4">
        <v>9</v>
      </c>
      <c r="E2576" s="4" t="s">
        <v>3126</v>
      </c>
      <c r="F2576" s="4" t="s">
        <v>5531</v>
      </c>
    </row>
    <row r="2577" spans="1:6">
      <c r="A2577" s="4" t="s">
        <v>5532</v>
      </c>
      <c r="B2577" s="6" t="s">
        <v>5533</v>
      </c>
      <c r="C2577" s="4" t="s">
        <v>45</v>
      </c>
      <c r="D2577" s="4">
        <v>12</v>
      </c>
      <c r="E2577" s="4" t="s">
        <v>1634</v>
      </c>
    </row>
    <row r="2578" spans="1:6">
      <c r="A2578" s="4" t="s">
        <v>5534</v>
      </c>
      <c r="B2578" s="6" t="s">
        <v>5533</v>
      </c>
      <c r="C2578" s="4" t="s">
        <v>3484</v>
      </c>
      <c r="D2578" s="4">
        <v>11</v>
      </c>
      <c r="E2578" s="4" t="s">
        <v>1634</v>
      </c>
      <c r="F2578" s="4" t="s">
        <v>5535</v>
      </c>
    </row>
    <row r="2579" spans="1:6">
      <c r="A2579" s="4" t="s">
        <v>5535</v>
      </c>
      <c r="B2579" s="6" t="s">
        <v>5536</v>
      </c>
      <c r="C2579" s="7" t="s">
        <v>132</v>
      </c>
      <c r="D2579" s="4">
        <v>21</v>
      </c>
      <c r="E2579" s="4" t="s">
        <v>54</v>
      </c>
      <c r="F2579" s="4" t="s">
        <v>5537</v>
      </c>
    </row>
    <row r="2580" spans="1:6">
      <c r="A2580" s="4" t="s">
        <v>5538</v>
      </c>
      <c r="B2580" s="6" t="s">
        <v>5536</v>
      </c>
      <c r="C2580" s="4" t="s">
        <v>574</v>
      </c>
      <c r="D2580" s="4">
        <v>21</v>
      </c>
      <c r="E2580" s="4" t="s">
        <v>2735</v>
      </c>
      <c r="F2580" s="4" t="s">
        <v>5539</v>
      </c>
    </row>
    <row r="2581" spans="1:6">
      <c r="A2581" s="4" t="s">
        <v>5540</v>
      </c>
      <c r="B2581" s="6" t="s">
        <v>5541</v>
      </c>
      <c r="C2581" s="4" t="s">
        <v>81</v>
      </c>
      <c r="D2581" s="4">
        <v>9</v>
      </c>
      <c r="E2581" s="4" t="s">
        <v>5542</v>
      </c>
      <c r="F2581" s="4" t="s">
        <v>2850</v>
      </c>
    </row>
    <row r="2582" spans="1:6">
      <c r="A2582" s="4" t="s">
        <v>5543</v>
      </c>
      <c r="B2582" s="6" t="s">
        <v>5544</v>
      </c>
      <c r="C2582" s="4" t="s">
        <v>992</v>
      </c>
      <c r="D2582" s="4">
        <v>14</v>
      </c>
      <c r="E2582" s="4" t="s">
        <v>5545</v>
      </c>
      <c r="F2582" s="4" t="s">
        <v>3164</v>
      </c>
    </row>
    <row r="2583" spans="1:6">
      <c r="A2583" s="4" t="s">
        <v>5546</v>
      </c>
      <c r="B2583" s="6" t="s">
        <v>5547</v>
      </c>
      <c r="C2583" s="4" t="s">
        <v>254</v>
      </c>
      <c r="D2583" s="4">
        <v>10</v>
      </c>
      <c r="E2583" s="4" t="s">
        <v>5548</v>
      </c>
    </row>
    <row r="2584" spans="1:6">
      <c r="A2584" s="4" t="s">
        <v>5549</v>
      </c>
      <c r="B2584" s="6" t="s">
        <v>5550</v>
      </c>
      <c r="C2584" s="4" t="s">
        <v>354</v>
      </c>
      <c r="D2584" s="4">
        <v>12</v>
      </c>
      <c r="E2584" s="4" t="s">
        <v>4203</v>
      </c>
      <c r="F2584" s="4" t="s">
        <v>5551</v>
      </c>
    </row>
    <row r="2585" spans="1:6">
      <c r="A2585" s="4" t="s">
        <v>5552</v>
      </c>
      <c r="B2585" s="6" t="s">
        <v>5550</v>
      </c>
      <c r="C2585" s="4" t="s">
        <v>53</v>
      </c>
      <c r="D2585" s="4">
        <v>12</v>
      </c>
      <c r="E2585" s="4" t="s">
        <v>4203</v>
      </c>
    </row>
    <row r="2586" spans="1:6">
      <c r="A2586" s="4" t="s">
        <v>5553</v>
      </c>
      <c r="B2586" s="6" t="s">
        <v>5554</v>
      </c>
      <c r="C2586" s="4" t="s">
        <v>87</v>
      </c>
      <c r="D2586" s="4">
        <v>6</v>
      </c>
      <c r="E2586" s="4" t="s">
        <v>5555</v>
      </c>
      <c r="F2586" s="4" t="s">
        <v>5556</v>
      </c>
    </row>
    <row r="2587" spans="1:6">
      <c r="A2587" s="4" t="s">
        <v>5557</v>
      </c>
      <c r="B2587" s="6" t="s">
        <v>5554</v>
      </c>
      <c r="C2587" s="4" t="s">
        <v>686</v>
      </c>
      <c r="D2587" s="4">
        <v>10</v>
      </c>
      <c r="E2587" s="4" t="s">
        <v>5558</v>
      </c>
      <c r="F2587" s="4" t="s">
        <v>5559</v>
      </c>
    </row>
    <row r="2588" spans="1:6">
      <c r="A2588" s="4" t="s">
        <v>5560</v>
      </c>
      <c r="B2588" s="6" t="s">
        <v>5554</v>
      </c>
      <c r="C2588" s="4" t="s">
        <v>23</v>
      </c>
      <c r="D2588" s="4">
        <v>13</v>
      </c>
      <c r="E2588" s="4" t="s">
        <v>5555</v>
      </c>
    </row>
    <row r="2589" spans="1:6">
      <c r="A2589" s="4" t="s">
        <v>5561</v>
      </c>
      <c r="B2589" s="6" t="s">
        <v>5562</v>
      </c>
      <c r="C2589" s="4" t="s">
        <v>19</v>
      </c>
      <c r="D2589" s="4">
        <v>12</v>
      </c>
      <c r="E2589" s="4" t="s">
        <v>5090</v>
      </c>
      <c r="F2589" s="4" t="s">
        <v>4622</v>
      </c>
    </row>
    <row r="2590" spans="1:6">
      <c r="A2590" s="4" t="s">
        <v>5563</v>
      </c>
      <c r="B2590" s="6" t="s">
        <v>5564</v>
      </c>
      <c r="C2590" s="4" t="s">
        <v>87</v>
      </c>
      <c r="D2590" s="4">
        <v>12</v>
      </c>
      <c r="E2590" s="4" t="s">
        <v>160</v>
      </c>
      <c r="F2590" s="4" t="s">
        <v>5565</v>
      </c>
    </row>
    <row r="2591" spans="1:6">
      <c r="A2591" s="4" t="s">
        <v>5566</v>
      </c>
      <c r="B2591" s="6" t="s">
        <v>5564</v>
      </c>
      <c r="C2591" s="4" t="s">
        <v>195</v>
      </c>
      <c r="D2591" s="4">
        <v>19</v>
      </c>
      <c r="E2591" s="4" t="s">
        <v>5567</v>
      </c>
    </row>
    <row r="2592" spans="1:6">
      <c r="A2592" s="4" t="s">
        <v>5568</v>
      </c>
      <c r="B2592" s="6" t="s">
        <v>5564</v>
      </c>
      <c r="C2592" s="4" t="s">
        <v>81</v>
      </c>
      <c r="D2592" s="4">
        <v>13</v>
      </c>
      <c r="E2592" s="4" t="s">
        <v>5569</v>
      </c>
    </row>
    <row r="2593" spans="1:6">
      <c r="A2593" s="4" t="s">
        <v>5570</v>
      </c>
      <c r="B2593" s="6" t="s">
        <v>5564</v>
      </c>
      <c r="C2593" s="4" t="s">
        <v>76</v>
      </c>
      <c r="D2593" s="4">
        <v>15</v>
      </c>
      <c r="E2593" s="4" t="s">
        <v>160</v>
      </c>
    </row>
    <row r="2594" spans="1:6">
      <c r="A2594" s="4" t="s">
        <v>5571</v>
      </c>
      <c r="B2594" s="6" t="s">
        <v>5572</v>
      </c>
      <c r="C2594" s="4" t="s">
        <v>1679</v>
      </c>
      <c r="D2594" s="4">
        <v>10</v>
      </c>
      <c r="E2594" s="4" t="s">
        <v>54</v>
      </c>
      <c r="F2594" s="4" t="s">
        <v>5573</v>
      </c>
    </row>
    <row r="2595" spans="1:6">
      <c r="A2595" s="4" t="s">
        <v>5574</v>
      </c>
      <c r="B2595" s="6" t="s">
        <v>5575</v>
      </c>
      <c r="C2595" s="4" t="s">
        <v>605</v>
      </c>
      <c r="D2595" s="4">
        <v>9</v>
      </c>
      <c r="E2595" s="4" t="s">
        <v>5576</v>
      </c>
    </row>
    <row r="2596" spans="1:6">
      <c r="A2596" s="4" t="s">
        <v>5577</v>
      </c>
      <c r="B2596" s="6" t="s">
        <v>5575</v>
      </c>
      <c r="C2596" s="4" t="s">
        <v>87</v>
      </c>
      <c r="D2596" s="4">
        <v>7</v>
      </c>
      <c r="E2596" s="4" t="s">
        <v>1601</v>
      </c>
    </row>
    <row r="2597" spans="1:6">
      <c r="A2597" s="4" t="s">
        <v>5578</v>
      </c>
      <c r="B2597" s="6" t="s">
        <v>5575</v>
      </c>
      <c r="C2597" s="4" t="s">
        <v>238</v>
      </c>
      <c r="D2597" s="4">
        <v>12</v>
      </c>
      <c r="E2597" s="4" t="s">
        <v>82</v>
      </c>
    </row>
    <row r="2598" spans="1:6">
      <c r="A2598" s="4" t="s">
        <v>5579</v>
      </c>
      <c r="B2598" s="6" t="s">
        <v>5580</v>
      </c>
      <c r="C2598" s="4" t="s">
        <v>53</v>
      </c>
      <c r="D2598" s="4">
        <v>14</v>
      </c>
      <c r="E2598" s="4" t="s">
        <v>160</v>
      </c>
    </row>
    <row r="2599" spans="1:6">
      <c r="A2599" s="4" t="s">
        <v>5581</v>
      </c>
      <c r="B2599" s="6" t="s">
        <v>5582</v>
      </c>
      <c r="C2599" s="4" t="s">
        <v>27</v>
      </c>
      <c r="D2599" s="4">
        <v>13</v>
      </c>
      <c r="E2599" s="4" t="s">
        <v>5583</v>
      </c>
    </row>
    <row r="2600" spans="1:6">
      <c r="A2600" s="4" t="s">
        <v>5584</v>
      </c>
      <c r="B2600" s="6" t="s">
        <v>5585</v>
      </c>
      <c r="C2600" s="4" t="s">
        <v>1248</v>
      </c>
      <c r="D2600" s="4">
        <v>12</v>
      </c>
      <c r="E2600" s="4" t="s">
        <v>3126</v>
      </c>
      <c r="F2600" s="4" t="s">
        <v>1577</v>
      </c>
    </row>
    <row r="2601" spans="1:6">
      <c r="A2601" s="4" t="s">
        <v>5586</v>
      </c>
      <c r="B2601" s="6" t="s">
        <v>5587</v>
      </c>
      <c r="C2601" s="4" t="s">
        <v>458</v>
      </c>
      <c r="D2601" s="4">
        <v>16</v>
      </c>
      <c r="E2601" s="4" t="s">
        <v>160</v>
      </c>
      <c r="F2601" s="4" t="s">
        <v>5588</v>
      </c>
    </row>
    <row r="2602" spans="1:6">
      <c r="A2602" s="4" t="s">
        <v>5589</v>
      </c>
      <c r="B2602" s="6" t="s">
        <v>5590</v>
      </c>
      <c r="C2602" s="4" t="s">
        <v>57</v>
      </c>
      <c r="D2602" s="4">
        <v>9</v>
      </c>
      <c r="E2602" s="4" t="s">
        <v>211</v>
      </c>
    </row>
    <row r="2603" spans="1:6">
      <c r="A2603" s="4" t="s">
        <v>5591</v>
      </c>
      <c r="B2603" s="6" t="s">
        <v>5590</v>
      </c>
      <c r="C2603" s="4" t="s">
        <v>27</v>
      </c>
      <c r="D2603" s="4">
        <v>8</v>
      </c>
      <c r="E2603" s="4" t="s">
        <v>211</v>
      </c>
    </row>
    <row r="2604" spans="1:6">
      <c r="A2604" s="4" t="s">
        <v>5592</v>
      </c>
      <c r="B2604" s="6" t="s">
        <v>5593</v>
      </c>
      <c r="C2604" s="4" t="s">
        <v>87</v>
      </c>
      <c r="D2604" s="4">
        <v>15</v>
      </c>
      <c r="E2604" s="4" t="s">
        <v>219</v>
      </c>
    </row>
    <row r="2605" spans="1:6">
      <c r="A2605" s="4" t="s">
        <v>5594</v>
      </c>
      <c r="B2605" s="6" t="s">
        <v>5593</v>
      </c>
      <c r="C2605" s="4" t="s">
        <v>34</v>
      </c>
      <c r="D2605" s="4">
        <v>19</v>
      </c>
      <c r="E2605" s="4" t="s">
        <v>219</v>
      </c>
      <c r="F2605" s="4" t="s">
        <v>5595</v>
      </c>
    </row>
    <row r="2606" spans="1:6">
      <c r="A2606" s="4" t="s">
        <v>5596</v>
      </c>
      <c r="B2606" s="6" t="s">
        <v>5597</v>
      </c>
      <c r="C2606" s="4" t="s">
        <v>81</v>
      </c>
      <c r="D2606" s="4">
        <v>8</v>
      </c>
      <c r="E2606" s="4" t="s">
        <v>5598</v>
      </c>
    </row>
    <row r="2607" spans="1:6">
      <c r="A2607" s="4" t="s">
        <v>5599</v>
      </c>
      <c r="B2607" s="6" t="s">
        <v>5597</v>
      </c>
      <c r="C2607" s="4" t="s">
        <v>686</v>
      </c>
      <c r="D2607" s="4">
        <v>11</v>
      </c>
      <c r="E2607" s="4" t="s">
        <v>235</v>
      </c>
    </row>
    <row r="2608" spans="1:6">
      <c r="A2608" s="4" t="s">
        <v>5600</v>
      </c>
      <c r="B2608" s="6" t="s">
        <v>5601</v>
      </c>
      <c r="C2608" s="4" t="s">
        <v>53</v>
      </c>
      <c r="D2608" s="4">
        <v>8</v>
      </c>
      <c r="E2608" s="4" t="s">
        <v>852</v>
      </c>
    </row>
    <row r="2609" spans="1:6">
      <c r="A2609" s="4" t="s">
        <v>5602</v>
      </c>
      <c r="B2609" s="6" t="s">
        <v>5603</v>
      </c>
      <c r="C2609" s="4" t="s">
        <v>87</v>
      </c>
      <c r="D2609" s="4">
        <v>8</v>
      </c>
      <c r="E2609" s="4" t="s">
        <v>235</v>
      </c>
      <c r="F2609" s="4" t="s">
        <v>4565</v>
      </c>
    </row>
    <row r="2610" spans="1:6">
      <c r="A2610" s="4" t="s">
        <v>5604</v>
      </c>
      <c r="B2610" s="6" t="s">
        <v>5605</v>
      </c>
      <c r="C2610" s="4" t="s">
        <v>485</v>
      </c>
      <c r="D2610" s="4">
        <v>10</v>
      </c>
      <c r="E2610" s="4" t="s">
        <v>211</v>
      </c>
      <c r="F2610" s="4" t="s">
        <v>5606</v>
      </c>
    </row>
    <row r="2611" spans="1:6">
      <c r="A2611" s="4" t="s">
        <v>5607</v>
      </c>
      <c r="B2611" s="6" t="s">
        <v>5608</v>
      </c>
      <c r="C2611" s="4" t="s">
        <v>53</v>
      </c>
      <c r="D2611" s="4">
        <v>6</v>
      </c>
      <c r="E2611" s="4" t="s">
        <v>5609</v>
      </c>
    </row>
    <row r="2612" spans="1:6">
      <c r="A2612" s="4" t="s">
        <v>5610</v>
      </c>
      <c r="B2612" s="6" t="s">
        <v>5608</v>
      </c>
      <c r="C2612" s="4" t="s">
        <v>53</v>
      </c>
      <c r="D2612" s="4">
        <v>16</v>
      </c>
      <c r="E2612" s="4" t="s">
        <v>5611</v>
      </c>
    </row>
    <row r="2613" spans="1:6">
      <c r="A2613" s="4" t="s">
        <v>5612</v>
      </c>
      <c r="B2613" s="6" t="s">
        <v>5613</v>
      </c>
      <c r="C2613" s="4" t="s">
        <v>34</v>
      </c>
      <c r="D2613" s="4">
        <v>15</v>
      </c>
      <c r="E2613" s="4" t="s">
        <v>689</v>
      </c>
    </row>
    <row r="2614" spans="1:6">
      <c r="A2614" s="4" t="s">
        <v>5614</v>
      </c>
      <c r="B2614" s="6" t="s">
        <v>5615</v>
      </c>
      <c r="C2614" s="4" t="s">
        <v>34</v>
      </c>
      <c r="D2614" s="4">
        <v>8</v>
      </c>
      <c r="E2614" s="4" t="s">
        <v>266</v>
      </c>
      <c r="F2614" s="4" t="s">
        <v>312</v>
      </c>
    </row>
    <row r="2615" spans="1:6">
      <c r="A2615" s="4" t="s">
        <v>5616</v>
      </c>
      <c r="B2615" s="6" t="s">
        <v>5615</v>
      </c>
      <c r="C2615" s="4" t="s">
        <v>34</v>
      </c>
      <c r="D2615" s="4">
        <v>17</v>
      </c>
      <c r="E2615" s="4" t="s">
        <v>5617</v>
      </c>
    </row>
    <row r="2616" spans="1:6">
      <c r="A2616" s="4" t="s">
        <v>5618</v>
      </c>
      <c r="B2616" s="6" t="s">
        <v>5615</v>
      </c>
      <c r="C2616" s="4" t="s">
        <v>223</v>
      </c>
      <c r="D2616" s="4">
        <v>19</v>
      </c>
      <c r="E2616" s="4" t="s">
        <v>578</v>
      </c>
      <c r="F2616" s="4" t="s">
        <v>5619</v>
      </c>
    </row>
    <row r="2617" spans="1:6">
      <c r="A2617" s="4" t="s">
        <v>5620</v>
      </c>
      <c r="B2617" s="6" t="s">
        <v>5615</v>
      </c>
      <c r="C2617" s="4" t="s">
        <v>271</v>
      </c>
      <c r="D2617" s="4">
        <v>15</v>
      </c>
      <c r="E2617" s="4" t="s">
        <v>578</v>
      </c>
      <c r="F2617" s="4" t="s">
        <v>5621</v>
      </c>
    </row>
    <row r="2618" spans="1:6">
      <c r="A2618" s="4" t="s">
        <v>5622</v>
      </c>
      <c r="B2618" s="6" t="s">
        <v>5623</v>
      </c>
      <c r="C2618" s="4" t="s">
        <v>87</v>
      </c>
      <c r="D2618" s="4">
        <v>9</v>
      </c>
      <c r="E2618" s="4" t="s">
        <v>211</v>
      </c>
    </row>
    <row r="2619" spans="1:6">
      <c r="A2619" s="4" t="s">
        <v>5624</v>
      </c>
      <c r="B2619" s="6" t="s">
        <v>5625</v>
      </c>
      <c r="C2619" s="4" t="s">
        <v>87</v>
      </c>
      <c r="D2619" s="4">
        <v>7</v>
      </c>
      <c r="E2619" s="4" t="s">
        <v>291</v>
      </c>
    </row>
    <row r="2620" spans="1:6">
      <c r="A2620" s="4" t="s">
        <v>5626</v>
      </c>
      <c r="B2620" s="6" t="s">
        <v>5627</v>
      </c>
      <c r="C2620" s="4" t="s">
        <v>271</v>
      </c>
      <c r="D2620" s="4">
        <v>7</v>
      </c>
      <c r="E2620" s="4" t="s">
        <v>224</v>
      </c>
      <c r="F2620" s="4" t="s">
        <v>5628</v>
      </c>
    </row>
    <row r="2621" spans="1:6">
      <c r="A2621" s="4" t="s">
        <v>5629</v>
      </c>
      <c r="B2621" s="6" t="s">
        <v>5630</v>
      </c>
      <c r="C2621" s="4" t="s">
        <v>485</v>
      </c>
      <c r="D2621" s="4">
        <v>10</v>
      </c>
      <c r="E2621" s="4" t="s">
        <v>235</v>
      </c>
    </row>
    <row r="2622" spans="1:6">
      <c r="A2622" s="4" t="s">
        <v>5631</v>
      </c>
      <c r="B2622" s="6" t="s">
        <v>5632</v>
      </c>
      <c r="C2622" s="4" t="s">
        <v>87</v>
      </c>
      <c r="D2622" s="4">
        <v>8</v>
      </c>
      <c r="E2622" s="4" t="s">
        <v>235</v>
      </c>
      <c r="F2622" s="4" t="s">
        <v>5633</v>
      </c>
    </row>
    <row r="2623" spans="1:6">
      <c r="A2623" s="4" t="s">
        <v>5634</v>
      </c>
      <c r="B2623" s="6" t="s">
        <v>5635</v>
      </c>
      <c r="C2623" s="4" t="s">
        <v>324</v>
      </c>
      <c r="D2623" s="4">
        <v>9</v>
      </c>
      <c r="E2623" s="4" t="s">
        <v>5636</v>
      </c>
      <c r="F2623" s="4" t="s">
        <v>5637</v>
      </c>
    </row>
    <row r="2624" spans="1:6">
      <c r="A2624" s="4" t="s">
        <v>5638</v>
      </c>
      <c r="B2624" s="6" t="s">
        <v>5635</v>
      </c>
      <c r="C2624" s="4" t="s">
        <v>3020</v>
      </c>
      <c r="D2624" s="4">
        <v>14</v>
      </c>
      <c r="E2624" s="4" t="s">
        <v>320</v>
      </c>
      <c r="F2624" s="4" t="s">
        <v>1119</v>
      </c>
    </row>
    <row r="2625" spans="1:6">
      <c r="A2625" s="4" t="s">
        <v>5639</v>
      </c>
      <c r="B2625" s="6" t="s">
        <v>5640</v>
      </c>
      <c r="C2625" s="4" t="s">
        <v>487</v>
      </c>
      <c r="D2625" s="4">
        <v>3</v>
      </c>
      <c r="E2625" s="4" t="s">
        <v>5641</v>
      </c>
      <c r="F2625" s="4" t="s">
        <v>5642</v>
      </c>
    </row>
    <row r="2626" spans="1:6">
      <c r="A2626" s="4" t="s">
        <v>5643</v>
      </c>
      <c r="B2626" s="6" t="s">
        <v>5640</v>
      </c>
      <c r="C2626" s="4" t="s">
        <v>238</v>
      </c>
      <c r="D2626" s="4">
        <v>6</v>
      </c>
      <c r="E2626" s="4" t="s">
        <v>5644</v>
      </c>
      <c r="F2626" s="4" t="s">
        <v>5645</v>
      </c>
    </row>
    <row r="2627" spans="1:6">
      <c r="A2627" s="4" t="s">
        <v>5646</v>
      </c>
      <c r="B2627" s="6" t="s">
        <v>5647</v>
      </c>
      <c r="C2627" s="4" t="s">
        <v>53</v>
      </c>
      <c r="D2627" s="4">
        <v>15</v>
      </c>
      <c r="E2627" s="4" t="s">
        <v>219</v>
      </c>
    </row>
    <row r="2628" spans="1:6">
      <c r="A2628" s="4" t="s">
        <v>5648</v>
      </c>
      <c r="B2628" s="6" t="s">
        <v>5649</v>
      </c>
      <c r="C2628" s="4" t="s">
        <v>337</v>
      </c>
      <c r="D2628" s="4">
        <v>8</v>
      </c>
      <c r="E2628" s="4" t="s">
        <v>219</v>
      </c>
    </row>
    <row r="2629" spans="1:6">
      <c r="A2629" s="4" t="s">
        <v>5650</v>
      </c>
      <c r="B2629" s="6" t="s">
        <v>5649</v>
      </c>
      <c r="C2629" s="4" t="s">
        <v>275</v>
      </c>
      <c r="D2629" s="4">
        <v>7</v>
      </c>
      <c r="E2629" s="4" t="s">
        <v>5651</v>
      </c>
      <c r="F2629" s="4" t="s">
        <v>5652</v>
      </c>
    </row>
    <row r="2630" spans="1:6">
      <c r="A2630" s="4" t="s">
        <v>5653</v>
      </c>
      <c r="B2630" s="6" t="s">
        <v>5649</v>
      </c>
      <c r="C2630" s="4" t="s">
        <v>1756</v>
      </c>
      <c r="D2630" s="4">
        <v>4</v>
      </c>
      <c r="E2630" s="4" t="s">
        <v>5654</v>
      </c>
      <c r="F2630" s="4" t="s">
        <v>5655</v>
      </c>
    </row>
    <row r="2631" spans="1:6">
      <c r="A2631" s="4" t="s">
        <v>5656</v>
      </c>
      <c r="B2631" s="6" t="s">
        <v>5649</v>
      </c>
      <c r="C2631" s="4" t="s">
        <v>27</v>
      </c>
      <c r="D2631" s="4">
        <v>7</v>
      </c>
      <c r="E2631" s="4" t="s">
        <v>219</v>
      </c>
      <c r="F2631" s="4" t="s">
        <v>5657</v>
      </c>
    </row>
    <row r="2632" spans="1:6">
      <c r="A2632" s="4" t="s">
        <v>5658</v>
      </c>
      <c r="B2632" s="6" t="s">
        <v>5649</v>
      </c>
      <c r="C2632" s="4" t="s">
        <v>19</v>
      </c>
      <c r="D2632" s="4">
        <v>7</v>
      </c>
      <c r="E2632" s="4" t="s">
        <v>219</v>
      </c>
      <c r="F2632" s="4" t="s">
        <v>5657</v>
      </c>
    </row>
    <row r="2633" spans="1:6">
      <c r="A2633" s="4" t="s">
        <v>5659</v>
      </c>
      <c r="B2633" s="6" t="s">
        <v>5649</v>
      </c>
      <c r="C2633" s="4" t="s">
        <v>1756</v>
      </c>
      <c r="D2633" s="4">
        <v>9</v>
      </c>
      <c r="E2633" s="4" t="s">
        <v>5660</v>
      </c>
      <c r="F2633" s="4" t="s">
        <v>5661</v>
      </c>
    </row>
    <row r="2634" spans="1:6">
      <c r="A2634" s="4" t="s">
        <v>5662</v>
      </c>
      <c r="B2634" s="6" t="s">
        <v>5663</v>
      </c>
      <c r="C2634" s="4" t="s">
        <v>81</v>
      </c>
      <c r="D2634" s="4">
        <v>8</v>
      </c>
      <c r="E2634" s="4" t="s">
        <v>211</v>
      </c>
    </row>
    <row r="2635" spans="1:6">
      <c r="A2635" s="4" t="s">
        <v>5664</v>
      </c>
      <c r="B2635" s="6" t="s">
        <v>5665</v>
      </c>
      <c r="C2635" s="4" t="s">
        <v>1248</v>
      </c>
      <c r="D2635" s="4">
        <v>5</v>
      </c>
      <c r="E2635" s="4" t="s">
        <v>5644</v>
      </c>
      <c r="F2635" s="4" t="s">
        <v>4558</v>
      </c>
    </row>
    <row r="2636" spans="1:6">
      <c r="A2636" s="4" t="s">
        <v>5666</v>
      </c>
      <c r="B2636" s="6" t="s">
        <v>5665</v>
      </c>
      <c r="C2636" s="4" t="s">
        <v>403</v>
      </c>
      <c r="D2636" s="4">
        <v>15</v>
      </c>
      <c r="E2636" s="4" t="s">
        <v>219</v>
      </c>
    </row>
    <row r="2637" spans="1:6">
      <c r="A2637" s="4" t="s">
        <v>5667</v>
      </c>
      <c r="B2637" s="6" t="s">
        <v>5665</v>
      </c>
      <c r="C2637" s="4" t="s">
        <v>49</v>
      </c>
      <c r="D2637" s="4">
        <v>8</v>
      </c>
      <c r="E2637" s="4" t="s">
        <v>219</v>
      </c>
    </row>
    <row r="2638" spans="1:6">
      <c r="A2638" s="4" t="s">
        <v>5668</v>
      </c>
      <c r="B2638" s="6" t="s">
        <v>5669</v>
      </c>
      <c r="C2638" s="4" t="s">
        <v>195</v>
      </c>
      <c r="D2638" s="4">
        <v>12</v>
      </c>
      <c r="E2638" s="4" t="s">
        <v>219</v>
      </c>
      <c r="F2638" s="4" t="s">
        <v>5670</v>
      </c>
    </row>
    <row r="2639" spans="1:6">
      <c r="A2639" s="4" t="s">
        <v>5671</v>
      </c>
      <c r="B2639" s="6" t="s">
        <v>5669</v>
      </c>
      <c r="C2639" s="4" t="s">
        <v>53</v>
      </c>
      <c r="D2639" s="4">
        <v>11</v>
      </c>
      <c r="E2639" s="4" t="s">
        <v>655</v>
      </c>
    </row>
    <row r="2640" spans="1:6">
      <c r="A2640" s="4" t="s">
        <v>5672</v>
      </c>
      <c r="B2640" s="6" t="s">
        <v>5673</v>
      </c>
      <c r="C2640" s="4" t="s">
        <v>963</v>
      </c>
      <c r="D2640" s="4">
        <v>4</v>
      </c>
      <c r="E2640" s="4" t="s">
        <v>428</v>
      </c>
      <c r="F2640" s="4" t="s">
        <v>5674</v>
      </c>
    </row>
    <row r="2641" spans="1:6">
      <c r="A2641" s="4" t="s">
        <v>5675</v>
      </c>
      <c r="B2641" s="6" t="s">
        <v>5676</v>
      </c>
      <c r="C2641" s="4" t="s">
        <v>5677</v>
      </c>
      <c r="D2641" s="4">
        <v>14</v>
      </c>
      <c r="E2641" s="4" t="s">
        <v>5678</v>
      </c>
    </row>
    <row r="2642" spans="1:6">
      <c r="A2642" s="4" t="s">
        <v>5679</v>
      </c>
      <c r="B2642" s="6" t="s">
        <v>5676</v>
      </c>
      <c r="C2642" s="4" t="s">
        <v>254</v>
      </c>
      <c r="D2642" s="4">
        <v>6</v>
      </c>
      <c r="E2642" s="4" t="s">
        <v>435</v>
      </c>
    </row>
    <row r="2643" spans="1:6">
      <c r="A2643" s="4" t="s">
        <v>5680</v>
      </c>
      <c r="B2643" s="6" t="s">
        <v>5681</v>
      </c>
      <c r="C2643" s="4" t="s">
        <v>301</v>
      </c>
      <c r="D2643" s="4">
        <v>10</v>
      </c>
      <c r="E2643" s="4" t="s">
        <v>3919</v>
      </c>
      <c r="F2643" s="4" t="s">
        <v>5682</v>
      </c>
    </row>
    <row r="2644" spans="1:6">
      <c r="A2644" s="4" t="s">
        <v>5683</v>
      </c>
      <c r="B2644" s="6" t="s">
        <v>5681</v>
      </c>
      <c r="C2644" s="4" t="s">
        <v>63</v>
      </c>
      <c r="D2644" s="4">
        <v>12</v>
      </c>
      <c r="E2644" s="4" t="s">
        <v>3919</v>
      </c>
    </row>
    <row r="2645" spans="1:6">
      <c r="A2645" s="4" t="s">
        <v>5684</v>
      </c>
      <c r="B2645" s="6" t="s">
        <v>5681</v>
      </c>
      <c r="C2645" s="4" t="s">
        <v>271</v>
      </c>
      <c r="D2645" s="4">
        <v>4</v>
      </c>
      <c r="E2645" s="4" t="s">
        <v>5685</v>
      </c>
      <c r="F2645" s="4" t="s">
        <v>5686</v>
      </c>
    </row>
    <row r="2646" spans="1:6">
      <c r="A2646" s="4" t="s">
        <v>5687</v>
      </c>
      <c r="B2646" s="6" t="s">
        <v>5681</v>
      </c>
      <c r="C2646" s="4" t="s">
        <v>3563</v>
      </c>
      <c r="D2646" s="4">
        <v>8</v>
      </c>
      <c r="E2646" s="4" t="s">
        <v>3919</v>
      </c>
    </row>
    <row r="2647" spans="1:6">
      <c r="A2647" s="4" t="s">
        <v>5688</v>
      </c>
      <c r="B2647" s="6" t="s">
        <v>5681</v>
      </c>
      <c r="C2647" s="4" t="s">
        <v>23</v>
      </c>
      <c r="D2647" s="4">
        <v>7</v>
      </c>
      <c r="E2647" s="4" t="s">
        <v>5689</v>
      </c>
    </row>
    <row r="2648" spans="1:6">
      <c r="A2648" s="4" t="s">
        <v>5690</v>
      </c>
      <c r="B2648" s="6" t="s">
        <v>5691</v>
      </c>
      <c r="C2648" s="4" t="s">
        <v>1211</v>
      </c>
      <c r="D2648" s="4">
        <v>10</v>
      </c>
      <c r="E2648" s="4" t="s">
        <v>3919</v>
      </c>
      <c r="F2648" s="4" t="s">
        <v>5692</v>
      </c>
    </row>
    <row r="2649" spans="1:6">
      <c r="A2649" s="4" t="s">
        <v>5693</v>
      </c>
      <c r="B2649" s="6" t="s">
        <v>5691</v>
      </c>
      <c r="C2649" s="4" t="s">
        <v>121</v>
      </c>
      <c r="D2649" s="4">
        <v>16</v>
      </c>
      <c r="E2649" s="4" t="s">
        <v>3919</v>
      </c>
      <c r="F2649" s="4" t="s">
        <v>5694</v>
      </c>
    </row>
    <row r="2650" spans="1:6">
      <c r="A2650" s="4" t="s">
        <v>5695</v>
      </c>
      <c r="B2650" s="6" t="s">
        <v>5696</v>
      </c>
      <c r="C2650" s="4" t="s">
        <v>34</v>
      </c>
      <c r="D2650" s="4">
        <v>5</v>
      </c>
      <c r="E2650" s="4" t="s">
        <v>5697</v>
      </c>
      <c r="F2650" s="4" t="s">
        <v>5698</v>
      </c>
    </row>
    <row r="2651" spans="1:6">
      <c r="A2651" s="4" t="s">
        <v>5699</v>
      </c>
      <c r="B2651" s="6" t="s">
        <v>5696</v>
      </c>
      <c r="C2651" s="4" t="s">
        <v>464</v>
      </c>
      <c r="D2651" s="4">
        <v>5</v>
      </c>
      <c r="E2651" s="4" t="s">
        <v>5700</v>
      </c>
    </row>
    <row r="2652" spans="1:6">
      <c r="A2652" s="4" t="s">
        <v>5701</v>
      </c>
      <c r="B2652" s="6" t="s">
        <v>5696</v>
      </c>
      <c r="C2652" s="4" t="s">
        <v>81</v>
      </c>
      <c r="D2652" s="4">
        <v>8</v>
      </c>
      <c r="E2652" s="4" t="s">
        <v>5700</v>
      </c>
    </row>
    <row r="2653" spans="1:6">
      <c r="A2653" s="4" t="s">
        <v>5702</v>
      </c>
      <c r="B2653" s="6" t="s">
        <v>5696</v>
      </c>
      <c r="C2653" s="4" t="s">
        <v>34</v>
      </c>
      <c r="D2653" s="4">
        <v>8</v>
      </c>
      <c r="E2653" s="4" t="s">
        <v>5697</v>
      </c>
      <c r="F2653" s="4" t="s">
        <v>5698</v>
      </c>
    </row>
    <row r="2654" spans="1:6">
      <c r="A2654" s="4" t="s">
        <v>5703</v>
      </c>
      <c r="B2654" s="6" t="s">
        <v>5696</v>
      </c>
      <c r="C2654" s="4" t="s">
        <v>1136</v>
      </c>
      <c r="D2654" s="4">
        <v>17</v>
      </c>
      <c r="E2654" s="4" t="s">
        <v>5700</v>
      </c>
      <c r="F2654" s="4" t="s">
        <v>5704</v>
      </c>
    </row>
    <row r="2655" spans="1:6">
      <c r="A2655" s="4" t="s">
        <v>5705</v>
      </c>
      <c r="B2655" s="6" t="s">
        <v>5696</v>
      </c>
      <c r="C2655" s="4" t="s">
        <v>351</v>
      </c>
      <c r="D2655" s="4">
        <v>8</v>
      </c>
      <c r="E2655" s="4" t="s">
        <v>5700</v>
      </c>
    </row>
    <row r="2656" spans="1:6">
      <c r="A2656" s="4" t="s">
        <v>5706</v>
      </c>
      <c r="B2656" s="6" t="s">
        <v>5707</v>
      </c>
      <c r="C2656" s="4" t="s">
        <v>27</v>
      </c>
      <c r="D2656" s="4">
        <v>15</v>
      </c>
      <c r="E2656" s="4" t="s">
        <v>3919</v>
      </c>
      <c r="F2656" s="4" t="s">
        <v>5708</v>
      </c>
    </row>
    <row r="2657" spans="1:6">
      <c r="A2657" s="4" t="s">
        <v>5709</v>
      </c>
      <c r="B2657" s="6" t="s">
        <v>5707</v>
      </c>
      <c r="C2657" s="4" t="s">
        <v>53</v>
      </c>
      <c r="D2657" s="4">
        <v>8</v>
      </c>
      <c r="E2657" s="4" t="s">
        <v>5685</v>
      </c>
    </row>
    <row r="2658" spans="1:6">
      <c r="A2658" s="4" t="s">
        <v>5710</v>
      </c>
      <c r="B2658" s="6" t="s">
        <v>5707</v>
      </c>
      <c r="C2658" s="4" t="s">
        <v>87</v>
      </c>
      <c r="D2658" s="4">
        <v>7</v>
      </c>
      <c r="E2658" s="4" t="s">
        <v>3919</v>
      </c>
    </row>
    <row r="2659" spans="1:6">
      <c r="A2659" s="4" t="s">
        <v>5711</v>
      </c>
      <c r="B2659" s="6" t="s">
        <v>5712</v>
      </c>
      <c r="C2659" s="4" t="s">
        <v>34</v>
      </c>
      <c r="D2659" s="4">
        <v>7</v>
      </c>
      <c r="E2659" s="4" t="s">
        <v>291</v>
      </c>
    </row>
    <row r="2660" spans="1:6">
      <c r="A2660" s="4" t="s">
        <v>5713</v>
      </c>
      <c r="B2660" s="6" t="s">
        <v>5714</v>
      </c>
      <c r="C2660" s="4" t="s">
        <v>23</v>
      </c>
      <c r="D2660" s="4">
        <v>9</v>
      </c>
      <c r="E2660" s="4" t="s">
        <v>5715</v>
      </c>
      <c r="F2660" s="4" t="s">
        <v>3579</v>
      </c>
    </row>
    <row r="2661" spans="1:6">
      <c r="A2661" s="4" t="s">
        <v>5716</v>
      </c>
      <c r="B2661" s="6" t="s">
        <v>5717</v>
      </c>
      <c r="C2661" s="4" t="s">
        <v>1211</v>
      </c>
      <c r="D2661" s="4">
        <v>17</v>
      </c>
      <c r="E2661" s="4" t="s">
        <v>3919</v>
      </c>
      <c r="F2661" s="4" t="s">
        <v>5718</v>
      </c>
    </row>
    <row r="2662" spans="1:6">
      <c r="A2662" s="4" t="s">
        <v>5719</v>
      </c>
      <c r="B2662" s="6" t="s">
        <v>5720</v>
      </c>
      <c r="C2662" s="4" t="s">
        <v>81</v>
      </c>
      <c r="D2662" s="4">
        <v>15</v>
      </c>
      <c r="E2662" s="4" t="s">
        <v>3919</v>
      </c>
      <c r="F2662" s="4" t="s">
        <v>5721</v>
      </c>
    </row>
    <row r="2663" spans="1:6">
      <c r="A2663" s="4" t="s">
        <v>5722</v>
      </c>
      <c r="B2663" s="6" t="s">
        <v>5720</v>
      </c>
      <c r="C2663" s="4" t="s">
        <v>81</v>
      </c>
      <c r="D2663" s="4">
        <v>8</v>
      </c>
      <c r="E2663" s="4" t="s">
        <v>3919</v>
      </c>
    </row>
    <row r="2664" spans="1:6">
      <c r="A2664" s="4" t="s">
        <v>5723</v>
      </c>
      <c r="B2664" s="6" t="s">
        <v>5724</v>
      </c>
      <c r="C2664" s="4" t="s">
        <v>34</v>
      </c>
      <c r="D2664" s="4">
        <v>7</v>
      </c>
      <c r="E2664" s="4" t="s">
        <v>5725</v>
      </c>
    </row>
    <row r="2665" spans="1:6">
      <c r="A2665" s="4" t="s">
        <v>5726</v>
      </c>
      <c r="B2665" s="6" t="s">
        <v>5727</v>
      </c>
      <c r="C2665" s="4" t="s">
        <v>271</v>
      </c>
      <c r="D2665" s="4">
        <v>10</v>
      </c>
      <c r="E2665" s="4" t="s">
        <v>346</v>
      </c>
    </row>
    <row r="2666" spans="1:6">
      <c r="A2666" s="4" t="s">
        <v>5728</v>
      </c>
      <c r="B2666" s="6" t="s">
        <v>5729</v>
      </c>
      <c r="C2666" s="4" t="s">
        <v>254</v>
      </c>
      <c r="D2666" s="4">
        <v>4</v>
      </c>
      <c r="E2666" s="4" t="s">
        <v>5730</v>
      </c>
      <c r="F2666" s="4" t="s">
        <v>5731</v>
      </c>
    </row>
    <row r="2667" spans="1:6">
      <c r="A2667" s="4" t="s">
        <v>5732</v>
      </c>
      <c r="B2667" s="6" t="s">
        <v>5729</v>
      </c>
      <c r="C2667" s="4" t="s">
        <v>254</v>
      </c>
      <c r="D2667" s="4">
        <v>7</v>
      </c>
      <c r="E2667" s="4" t="s">
        <v>5730</v>
      </c>
      <c r="F2667" s="4" t="s">
        <v>5731</v>
      </c>
    </row>
    <row r="2668" spans="1:6">
      <c r="A2668" s="4" t="s">
        <v>5733</v>
      </c>
      <c r="B2668" s="6" t="s">
        <v>5734</v>
      </c>
      <c r="C2668" s="4" t="s">
        <v>34</v>
      </c>
      <c r="D2668" s="4">
        <v>7</v>
      </c>
      <c r="E2668" s="4" t="s">
        <v>5735</v>
      </c>
    </row>
    <row r="2669" spans="1:6">
      <c r="A2669" s="4" t="s">
        <v>5736</v>
      </c>
      <c r="B2669" s="6" t="s">
        <v>5737</v>
      </c>
      <c r="C2669" s="4" t="s">
        <v>485</v>
      </c>
      <c r="D2669" s="4">
        <v>9</v>
      </c>
      <c r="E2669" s="4" t="s">
        <v>5735</v>
      </c>
    </row>
    <row r="2670" spans="1:6">
      <c r="A2670" s="4" t="s">
        <v>5738</v>
      </c>
      <c r="B2670" s="6" t="s">
        <v>5739</v>
      </c>
      <c r="C2670" s="4" t="s">
        <v>354</v>
      </c>
      <c r="D2670" s="4">
        <v>9</v>
      </c>
      <c r="E2670" s="4" t="s">
        <v>291</v>
      </c>
    </row>
    <row r="2671" spans="1:6">
      <c r="A2671" s="4" t="s">
        <v>5740</v>
      </c>
      <c r="B2671" s="6" t="s">
        <v>5739</v>
      </c>
      <c r="C2671" s="4" t="s">
        <v>41</v>
      </c>
      <c r="D2671" s="4">
        <v>12</v>
      </c>
      <c r="E2671" s="4" t="s">
        <v>291</v>
      </c>
      <c r="F2671" s="4" t="s">
        <v>5741</v>
      </c>
    </row>
    <row r="2672" spans="1:6">
      <c r="A2672" s="4" t="s">
        <v>5742</v>
      </c>
      <c r="B2672" s="6" t="s">
        <v>5739</v>
      </c>
      <c r="C2672" s="4" t="s">
        <v>76</v>
      </c>
      <c r="D2672" s="4">
        <v>17</v>
      </c>
      <c r="E2672" s="4" t="s">
        <v>291</v>
      </c>
    </row>
    <row r="2673" spans="1:6">
      <c r="A2673" s="4" t="s">
        <v>5743</v>
      </c>
      <c r="B2673" s="6" t="s">
        <v>5739</v>
      </c>
      <c r="C2673" s="4" t="s">
        <v>41</v>
      </c>
      <c r="D2673" s="4">
        <v>15</v>
      </c>
      <c r="E2673" s="4" t="s">
        <v>291</v>
      </c>
      <c r="F2673" s="4" t="s">
        <v>5741</v>
      </c>
    </row>
    <row r="2674" spans="1:6">
      <c r="A2674" s="4" t="s">
        <v>5744</v>
      </c>
      <c r="B2674" s="6" t="s">
        <v>5745</v>
      </c>
      <c r="C2674" s="4" t="s">
        <v>23</v>
      </c>
      <c r="D2674" s="4">
        <v>7</v>
      </c>
      <c r="E2674" s="4" t="s">
        <v>5746</v>
      </c>
      <c r="F2674" s="4" t="s">
        <v>362</v>
      </c>
    </row>
    <row r="2675" spans="1:6">
      <c r="A2675" s="4" t="s">
        <v>5747</v>
      </c>
      <c r="B2675" s="6" t="s">
        <v>5745</v>
      </c>
      <c r="C2675" s="4" t="s">
        <v>23</v>
      </c>
      <c r="D2675" s="4">
        <v>16</v>
      </c>
      <c r="E2675" s="4" t="s">
        <v>5748</v>
      </c>
    </row>
    <row r="2676" spans="1:6">
      <c r="A2676" s="4" t="s">
        <v>4704</v>
      </c>
      <c r="B2676" s="6" t="s">
        <v>5749</v>
      </c>
      <c r="C2676" s="4" t="s">
        <v>4704</v>
      </c>
      <c r="D2676" s="4">
        <v>8</v>
      </c>
      <c r="E2676" s="4" t="s">
        <v>391</v>
      </c>
    </row>
    <row r="2677" spans="1:6">
      <c r="A2677" s="4" t="s">
        <v>5750</v>
      </c>
      <c r="B2677" s="6" t="s">
        <v>5749</v>
      </c>
      <c r="C2677" s="4" t="s">
        <v>5750</v>
      </c>
      <c r="D2677" s="4">
        <v>9</v>
      </c>
      <c r="E2677" s="4" t="s">
        <v>391</v>
      </c>
      <c r="F2677" s="4" t="s">
        <v>5751</v>
      </c>
    </row>
    <row r="2678" spans="1:6">
      <c r="A2678" s="4" t="s">
        <v>5752</v>
      </c>
      <c r="B2678" s="6" t="s">
        <v>5749</v>
      </c>
      <c r="C2678" s="4" t="s">
        <v>14</v>
      </c>
      <c r="D2678" s="4">
        <v>6</v>
      </c>
      <c r="E2678" s="4" t="s">
        <v>391</v>
      </c>
      <c r="F2678" s="4" t="s">
        <v>5753</v>
      </c>
    </row>
    <row r="2679" spans="1:6">
      <c r="A2679" s="4" t="s">
        <v>5754</v>
      </c>
      <c r="B2679" s="6" t="s">
        <v>5749</v>
      </c>
      <c r="C2679" s="4" t="s">
        <v>538</v>
      </c>
      <c r="D2679" s="4">
        <v>12</v>
      </c>
      <c r="E2679" s="4" t="s">
        <v>391</v>
      </c>
      <c r="F2679" s="4" t="s">
        <v>5755</v>
      </c>
    </row>
    <row r="2680" spans="1:6">
      <c r="A2680" s="4" t="s">
        <v>5756</v>
      </c>
      <c r="B2680" s="6" t="s">
        <v>5749</v>
      </c>
      <c r="C2680" s="4" t="s">
        <v>34</v>
      </c>
      <c r="D2680" s="4">
        <v>8</v>
      </c>
      <c r="E2680" s="4" t="s">
        <v>391</v>
      </c>
      <c r="F2680" s="4" t="s">
        <v>5757</v>
      </c>
    </row>
    <row r="2681" spans="1:6">
      <c r="A2681" s="4" t="s">
        <v>5758</v>
      </c>
      <c r="B2681" s="6" t="s">
        <v>5749</v>
      </c>
      <c r="C2681" s="4" t="s">
        <v>301</v>
      </c>
      <c r="D2681" s="4">
        <v>14</v>
      </c>
      <c r="E2681" s="4" t="s">
        <v>391</v>
      </c>
    </row>
    <row r="2682" spans="1:6">
      <c r="A2682" s="4" t="s">
        <v>5759</v>
      </c>
      <c r="B2682" s="6" t="s">
        <v>5749</v>
      </c>
      <c r="C2682" s="4" t="s">
        <v>448</v>
      </c>
      <c r="D2682" s="4">
        <v>5</v>
      </c>
      <c r="E2682" s="4" t="s">
        <v>391</v>
      </c>
    </row>
    <row r="2683" spans="1:6">
      <c r="A2683" s="4" t="s">
        <v>5760</v>
      </c>
      <c r="B2683" s="6" t="s">
        <v>5761</v>
      </c>
      <c r="C2683" s="4" t="s">
        <v>1679</v>
      </c>
      <c r="D2683" s="4">
        <v>18</v>
      </c>
      <c r="E2683" s="4" t="s">
        <v>5762</v>
      </c>
      <c r="F2683" s="4" t="s">
        <v>5763</v>
      </c>
    </row>
    <row r="2684" spans="1:6">
      <c r="A2684" s="4" t="s">
        <v>5764</v>
      </c>
      <c r="B2684" s="6" t="s">
        <v>5761</v>
      </c>
      <c r="C2684" s="4" t="s">
        <v>49</v>
      </c>
      <c r="D2684" s="4">
        <v>18</v>
      </c>
      <c r="E2684" s="4" t="s">
        <v>219</v>
      </c>
    </row>
    <row r="2685" spans="1:6">
      <c r="A2685" s="4" t="s">
        <v>5765</v>
      </c>
      <c r="B2685" s="6" t="s">
        <v>5761</v>
      </c>
      <c r="C2685" s="4" t="s">
        <v>420</v>
      </c>
      <c r="D2685" s="4">
        <v>12</v>
      </c>
      <c r="E2685" s="4" t="s">
        <v>4461</v>
      </c>
    </row>
    <row r="2686" spans="1:6">
      <c r="A2686" s="4" t="s">
        <v>5766</v>
      </c>
      <c r="B2686" s="6" t="s">
        <v>5761</v>
      </c>
      <c r="C2686" s="4" t="s">
        <v>238</v>
      </c>
      <c r="D2686" s="4">
        <v>15</v>
      </c>
      <c r="E2686" s="4" t="s">
        <v>5660</v>
      </c>
      <c r="F2686" s="4" t="s">
        <v>1391</v>
      </c>
    </row>
    <row r="2687" spans="1:6">
      <c r="A2687" s="4" t="s">
        <v>5767</v>
      </c>
      <c r="B2687" s="6" t="s">
        <v>5761</v>
      </c>
      <c r="C2687" s="4" t="s">
        <v>1679</v>
      </c>
      <c r="D2687" s="4">
        <v>15</v>
      </c>
      <c r="E2687" s="4" t="s">
        <v>514</v>
      </c>
    </row>
    <row r="2688" spans="1:6">
      <c r="A2688" s="4" t="s">
        <v>5768</v>
      </c>
      <c r="B2688" s="6" t="s">
        <v>5769</v>
      </c>
      <c r="C2688" s="4" t="s">
        <v>87</v>
      </c>
      <c r="D2688" s="4">
        <v>14</v>
      </c>
      <c r="E2688" s="4" t="s">
        <v>312</v>
      </c>
      <c r="F2688" s="4" t="s">
        <v>5770</v>
      </c>
    </row>
    <row r="2689" spans="1:6">
      <c r="A2689" s="4" t="s">
        <v>5771</v>
      </c>
      <c r="B2689" s="6" t="s">
        <v>5769</v>
      </c>
      <c r="C2689" s="4" t="s">
        <v>81</v>
      </c>
      <c r="D2689" s="4">
        <v>14</v>
      </c>
      <c r="E2689" s="4" t="s">
        <v>312</v>
      </c>
    </row>
    <row r="2690" spans="1:6">
      <c r="A2690" s="4" t="s">
        <v>5772</v>
      </c>
      <c r="B2690" s="6" t="s">
        <v>5769</v>
      </c>
      <c r="C2690" s="4" t="s">
        <v>271</v>
      </c>
      <c r="D2690" s="4">
        <v>13</v>
      </c>
      <c r="E2690" s="4" t="s">
        <v>312</v>
      </c>
    </row>
    <row r="2691" spans="1:6">
      <c r="A2691" s="4" t="s">
        <v>5773</v>
      </c>
      <c r="B2691" s="6" t="s">
        <v>5769</v>
      </c>
      <c r="C2691" s="4" t="s">
        <v>14</v>
      </c>
      <c r="D2691" s="4">
        <v>14</v>
      </c>
      <c r="E2691" s="4" t="s">
        <v>312</v>
      </c>
    </row>
    <row r="2692" spans="1:6">
      <c r="A2692" s="4" t="s">
        <v>5774</v>
      </c>
      <c r="B2692" s="6" t="s">
        <v>5775</v>
      </c>
      <c r="C2692" s="4" t="s">
        <v>87</v>
      </c>
      <c r="D2692" s="4">
        <v>6</v>
      </c>
      <c r="E2692" s="4" t="s">
        <v>219</v>
      </c>
    </row>
    <row r="2693" spans="1:6">
      <c r="A2693" s="4" t="s">
        <v>5776</v>
      </c>
      <c r="B2693" s="6" t="s">
        <v>5775</v>
      </c>
      <c r="C2693" s="4" t="s">
        <v>87</v>
      </c>
      <c r="D2693" s="4">
        <v>7</v>
      </c>
      <c r="E2693" s="4" t="s">
        <v>219</v>
      </c>
    </row>
    <row r="2694" spans="1:6">
      <c r="A2694" s="4" t="s">
        <v>5777</v>
      </c>
      <c r="B2694" s="6" t="s">
        <v>5775</v>
      </c>
      <c r="C2694" s="4" t="s">
        <v>87</v>
      </c>
      <c r="D2694" s="4">
        <v>5</v>
      </c>
      <c r="E2694" s="4" t="s">
        <v>219</v>
      </c>
    </row>
    <row r="2695" spans="1:6">
      <c r="A2695" s="4" t="s">
        <v>337</v>
      </c>
      <c r="B2695" s="6" t="s">
        <v>5778</v>
      </c>
      <c r="C2695" s="4" t="s">
        <v>337</v>
      </c>
      <c r="D2695" s="4">
        <v>4</v>
      </c>
      <c r="E2695" s="4" t="s">
        <v>514</v>
      </c>
      <c r="F2695" s="4" t="s">
        <v>2972</v>
      </c>
    </row>
    <row r="2696" spans="1:6">
      <c r="A2696" s="4" t="s">
        <v>5779</v>
      </c>
      <c r="B2696" s="6" t="s">
        <v>5778</v>
      </c>
      <c r="C2696" s="4" t="s">
        <v>453</v>
      </c>
      <c r="D2696" s="4">
        <v>11</v>
      </c>
      <c r="E2696" s="4" t="s">
        <v>219</v>
      </c>
    </row>
    <row r="2697" spans="1:6">
      <c r="A2697" s="4" t="s">
        <v>5780</v>
      </c>
      <c r="B2697" s="6" t="s">
        <v>5778</v>
      </c>
      <c r="C2697" s="4" t="s">
        <v>538</v>
      </c>
      <c r="D2697" s="4">
        <v>10</v>
      </c>
      <c r="E2697" s="4" t="s">
        <v>1064</v>
      </c>
      <c r="F2697" s="4" t="s">
        <v>5781</v>
      </c>
    </row>
    <row r="2698" spans="1:6">
      <c r="A2698" s="4" t="s">
        <v>5782</v>
      </c>
      <c r="B2698" s="6" t="s">
        <v>5778</v>
      </c>
      <c r="C2698" s="4" t="s">
        <v>296</v>
      </c>
      <c r="D2698" s="4">
        <v>16</v>
      </c>
      <c r="E2698" s="4" t="s">
        <v>5783</v>
      </c>
    </row>
    <row r="2699" spans="1:6">
      <c r="A2699" s="4" t="s">
        <v>5784</v>
      </c>
      <c r="B2699" s="6" t="s">
        <v>5778</v>
      </c>
      <c r="C2699" s="4" t="s">
        <v>296</v>
      </c>
      <c r="D2699" s="4">
        <v>16</v>
      </c>
      <c r="E2699" s="4" t="s">
        <v>5783</v>
      </c>
    </row>
    <row r="2700" spans="1:6">
      <c r="A2700" s="4" t="s">
        <v>5785</v>
      </c>
      <c r="B2700" s="6" t="s">
        <v>5786</v>
      </c>
      <c r="C2700" s="4" t="s">
        <v>53</v>
      </c>
      <c r="D2700" s="4">
        <v>15</v>
      </c>
      <c r="E2700" s="4" t="s">
        <v>312</v>
      </c>
    </row>
    <row r="2701" spans="1:6">
      <c r="A2701" s="4" t="s">
        <v>5787</v>
      </c>
      <c r="B2701" s="6" t="s">
        <v>5788</v>
      </c>
      <c r="C2701" s="4" t="s">
        <v>461</v>
      </c>
      <c r="D2701" s="4">
        <v>11</v>
      </c>
      <c r="E2701" s="4" t="s">
        <v>312</v>
      </c>
    </row>
    <row r="2702" spans="1:6">
      <c r="A2702" s="4" t="s">
        <v>5789</v>
      </c>
      <c r="B2702" s="6" t="s">
        <v>5790</v>
      </c>
      <c r="C2702" s="4" t="s">
        <v>686</v>
      </c>
      <c r="D2702" s="4">
        <v>13</v>
      </c>
      <c r="E2702" s="4" t="s">
        <v>5644</v>
      </c>
      <c r="F2702" s="4" t="s">
        <v>3068</v>
      </c>
    </row>
    <row r="2703" spans="1:6">
      <c r="A2703" s="4" t="s">
        <v>5791</v>
      </c>
      <c r="B2703" s="6" t="s">
        <v>5790</v>
      </c>
      <c r="C2703" s="4" t="s">
        <v>49</v>
      </c>
      <c r="D2703" s="4">
        <v>15</v>
      </c>
      <c r="E2703" s="4" t="s">
        <v>224</v>
      </c>
      <c r="F2703" s="4" t="s">
        <v>4610</v>
      </c>
    </row>
    <row r="2704" spans="1:6">
      <c r="A2704" s="4" t="s">
        <v>5792</v>
      </c>
      <c r="B2704" s="6" t="s">
        <v>5793</v>
      </c>
      <c r="C2704" s="4" t="s">
        <v>110</v>
      </c>
      <c r="D2704" s="4">
        <v>14</v>
      </c>
      <c r="E2704" s="4" t="s">
        <v>435</v>
      </c>
    </row>
    <row r="2705" spans="1:6">
      <c r="A2705" s="4" t="s">
        <v>963</v>
      </c>
      <c r="B2705" s="6" t="s">
        <v>5793</v>
      </c>
      <c r="C2705" s="4" t="s">
        <v>963</v>
      </c>
      <c r="D2705" s="4">
        <v>1</v>
      </c>
      <c r="E2705" s="4" t="s">
        <v>5794</v>
      </c>
    </row>
    <row r="2706" spans="1:6">
      <c r="A2706" s="4" t="s">
        <v>5795</v>
      </c>
      <c r="B2706" s="6" t="s">
        <v>5796</v>
      </c>
      <c r="C2706" s="4" t="s">
        <v>14</v>
      </c>
      <c r="D2706" s="4">
        <v>10</v>
      </c>
      <c r="E2706" s="4" t="s">
        <v>498</v>
      </c>
    </row>
    <row r="2707" spans="1:6">
      <c r="A2707" s="4" t="s">
        <v>5797</v>
      </c>
      <c r="B2707" s="6" t="s">
        <v>5798</v>
      </c>
      <c r="C2707" s="4" t="s">
        <v>453</v>
      </c>
      <c r="D2707" s="4">
        <v>12</v>
      </c>
      <c r="E2707" s="4" t="s">
        <v>391</v>
      </c>
      <c r="F2707" s="4" t="s">
        <v>5799</v>
      </c>
    </row>
    <row r="2708" spans="1:6">
      <c r="A2708" s="4" t="s">
        <v>5800</v>
      </c>
      <c r="B2708" s="6" t="s">
        <v>5801</v>
      </c>
      <c r="C2708" s="4" t="s">
        <v>87</v>
      </c>
      <c r="D2708" s="4">
        <v>8</v>
      </c>
      <c r="E2708" s="4" t="s">
        <v>5700</v>
      </c>
      <c r="F2708" s="4" t="s">
        <v>1812</v>
      </c>
    </row>
    <row r="2709" spans="1:6">
      <c r="A2709" s="4" t="s">
        <v>5802</v>
      </c>
      <c r="B2709" s="6" t="s">
        <v>5803</v>
      </c>
      <c r="C2709" s="4" t="s">
        <v>76</v>
      </c>
      <c r="D2709" s="4">
        <v>18</v>
      </c>
      <c r="E2709" s="4" t="s">
        <v>578</v>
      </c>
      <c r="F2709" s="4" t="s">
        <v>5804</v>
      </c>
    </row>
    <row r="2710" spans="1:6">
      <c r="A2710" s="4" t="s">
        <v>5805</v>
      </c>
      <c r="B2710" s="6" t="s">
        <v>5806</v>
      </c>
      <c r="C2710" s="4" t="s">
        <v>354</v>
      </c>
      <c r="D2710" s="4">
        <v>8</v>
      </c>
      <c r="E2710" s="4" t="s">
        <v>391</v>
      </c>
      <c r="F2710" s="4" t="s">
        <v>5807</v>
      </c>
    </row>
    <row r="2711" spans="1:6">
      <c r="A2711" s="4" t="s">
        <v>5808</v>
      </c>
      <c r="B2711" s="6" t="s">
        <v>5809</v>
      </c>
      <c r="C2711" s="4" t="s">
        <v>226</v>
      </c>
      <c r="D2711" s="4">
        <v>12</v>
      </c>
      <c r="E2711" s="4" t="s">
        <v>391</v>
      </c>
    </row>
    <row r="2712" spans="1:6">
      <c r="A2712" s="4" t="s">
        <v>5810</v>
      </c>
      <c r="B2712" s="6" t="s">
        <v>5809</v>
      </c>
      <c r="C2712" s="4" t="s">
        <v>53</v>
      </c>
      <c r="D2712" s="4">
        <v>15</v>
      </c>
      <c r="E2712" s="4" t="s">
        <v>391</v>
      </c>
    </row>
    <row r="2713" spans="1:6">
      <c r="A2713" s="4" t="s">
        <v>5811</v>
      </c>
      <c r="B2713" s="6" t="s">
        <v>5809</v>
      </c>
      <c r="C2713" s="4" t="s">
        <v>1679</v>
      </c>
      <c r="D2713" s="4">
        <v>14</v>
      </c>
      <c r="E2713" s="4" t="s">
        <v>391</v>
      </c>
    </row>
    <row r="2714" spans="1:6">
      <c r="A2714" s="4" t="s">
        <v>5812</v>
      </c>
      <c r="B2714" s="6" t="s">
        <v>5809</v>
      </c>
      <c r="C2714" s="4" t="s">
        <v>2818</v>
      </c>
      <c r="D2714" s="4">
        <v>10</v>
      </c>
      <c r="E2714" s="4" t="s">
        <v>391</v>
      </c>
    </row>
    <row r="2715" spans="1:6">
      <c r="A2715" s="4" t="s">
        <v>5813</v>
      </c>
      <c r="B2715" s="6" t="s">
        <v>5809</v>
      </c>
      <c r="C2715" s="4" t="s">
        <v>37</v>
      </c>
      <c r="D2715" s="4">
        <v>15</v>
      </c>
      <c r="E2715" s="4" t="s">
        <v>391</v>
      </c>
      <c r="F2715" s="4" t="s">
        <v>306</v>
      </c>
    </row>
    <row r="2716" spans="1:6">
      <c r="A2716" s="4" t="s">
        <v>5814</v>
      </c>
      <c r="B2716" s="6" t="s">
        <v>5815</v>
      </c>
      <c r="C2716" s="4" t="s">
        <v>2085</v>
      </c>
      <c r="D2716" s="4">
        <v>13</v>
      </c>
      <c r="E2716" s="4" t="s">
        <v>5816</v>
      </c>
      <c r="F2716" s="4" t="s">
        <v>5817</v>
      </c>
    </row>
    <row r="2717" spans="1:6">
      <c r="A2717" s="4" t="s">
        <v>5818</v>
      </c>
      <c r="B2717" s="6" t="s">
        <v>5815</v>
      </c>
      <c r="C2717" s="4" t="s">
        <v>5818</v>
      </c>
      <c r="D2717" s="4">
        <v>9</v>
      </c>
      <c r="E2717" s="4" t="s">
        <v>5819</v>
      </c>
      <c r="F2717" s="4" t="s">
        <v>5820</v>
      </c>
    </row>
    <row r="2718" spans="1:6">
      <c r="A2718" s="4" t="s">
        <v>5821</v>
      </c>
      <c r="B2718" s="6" t="s">
        <v>5815</v>
      </c>
      <c r="C2718" s="4" t="s">
        <v>1180</v>
      </c>
      <c r="D2718" s="4">
        <v>9</v>
      </c>
      <c r="E2718" s="4" t="s">
        <v>5822</v>
      </c>
    </row>
    <row r="2719" spans="1:6">
      <c r="A2719" s="4" t="s">
        <v>5823</v>
      </c>
      <c r="B2719" s="6" t="s">
        <v>5815</v>
      </c>
      <c r="C2719" s="4" t="s">
        <v>285</v>
      </c>
      <c r="D2719" s="4">
        <v>10</v>
      </c>
      <c r="E2719" s="4" t="s">
        <v>235</v>
      </c>
      <c r="F2719" s="4" t="s">
        <v>4189</v>
      </c>
    </row>
    <row r="2720" spans="1:6">
      <c r="A2720" s="4" t="s">
        <v>5824</v>
      </c>
      <c r="B2720" s="6" t="s">
        <v>5815</v>
      </c>
      <c r="C2720" s="4" t="s">
        <v>53</v>
      </c>
      <c r="D2720" s="4">
        <v>13</v>
      </c>
      <c r="E2720" s="4" t="s">
        <v>5819</v>
      </c>
      <c r="F2720" s="4" t="s">
        <v>5825</v>
      </c>
    </row>
    <row r="2721" spans="1:6">
      <c r="A2721" s="4" t="s">
        <v>5826</v>
      </c>
      <c r="B2721" s="6" t="s">
        <v>5815</v>
      </c>
      <c r="C2721" s="4" t="s">
        <v>427</v>
      </c>
      <c r="D2721" s="4">
        <v>13</v>
      </c>
      <c r="E2721" s="4" t="s">
        <v>235</v>
      </c>
      <c r="F2721" s="4" t="s">
        <v>5827</v>
      </c>
    </row>
    <row r="2722" spans="1:6">
      <c r="A2722" s="4" t="s">
        <v>5828</v>
      </c>
      <c r="B2722" s="6" t="s">
        <v>5815</v>
      </c>
      <c r="C2722" s="4" t="s">
        <v>76</v>
      </c>
      <c r="D2722" s="4">
        <v>14</v>
      </c>
      <c r="E2722" s="4" t="s">
        <v>5819</v>
      </c>
    </row>
    <row r="2723" spans="1:6">
      <c r="A2723" s="4" t="s">
        <v>5829</v>
      </c>
      <c r="B2723" s="6" t="s">
        <v>5815</v>
      </c>
      <c r="C2723" s="4" t="s">
        <v>285</v>
      </c>
      <c r="D2723" s="4">
        <v>10</v>
      </c>
      <c r="E2723" s="4" t="s">
        <v>235</v>
      </c>
      <c r="F2723" s="4" t="s">
        <v>4189</v>
      </c>
    </row>
    <row r="2724" spans="1:6">
      <c r="A2724" s="4" t="s">
        <v>5830</v>
      </c>
      <c r="B2724" s="6" t="s">
        <v>5831</v>
      </c>
      <c r="C2724" s="4" t="s">
        <v>1431</v>
      </c>
      <c r="D2724" s="4">
        <v>9</v>
      </c>
      <c r="E2724" s="4" t="s">
        <v>629</v>
      </c>
      <c r="F2724" s="4" t="s">
        <v>5832</v>
      </c>
    </row>
    <row r="2725" spans="1:6">
      <c r="A2725" s="4" t="s">
        <v>5833</v>
      </c>
      <c r="B2725" s="6" t="s">
        <v>5831</v>
      </c>
      <c r="C2725" s="4" t="s">
        <v>254</v>
      </c>
      <c r="D2725" s="4">
        <v>5</v>
      </c>
      <c r="E2725" s="4" t="s">
        <v>629</v>
      </c>
      <c r="F2725" s="4" t="s">
        <v>483</v>
      </c>
    </row>
    <row r="2726" spans="1:6">
      <c r="A2726" s="4" t="s">
        <v>5834</v>
      </c>
      <c r="B2726" s="6" t="s">
        <v>5831</v>
      </c>
      <c r="C2726" s="4" t="s">
        <v>271</v>
      </c>
      <c r="D2726" s="4">
        <v>11</v>
      </c>
      <c r="E2726" s="4" t="s">
        <v>495</v>
      </c>
      <c r="F2726" s="4" t="s">
        <v>1783</v>
      </c>
    </row>
    <row r="2727" spans="1:6">
      <c r="A2727" s="4" t="s">
        <v>5835</v>
      </c>
      <c r="B2727" s="6" t="s">
        <v>5831</v>
      </c>
      <c r="C2727" s="4" t="s">
        <v>254</v>
      </c>
      <c r="D2727" s="4">
        <v>12</v>
      </c>
      <c r="E2727" s="4" t="s">
        <v>629</v>
      </c>
    </row>
    <row r="2728" spans="1:6">
      <c r="A2728" s="4" t="s">
        <v>5836</v>
      </c>
      <c r="B2728" s="6" t="s">
        <v>5831</v>
      </c>
      <c r="C2728" s="4" t="s">
        <v>23</v>
      </c>
      <c r="D2728" s="4">
        <v>8</v>
      </c>
      <c r="E2728" s="4" t="s">
        <v>629</v>
      </c>
    </row>
    <row r="2729" spans="1:6">
      <c r="A2729" s="4" t="s">
        <v>5837</v>
      </c>
      <c r="B2729" s="6" t="s">
        <v>5838</v>
      </c>
      <c r="C2729" s="4" t="s">
        <v>254</v>
      </c>
      <c r="D2729" s="4">
        <v>4</v>
      </c>
      <c r="E2729" s="4" t="s">
        <v>629</v>
      </c>
    </row>
    <row r="2730" spans="1:6">
      <c r="A2730" s="4" t="s">
        <v>5839</v>
      </c>
      <c r="B2730" s="6" t="s">
        <v>5840</v>
      </c>
      <c r="C2730" s="4" t="s">
        <v>1328</v>
      </c>
      <c r="D2730" s="4">
        <v>8</v>
      </c>
      <c r="E2730" s="4" t="s">
        <v>235</v>
      </c>
      <c r="F2730" s="4" t="s">
        <v>5841</v>
      </c>
    </row>
    <row r="2731" spans="1:6">
      <c r="A2731" s="4" t="s">
        <v>5842</v>
      </c>
      <c r="B2731" s="6" t="s">
        <v>5840</v>
      </c>
      <c r="C2731" s="4" t="s">
        <v>34</v>
      </c>
      <c r="D2731" s="4">
        <v>7</v>
      </c>
      <c r="E2731" s="4" t="s">
        <v>235</v>
      </c>
      <c r="F2731" s="4" t="s">
        <v>5843</v>
      </c>
    </row>
    <row r="2732" spans="1:6">
      <c r="A2732" s="4" t="s">
        <v>5844</v>
      </c>
      <c r="B2732" s="6" t="s">
        <v>5845</v>
      </c>
      <c r="C2732" s="4" t="s">
        <v>19</v>
      </c>
      <c r="D2732" s="4">
        <v>7</v>
      </c>
      <c r="E2732" s="4" t="s">
        <v>346</v>
      </c>
      <c r="F2732" s="4" t="s">
        <v>5846</v>
      </c>
    </row>
    <row r="2733" spans="1:6">
      <c r="A2733" s="4" t="s">
        <v>5847</v>
      </c>
      <c r="B2733" s="6" t="s">
        <v>5848</v>
      </c>
      <c r="C2733" s="4" t="s">
        <v>538</v>
      </c>
      <c r="D2733" s="4">
        <v>8</v>
      </c>
      <c r="E2733" s="4" t="s">
        <v>346</v>
      </c>
      <c r="F2733" s="4" t="s">
        <v>5849</v>
      </c>
    </row>
    <row r="2734" spans="1:6">
      <c r="A2734" s="4" t="s">
        <v>5850</v>
      </c>
      <c r="B2734" s="6" t="s">
        <v>5851</v>
      </c>
      <c r="C2734" s="4" t="s">
        <v>37</v>
      </c>
      <c r="D2734" s="4">
        <v>11</v>
      </c>
      <c r="E2734" s="4" t="s">
        <v>235</v>
      </c>
      <c r="F2734" s="4" t="s">
        <v>5852</v>
      </c>
    </row>
    <row r="2735" spans="1:6">
      <c r="A2735" s="4" t="s">
        <v>5853</v>
      </c>
      <c r="B2735" s="6" t="s">
        <v>5851</v>
      </c>
      <c r="C2735" s="4" t="s">
        <v>254</v>
      </c>
      <c r="D2735" s="4">
        <v>10</v>
      </c>
      <c r="E2735" s="4" t="s">
        <v>235</v>
      </c>
      <c r="F2735" s="4" t="s">
        <v>5854</v>
      </c>
    </row>
    <row r="2736" spans="1:6">
      <c r="A2736" s="4" t="s">
        <v>5855</v>
      </c>
      <c r="B2736" s="6" t="s">
        <v>5856</v>
      </c>
      <c r="C2736" s="4" t="s">
        <v>254</v>
      </c>
      <c r="D2736" s="4">
        <v>15</v>
      </c>
      <c r="E2736" s="4" t="s">
        <v>380</v>
      </c>
    </row>
    <row r="2737" spans="1:6">
      <c r="A2737" s="4" t="s">
        <v>5857</v>
      </c>
      <c r="B2737" s="6" t="s">
        <v>5856</v>
      </c>
      <c r="C2737" s="4" t="s">
        <v>1335</v>
      </c>
      <c r="D2737" s="4">
        <v>10</v>
      </c>
      <c r="E2737" s="4" t="s">
        <v>5858</v>
      </c>
    </row>
    <row r="2738" spans="1:6">
      <c r="A2738" s="4" t="s">
        <v>5859</v>
      </c>
      <c r="B2738" s="6" t="s">
        <v>5856</v>
      </c>
      <c r="C2738" s="4" t="s">
        <v>27</v>
      </c>
      <c r="D2738" s="4">
        <v>10</v>
      </c>
      <c r="E2738" s="4" t="s">
        <v>380</v>
      </c>
    </row>
    <row r="2739" spans="1:6">
      <c r="A2739" s="4" t="s">
        <v>5860</v>
      </c>
      <c r="B2739" s="6" t="s">
        <v>5861</v>
      </c>
      <c r="C2739" s="4" t="s">
        <v>1262</v>
      </c>
      <c r="D2739" s="4">
        <v>10</v>
      </c>
      <c r="E2739" s="4" t="s">
        <v>291</v>
      </c>
      <c r="F2739" s="4" t="s">
        <v>5862</v>
      </c>
    </row>
    <row r="2740" spans="1:6">
      <c r="A2740" s="4" t="s">
        <v>5863</v>
      </c>
      <c r="B2740" s="6" t="s">
        <v>5864</v>
      </c>
      <c r="C2740" s="4" t="s">
        <v>301</v>
      </c>
      <c r="D2740" s="4">
        <v>16</v>
      </c>
      <c r="E2740" s="4" t="s">
        <v>219</v>
      </c>
      <c r="F2740" s="4" t="s">
        <v>4610</v>
      </c>
    </row>
    <row r="2741" spans="1:6">
      <c r="A2741" s="4" t="s">
        <v>5865</v>
      </c>
      <c r="B2741" s="6" t="s">
        <v>5866</v>
      </c>
      <c r="C2741" s="4" t="s">
        <v>87</v>
      </c>
      <c r="D2741" s="4">
        <v>10</v>
      </c>
      <c r="E2741" s="4" t="s">
        <v>380</v>
      </c>
      <c r="F2741" s="4" t="s">
        <v>4416</v>
      </c>
    </row>
    <row r="2742" spans="1:6">
      <c r="A2742" s="4" t="s">
        <v>5867</v>
      </c>
      <c r="B2742" s="6" t="s">
        <v>5866</v>
      </c>
      <c r="C2742" s="4" t="s">
        <v>37</v>
      </c>
      <c r="D2742" s="4">
        <v>19</v>
      </c>
      <c r="E2742" s="4" t="s">
        <v>629</v>
      </c>
    </row>
    <row r="2743" spans="1:6">
      <c r="A2743" s="4" t="s">
        <v>5868</v>
      </c>
      <c r="B2743" s="6" t="s">
        <v>5866</v>
      </c>
      <c r="C2743" s="4" t="s">
        <v>104</v>
      </c>
      <c r="D2743" s="4">
        <v>12</v>
      </c>
      <c r="E2743" s="4" t="s">
        <v>629</v>
      </c>
      <c r="F2743" s="4" t="s">
        <v>5869</v>
      </c>
    </row>
    <row r="2744" spans="1:6">
      <c r="A2744" s="4" t="s">
        <v>414</v>
      </c>
      <c r="B2744" s="6" t="s">
        <v>5870</v>
      </c>
      <c r="C2744" s="4" t="s">
        <v>414</v>
      </c>
      <c r="D2744" s="4">
        <v>4</v>
      </c>
    </row>
    <row r="2745" spans="1:6">
      <c r="A2745" s="4" t="s">
        <v>1328</v>
      </c>
      <c r="B2745" s="6" t="s">
        <v>5870</v>
      </c>
      <c r="C2745" s="4" t="s">
        <v>1328</v>
      </c>
      <c r="D2745" s="4">
        <v>4</v>
      </c>
    </row>
    <row r="2746" spans="1:6">
      <c r="A2746" s="4" t="s">
        <v>5871</v>
      </c>
      <c r="B2746" s="6" t="s">
        <v>5872</v>
      </c>
      <c r="C2746" s="4" t="s">
        <v>860</v>
      </c>
      <c r="D2746" s="4">
        <v>15</v>
      </c>
      <c r="E2746" s="4" t="s">
        <v>629</v>
      </c>
    </row>
    <row r="2747" spans="1:6">
      <c r="A2747" s="4" t="s">
        <v>5873</v>
      </c>
      <c r="B2747" s="6" t="s">
        <v>5872</v>
      </c>
      <c r="C2747" s="4" t="s">
        <v>121</v>
      </c>
      <c r="D2747" s="4">
        <v>4</v>
      </c>
      <c r="E2747" s="4" t="s">
        <v>5874</v>
      </c>
      <c r="F2747" s="4" t="s">
        <v>5875</v>
      </c>
    </row>
    <row r="2748" spans="1:6">
      <c r="A2748" s="4" t="s">
        <v>5876</v>
      </c>
      <c r="B2748" s="6" t="s">
        <v>5872</v>
      </c>
      <c r="C2748" s="4" t="s">
        <v>414</v>
      </c>
      <c r="D2748" s="4">
        <v>15</v>
      </c>
      <c r="E2748" s="4" t="s">
        <v>629</v>
      </c>
      <c r="F2748" s="4" t="s">
        <v>5877</v>
      </c>
    </row>
    <row r="2749" spans="1:6">
      <c r="A2749" s="4" t="s">
        <v>5878</v>
      </c>
      <c r="B2749" s="6" t="s">
        <v>5872</v>
      </c>
      <c r="C2749" s="4" t="s">
        <v>4668</v>
      </c>
      <c r="D2749" s="4">
        <v>15</v>
      </c>
      <c r="E2749" s="4" t="s">
        <v>629</v>
      </c>
      <c r="F2749" s="4" t="s">
        <v>3804</v>
      </c>
    </row>
    <row r="2750" spans="1:6">
      <c r="A2750" s="4" t="s">
        <v>5879</v>
      </c>
      <c r="B2750" s="6" t="s">
        <v>5872</v>
      </c>
      <c r="C2750" s="4" t="s">
        <v>708</v>
      </c>
      <c r="D2750" s="4">
        <v>14</v>
      </c>
      <c r="E2750" s="4" t="s">
        <v>629</v>
      </c>
      <c r="F2750" s="4" t="s">
        <v>5880</v>
      </c>
    </row>
    <row r="2751" spans="1:6">
      <c r="A2751" s="4" t="s">
        <v>5881</v>
      </c>
      <c r="B2751" s="6" t="s">
        <v>5872</v>
      </c>
      <c r="C2751" s="4" t="s">
        <v>708</v>
      </c>
      <c r="D2751" s="4">
        <v>7</v>
      </c>
      <c r="E2751" s="4" t="s">
        <v>629</v>
      </c>
    </row>
    <row r="2752" spans="1:6">
      <c r="A2752" s="4" t="s">
        <v>5882</v>
      </c>
      <c r="B2752" s="6" t="s">
        <v>5883</v>
      </c>
      <c r="C2752" s="4" t="s">
        <v>53</v>
      </c>
      <c r="D2752" s="4">
        <v>9</v>
      </c>
      <c r="E2752" s="4" t="s">
        <v>235</v>
      </c>
    </row>
    <row r="2753" spans="1:6">
      <c r="A2753" s="4" t="s">
        <v>5884</v>
      </c>
      <c r="B2753" s="6" t="s">
        <v>5885</v>
      </c>
      <c r="C2753" s="4" t="s">
        <v>453</v>
      </c>
      <c r="D2753" s="4">
        <v>15</v>
      </c>
      <c r="E2753" s="4" t="s">
        <v>629</v>
      </c>
    </row>
    <row r="2754" spans="1:6">
      <c r="A2754" s="4" t="s">
        <v>5886</v>
      </c>
      <c r="B2754" s="6" t="s">
        <v>5885</v>
      </c>
      <c r="C2754" s="4" t="s">
        <v>45</v>
      </c>
      <c r="D2754" s="4">
        <v>12</v>
      </c>
      <c r="E2754" s="4" t="s">
        <v>5887</v>
      </c>
      <c r="F2754" s="4" t="s">
        <v>5888</v>
      </c>
    </row>
    <row r="2755" spans="1:6">
      <c r="A2755" s="4" t="s">
        <v>5889</v>
      </c>
      <c r="B2755" s="6" t="s">
        <v>5885</v>
      </c>
      <c r="C2755" s="4" t="s">
        <v>3484</v>
      </c>
      <c r="D2755" s="4">
        <v>11</v>
      </c>
      <c r="E2755" s="4" t="s">
        <v>5887</v>
      </c>
      <c r="F2755" s="4" t="s">
        <v>5888</v>
      </c>
    </row>
    <row r="2756" spans="1:6">
      <c r="A2756" s="4" t="s">
        <v>5890</v>
      </c>
      <c r="B2756" s="6" t="s">
        <v>5891</v>
      </c>
      <c r="C2756" s="4" t="s">
        <v>461</v>
      </c>
      <c r="D2756" s="4">
        <v>13</v>
      </c>
      <c r="E2756" s="4" t="s">
        <v>495</v>
      </c>
    </row>
    <row r="2757" spans="1:6">
      <c r="A2757" s="4" t="s">
        <v>5892</v>
      </c>
      <c r="B2757" s="6" t="s">
        <v>5891</v>
      </c>
      <c r="C2757" s="4" t="s">
        <v>252</v>
      </c>
      <c r="D2757" s="4">
        <v>18</v>
      </c>
      <c r="E2757" s="4" t="s">
        <v>5893</v>
      </c>
      <c r="F2757" s="4" t="s">
        <v>5894</v>
      </c>
    </row>
    <row r="2758" spans="1:6">
      <c r="A2758" s="4" t="s">
        <v>5895</v>
      </c>
      <c r="B2758" s="6" t="s">
        <v>5891</v>
      </c>
      <c r="C2758" s="4" t="s">
        <v>238</v>
      </c>
      <c r="D2758" s="4">
        <v>12</v>
      </c>
      <c r="E2758" s="4" t="s">
        <v>495</v>
      </c>
      <c r="F2758" s="4" t="s">
        <v>878</v>
      </c>
    </row>
    <row r="2759" spans="1:6">
      <c r="A2759" s="4" t="s">
        <v>5896</v>
      </c>
      <c r="B2759" s="6" t="s">
        <v>5891</v>
      </c>
      <c r="C2759" s="4" t="s">
        <v>427</v>
      </c>
      <c r="D2759" s="4">
        <v>15</v>
      </c>
      <c r="E2759" s="4" t="s">
        <v>495</v>
      </c>
      <c r="F2759" s="4" t="s">
        <v>5897</v>
      </c>
    </row>
    <row r="2760" spans="1:6">
      <c r="A2760" s="4" t="s">
        <v>5898</v>
      </c>
      <c r="B2760" s="6" t="s">
        <v>5899</v>
      </c>
      <c r="C2760" s="4" t="s">
        <v>860</v>
      </c>
      <c r="D2760" s="4">
        <v>13</v>
      </c>
      <c r="E2760" s="4" t="s">
        <v>495</v>
      </c>
      <c r="F2760" s="4" t="s">
        <v>5117</v>
      </c>
    </row>
    <row r="2761" spans="1:6">
      <c r="A2761" s="4" t="s">
        <v>5900</v>
      </c>
      <c r="B2761" s="6" t="s">
        <v>5901</v>
      </c>
      <c r="C2761" s="4" t="s">
        <v>23</v>
      </c>
      <c r="D2761" s="4">
        <v>15</v>
      </c>
      <c r="E2761" s="4" t="s">
        <v>3919</v>
      </c>
      <c r="F2761" s="4" t="s">
        <v>5902</v>
      </c>
    </row>
    <row r="2762" spans="1:6">
      <c r="A2762" s="4" t="s">
        <v>5903</v>
      </c>
      <c r="B2762" s="6" t="s">
        <v>5904</v>
      </c>
      <c r="C2762" s="4" t="s">
        <v>37</v>
      </c>
      <c r="D2762" s="4">
        <v>16</v>
      </c>
      <c r="E2762" s="4" t="s">
        <v>5819</v>
      </c>
    </row>
    <row r="2763" spans="1:6">
      <c r="A2763" s="4" t="s">
        <v>5905</v>
      </c>
      <c r="B2763" s="6" t="s">
        <v>5906</v>
      </c>
      <c r="C2763" s="4" t="s">
        <v>87</v>
      </c>
      <c r="D2763" s="4">
        <v>10</v>
      </c>
      <c r="E2763" s="4" t="s">
        <v>629</v>
      </c>
      <c r="F2763" s="4" t="s">
        <v>5907</v>
      </c>
    </row>
    <row r="2764" spans="1:6">
      <c r="A2764" s="4" t="s">
        <v>5908</v>
      </c>
      <c r="B2764" s="6" t="s">
        <v>5906</v>
      </c>
      <c r="C2764" s="4" t="s">
        <v>403</v>
      </c>
      <c r="D2764" s="4">
        <v>11</v>
      </c>
      <c r="E2764" s="4" t="s">
        <v>629</v>
      </c>
    </row>
    <row r="2765" spans="1:6">
      <c r="A2765" s="4" t="s">
        <v>5909</v>
      </c>
      <c r="B2765" s="6" t="s">
        <v>5906</v>
      </c>
      <c r="C2765" s="4" t="s">
        <v>34</v>
      </c>
      <c r="D2765" s="4">
        <v>7</v>
      </c>
      <c r="E2765" s="4" t="s">
        <v>629</v>
      </c>
    </row>
    <row r="2766" spans="1:6">
      <c r="A2766" s="4" t="s">
        <v>5910</v>
      </c>
      <c r="B2766" s="6" t="s">
        <v>5906</v>
      </c>
      <c r="C2766" s="4" t="s">
        <v>49</v>
      </c>
      <c r="D2766" s="4">
        <v>7</v>
      </c>
      <c r="E2766" s="4" t="s">
        <v>449</v>
      </c>
    </row>
    <row r="2767" spans="1:6">
      <c r="A2767" s="4" t="s">
        <v>5911</v>
      </c>
      <c r="B2767" s="6" t="s">
        <v>5906</v>
      </c>
      <c r="C2767" s="4" t="s">
        <v>53</v>
      </c>
      <c r="D2767" s="4">
        <v>11</v>
      </c>
      <c r="E2767" s="4" t="s">
        <v>629</v>
      </c>
    </row>
    <row r="2768" spans="1:6">
      <c r="A2768" s="4" t="s">
        <v>5912</v>
      </c>
      <c r="B2768" s="6" t="s">
        <v>5906</v>
      </c>
      <c r="C2768" s="4" t="s">
        <v>53</v>
      </c>
      <c r="D2768" s="4">
        <v>14</v>
      </c>
      <c r="E2768" s="4" t="s">
        <v>629</v>
      </c>
    </row>
    <row r="2769" spans="1:6">
      <c r="A2769" s="4" t="s">
        <v>5913</v>
      </c>
      <c r="B2769" s="6" t="s">
        <v>5906</v>
      </c>
      <c r="C2769" s="4" t="s">
        <v>427</v>
      </c>
      <c r="D2769" s="4">
        <v>13</v>
      </c>
      <c r="E2769" s="4" t="s">
        <v>629</v>
      </c>
    </row>
    <row r="2770" spans="1:6">
      <c r="A2770" s="4" t="s">
        <v>5914</v>
      </c>
      <c r="B2770" s="6" t="s">
        <v>5906</v>
      </c>
      <c r="C2770" s="4" t="s">
        <v>254</v>
      </c>
      <c r="D2770" s="4">
        <v>9</v>
      </c>
      <c r="E2770" s="4" t="s">
        <v>629</v>
      </c>
    </row>
    <row r="2771" spans="1:6">
      <c r="A2771" s="4" t="s">
        <v>5915</v>
      </c>
      <c r="B2771" s="6" t="s">
        <v>5916</v>
      </c>
      <c r="C2771" s="4" t="s">
        <v>301</v>
      </c>
      <c r="D2771" s="4">
        <v>16</v>
      </c>
      <c r="E2771" s="4" t="s">
        <v>235</v>
      </c>
      <c r="F2771" s="4" t="s">
        <v>5917</v>
      </c>
    </row>
    <row r="2772" spans="1:6">
      <c r="A2772" s="4" t="s">
        <v>5918</v>
      </c>
      <c r="B2772" s="6" t="s">
        <v>5916</v>
      </c>
      <c r="C2772" s="4" t="s">
        <v>275</v>
      </c>
      <c r="D2772" s="4">
        <v>10</v>
      </c>
      <c r="E2772" s="4" t="s">
        <v>235</v>
      </c>
      <c r="F2772" s="4" t="s">
        <v>3201</v>
      </c>
    </row>
    <row r="2773" spans="1:6">
      <c r="A2773" s="4" t="s">
        <v>5919</v>
      </c>
      <c r="B2773" s="6" t="s">
        <v>5920</v>
      </c>
      <c r="C2773" s="4" t="s">
        <v>23</v>
      </c>
      <c r="D2773" s="4">
        <v>7</v>
      </c>
      <c r="E2773" s="4" t="s">
        <v>391</v>
      </c>
      <c r="F2773" s="4" t="s">
        <v>5921</v>
      </c>
    </row>
    <row r="2774" spans="1:6">
      <c r="A2774" s="4" t="s">
        <v>5922</v>
      </c>
      <c r="B2774" s="6" t="s">
        <v>5920</v>
      </c>
      <c r="C2774" s="4" t="s">
        <v>41</v>
      </c>
      <c r="D2774" s="4">
        <v>8</v>
      </c>
      <c r="E2774" s="4" t="s">
        <v>629</v>
      </c>
    </row>
    <row r="2775" spans="1:6">
      <c r="A2775" s="4" t="s">
        <v>5923</v>
      </c>
      <c r="B2775" s="6" t="s">
        <v>5920</v>
      </c>
      <c r="C2775" s="4" t="s">
        <v>315</v>
      </c>
      <c r="D2775" s="4">
        <v>10</v>
      </c>
      <c r="E2775" s="4" t="s">
        <v>629</v>
      </c>
      <c r="F2775" s="4" t="s">
        <v>1645</v>
      </c>
    </row>
    <row r="2776" spans="1:6">
      <c r="A2776" s="4" t="s">
        <v>5924</v>
      </c>
      <c r="B2776" s="6" t="s">
        <v>5920</v>
      </c>
      <c r="C2776" s="4" t="s">
        <v>1837</v>
      </c>
      <c r="D2776" s="4">
        <v>7</v>
      </c>
      <c r="E2776" s="4" t="s">
        <v>5858</v>
      </c>
    </row>
    <row r="2777" spans="1:6">
      <c r="A2777" s="4" t="s">
        <v>5925</v>
      </c>
      <c r="B2777" s="6" t="s">
        <v>5920</v>
      </c>
      <c r="C2777" s="4" t="s">
        <v>34</v>
      </c>
      <c r="D2777" s="4">
        <v>8</v>
      </c>
      <c r="E2777" s="4" t="s">
        <v>629</v>
      </c>
    </row>
    <row r="2778" spans="1:6">
      <c r="A2778" s="4" t="s">
        <v>5926</v>
      </c>
      <c r="B2778" s="6" t="s">
        <v>5920</v>
      </c>
      <c r="C2778" s="4" t="s">
        <v>53</v>
      </c>
      <c r="D2778" s="4">
        <v>9</v>
      </c>
      <c r="E2778" s="4" t="s">
        <v>629</v>
      </c>
    </row>
    <row r="2779" spans="1:6">
      <c r="A2779" s="4" t="s">
        <v>5927</v>
      </c>
      <c r="B2779" s="6" t="s">
        <v>5920</v>
      </c>
      <c r="C2779" s="4" t="s">
        <v>1136</v>
      </c>
      <c r="D2779" s="4">
        <v>19</v>
      </c>
      <c r="E2779" s="4" t="s">
        <v>5858</v>
      </c>
    </row>
    <row r="2780" spans="1:6">
      <c r="A2780" s="4" t="s">
        <v>5928</v>
      </c>
      <c r="B2780" s="6" t="s">
        <v>5920</v>
      </c>
      <c r="C2780" s="4" t="s">
        <v>354</v>
      </c>
      <c r="D2780" s="4">
        <v>12</v>
      </c>
      <c r="E2780" s="4" t="s">
        <v>629</v>
      </c>
    </row>
    <row r="2781" spans="1:6">
      <c r="A2781" s="4" t="s">
        <v>5929</v>
      </c>
      <c r="B2781" s="6" t="s">
        <v>5920</v>
      </c>
      <c r="C2781" s="4" t="s">
        <v>254</v>
      </c>
      <c r="D2781" s="4">
        <v>10</v>
      </c>
      <c r="E2781" s="4" t="s">
        <v>629</v>
      </c>
    </row>
    <row r="2782" spans="1:6">
      <c r="A2782" s="4" t="s">
        <v>5930</v>
      </c>
      <c r="B2782" s="6" t="s">
        <v>5920</v>
      </c>
      <c r="C2782" s="4" t="s">
        <v>876</v>
      </c>
      <c r="D2782" s="4">
        <v>8</v>
      </c>
      <c r="E2782" s="4" t="s">
        <v>629</v>
      </c>
      <c r="F2782" s="4" t="s">
        <v>5931</v>
      </c>
    </row>
    <row r="2783" spans="1:6">
      <c r="A2783" s="4" t="s">
        <v>5932</v>
      </c>
      <c r="B2783" s="6" t="s">
        <v>5920</v>
      </c>
      <c r="C2783" s="4" t="s">
        <v>34</v>
      </c>
      <c r="D2783" s="4">
        <v>15</v>
      </c>
      <c r="E2783" s="4" t="s">
        <v>5933</v>
      </c>
      <c r="F2783" s="4" t="s">
        <v>5934</v>
      </c>
    </row>
    <row r="2784" spans="1:6">
      <c r="A2784" s="4" t="s">
        <v>2511</v>
      </c>
      <c r="B2784" s="6" t="s">
        <v>5935</v>
      </c>
      <c r="C2784" s="4" t="s">
        <v>2511</v>
      </c>
      <c r="D2784" s="4">
        <v>4</v>
      </c>
      <c r="E2784" s="4" t="s">
        <v>5936</v>
      </c>
      <c r="F2784" s="4" t="s">
        <v>5937</v>
      </c>
    </row>
    <row r="2785" spans="1:6">
      <c r="A2785" s="4" t="s">
        <v>5938</v>
      </c>
      <c r="B2785" s="6" t="s">
        <v>5935</v>
      </c>
      <c r="C2785" s="4" t="s">
        <v>453</v>
      </c>
      <c r="D2785" s="4">
        <v>9</v>
      </c>
      <c r="E2785" s="4" t="s">
        <v>629</v>
      </c>
      <c r="F2785" s="4" t="s">
        <v>5939</v>
      </c>
    </row>
    <row r="2786" spans="1:6">
      <c r="A2786" s="4" t="s">
        <v>5940</v>
      </c>
      <c r="B2786" s="6" t="s">
        <v>5935</v>
      </c>
      <c r="C2786" s="4" t="s">
        <v>19</v>
      </c>
      <c r="D2786" s="4">
        <v>8</v>
      </c>
      <c r="E2786" s="4" t="s">
        <v>629</v>
      </c>
      <c r="F2786" s="4" t="s">
        <v>483</v>
      </c>
    </row>
    <row r="2787" spans="1:6">
      <c r="A2787" s="4" t="s">
        <v>5941</v>
      </c>
      <c r="B2787" s="6" t="s">
        <v>5935</v>
      </c>
      <c r="C2787" s="4" t="s">
        <v>14</v>
      </c>
      <c r="D2787" s="4">
        <v>11</v>
      </c>
      <c r="E2787" s="4" t="s">
        <v>629</v>
      </c>
    </row>
    <row r="2788" spans="1:6">
      <c r="A2788" s="4" t="s">
        <v>5942</v>
      </c>
      <c r="B2788" s="6" t="s">
        <v>5935</v>
      </c>
      <c r="C2788" s="4" t="s">
        <v>27</v>
      </c>
      <c r="D2788" s="4">
        <v>11</v>
      </c>
      <c r="E2788" s="4" t="s">
        <v>629</v>
      </c>
    </row>
    <row r="2789" spans="1:6">
      <c r="A2789" s="4" t="s">
        <v>5943</v>
      </c>
      <c r="B2789" s="6" t="s">
        <v>5935</v>
      </c>
      <c r="C2789" s="4" t="s">
        <v>574</v>
      </c>
      <c r="D2789" s="4">
        <v>14</v>
      </c>
      <c r="E2789" s="4" t="s">
        <v>5858</v>
      </c>
    </row>
    <row r="2790" spans="1:6">
      <c r="A2790" s="4" t="s">
        <v>19</v>
      </c>
      <c r="B2790" s="6" t="s">
        <v>5935</v>
      </c>
      <c r="C2790" s="4" t="s">
        <v>19</v>
      </c>
      <c r="D2790" s="4">
        <v>8</v>
      </c>
      <c r="E2790" s="4" t="s">
        <v>629</v>
      </c>
    </row>
    <row r="2791" spans="1:6">
      <c r="A2791" s="4" t="s">
        <v>5944</v>
      </c>
      <c r="B2791" s="6" t="s">
        <v>5935</v>
      </c>
      <c r="C2791" s="4" t="s">
        <v>27</v>
      </c>
      <c r="D2791" s="4">
        <v>8</v>
      </c>
      <c r="E2791" s="4" t="s">
        <v>629</v>
      </c>
    </row>
    <row r="2792" spans="1:6">
      <c r="A2792" s="4" t="s">
        <v>5945</v>
      </c>
      <c r="B2792" s="6" t="s">
        <v>5946</v>
      </c>
      <c r="C2792" s="4" t="s">
        <v>354</v>
      </c>
      <c r="D2792" s="4">
        <v>8</v>
      </c>
      <c r="E2792" s="4" t="s">
        <v>495</v>
      </c>
    </row>
    <row r="2793" spans="1:6">
      <c r="A2793" s="4" t="s">
        <v>5947</v>
      </c>
      <c r="B2793" s="6" t="s">
        <v>5946</v>
      </c>
      <c r="C2793" s="4" t="s">
        <v>254</v>
      </c>
      <c r="D2793" s="4">
        <v>6</v>
      </c>
      <c r="E2793" s="4" t="s">
        <v>495</v>
      </c>
      <c r="F2793" s="4" t="s">
        <v>5948</v>
      </c>
    </row>
    <row r="2794" spans="1:6">
      <c r="A2794" s="4" t="s">
        <v>5949</v>
      </c>
      <c r="B2794" s="6" t="s">
        <v>5946</v>
      </c>
      <c r="C2794" s="4" t="s">
        <v>351</v>
      </c>
      <c r="D2794" s="4">
        <v>12</v>
      </c>
      <c r="E2794" s="4" t="s">
        <v>495</v>
      </c>
    </row>
    <row r="2795" spans="1:6">
      <c r="A2795" s="4" t="s">
        <v>5950</v>
      </c>
      <c r="B2795" s="6" t="s">
        <v>5951</v>
      </c>
      <c r="C2795" s="4" t="s">
        <v>121</v>
      </c>
      <c r="D2795" s="4">
        <v>8</v>
      </c>
      <c r="E2795" s="4" t="s">
        <v>5816</v>
      </c>
      <c r="F2795" s="4" t="s">
        <v>5952</v>
      </c>
    </row>
    <row r="2796" spans="1:6">
      <c r="A2796" s="4" t="s">
        <v>5953</v>
      </c>
      <c r="B2796" s="6" t="s">
        <v>5951</v>
      </c>
      <c r="C2796" s="4" t="s">
        <v>132</v>
      </c>
      <c r="D2796" s="4">
        <v>14</v>
      </c>
      <c r="E2796" s="4" t="s">
        <v>235</v>
      </c>
      <c r="F2796" s="4" t="s">
        <v>5954</v>
      </c>
    </row>
    <row r="2797" spans="1:6">
      <c r="A2797" s="4" t="s">
        <v>5955</v>
      </c>
      <c r="B2797" s="6" t="s">
        <v>5956</v>
      </c>
      <c r="C2797" s="4" t="s">
        <v>354</v>
      </c>
      <c r="D2797" s="4">
        <v>8</v>
      </c>
      <c r="E2797" s="4" t="s">
        <v>346</v>
      </c>
    </row>
    <row r="2798" spans="1:6">
      <c r="A2798" s="4" t="s">
        <v>5957</v>
      </c>
      <c r="B2798" s="6" t="s">
        <v>5956</v>
      </c>
      <c r="C2798" s="4" t="s">
        <v>49</v>
      </c>
      <c r="D2798" s="4">
        <v>7</v>
      </c>
      <c r="E2798" s="4" t="s">
        <v>235</v>
      </c>
      <c r="F2798" s="4" t="s">
        <v>5958</v>
      </c>
    </row>
    <row r="2799" spans="1:6">
      <c r="A2799" s="4" t="s">
        <v>5959</v>
      </c>
      <c r="B2799" s="6" t="s">
        <v>5956</v>
      </c>
      <c r="C2799" s="4" t="s">
        <v>14</v>
      </c>
      <c r="D2799" s="4">
        <v>7</v>
      </c>
      <c r="E2799" s="4" t="s">
        <v>346</v>
      </c>
      <c r="F2799" s="4" t="s">
        <v>5960</v>
      </c>
    </row>
    <row r="2800" spans="1:6">
      <c r="A2800" s="4" t="s">
        <v>296</v>
      </c>
      <c r="B2800" s="6" t="s">
        <v>5956</v>
      </c>
      <c r="C2800" s="4" t="s">
        <v>296</v>
      </c>
      <c r="D2800" s="4">
        <v>4</v>
      </c>
      <c r="E2800" s="4" t="s">
        <v>235</v>
      </c>
      <c r="F2800" s="4" t="s">
        <v>2972</v>
      </c>
    </row>
    <row r="2801" spans="1:6">
      <c r="A2801" s="4" t="s">
        <v>5961</v>
      </c>
      <c r="B2801" s="6" t="s">
        <v>5956</v>
      </c>
      <c r="C2801" s="4" t="s">
        <v>53</v>
      </c>
      <c r="D2801" s="4">
        <v>8</v>
      </c>
      <c r="E2801" s="4" t="s">
        <v>235</v>
      </c>
    </row>
    <row r="2802" spans="1:6">
      <c r="A2802" s="4" t="s">
        <v>2818</v>
      </c>
      <c r="B2802" s="6" t="s">
        <v>5956</v>
      </c>
      <c r="C2802" s="4" t="s">
        <v>2818</v>
      </c>
      <c r="D2802" s="4">
        <v>2</v>
      </c>
    </row>
    <row r="2803" spans="1:6">
      <c r="A2803" s="4" t="s">
        <v>5962</v>
      </c>
      <c r="B2803" s="6" t="s">
        <v>5963</v>
      </c>
      <c r="C2803" s="4" t="s">
        <v>27</v>
      </c>
      <c r="D2803" s="4">
        <v>7</v>
      </c>
      <c r="E2803" s="4" t="s">
        <v>428</v>
      </c>
    </row>
    <row r="2804" spans="1:6">
      <c r="A2804" s="4" t="s">
        <v>5964</v>
      </c>
      <c r="B2804" s="6" t="s">
        <v>5965</v>
      </c>
      <c r="C2804" s="4" t="s">
        <v>301</v>
      </c>
      <c r="D2804" s="4">
        <v>10</v>
      </c>
      <c r="E2804" s="4" t="s">
        <v>428</v>
      </c>
      <c r="F2804" s="4" t="s">
        <v>5966</v>
      </c>
    </row>
    <row r="2805" spans="1:6">
      <c r="A2805" s="4" t="s">
        <v>5967</v>
      </c>
      <c r="B2805" s="6" t="s">
        <v>5968</v>
      </c>
      <c r="C2805" s="4" t="s">
        <v>301</v>
      </c>
      <c r="D2805" s="4">
        <v>16</v>
      </c>
      <c r="E2805" s="4" t="s">
        <v>687</v>
      </c>
      <c r="F2805" s="4" t="s">
        <v>5969</v>
      </c>
    </row>
    <row r="2806" spans="1:6">
      <c r="A2806" s="4" t="s">
        <v>5970</v>
      </c>
      <c r="B2806" s="6" t="s">
        <v>5971</v>
      </c>
      <c r="C2806" s="4" t="s">
        <v>223</v>
      </c>
      <c r="D2806" s="4">
        <v>14</v>
      </c>
      <c r="E2806" s="4" t="s">
        <v>495</v>
      </c>
    </row>
    <row r="2807" spans="1:6">
      <c r="A2807" s="4" t="s">
        <v>5972</v>
      </c>
      <c r="B2807" s="6" t="s">
        <v>5971</v>
      </c>
      <c r="C2807" s="4" t="s">
        <v>34</v>
      </c>
      <c r="D2807" s="4">
        <v>12</v>
      </c>
      <c r="E2807" s="4" t="s">
        <v>5973</v>
      </c>
    </row>
    <row r="2808" spans="1:6">
      <c r="A2808" s="4" t="s">
        <v>5974</v>
      </c>
      <c r="B2808" s="6" t="s">
        <v>5975</v>
      </c>
      <c r="C2808" s="4" t="s">
        <v>2961</v>
      </c>
      <c r="D2808" s="4">
        <v>18</v>
      </c>
      <c r="E2808" s="4" t="s">
        <v>5973</v>
      </c>
    </row>
    <row r="2809" spans="1:6">
      <c r="A2809" s="4" t="s">
        <v>1078</v>
      </c>
      <c r="B2809" s="6" t="s">
        <v>5976</v>
      </c>
      <c r="C2809" s="4" t="s">
        <v>1078</v>
      </c>
      <c r="D2809" s="4">
        <v>4</v>
      </c>
      <c r="E2809" s="4" t="s">
        <v>721</v>
      </c>
    </row>
    <row r="2810" spans="1:6">
      <c r="A2810" s="4" t="s">
        <v>5977</v>
      </c>
      <c r="B2810" s="6" t="s">
        <v>5976</v>
      </c>
      <c r="C2810" s="4" t="s">
        <v>53</v>
      </c>
      <c r="D2810" s="4">
        <v>10</v>
      </c>
      <c r="E2810" s="4" t="s">
        <v>1307</v>
      </c>
    </row>
    <row r="2811" spans="1:6">
      <c r="A2811" s="4" t="s">
        <v>548</v>
      </c>
      <c r="B2811" s="6" t="s">
        <v>5976</v>
      </c>
      <c r="C2811" s="4" t="s">
        <v>548</v>
      </c>
      <c r="D2811" s="4">
        <v>6</v>
      </c>
      <c r="E2811" s="4" t="s">
        <v>2604</v>
      </c>
      <c r="F2811" s="4" t="s">
        <v>5978</v>
      </c>
    </row>
    <row r="2812" spans="1:6">
      <c r="A2812" s="4" t="s">
        <v>5979</v>
      </c>
      <c r="B2812" s="6" t="s">
        <v>5976</v>
      </c>
      <c r="C2812" s="4" t="s">
        <v>23</v>
      </c>
      <c r="D2812" s="4">
        <v>9</v>
      </c>
      <c r="E2812" s="4" t="s">
        <v>2519</v>
      </c>
    </row>
    <row r="2813" spans="1:6">
      <c r="A2813" s="4" t="s">
        <v>5980</v>
      </c>
      <c r="B2813" s="6" t="s">
        <v>5976</v>
      </c>
      <c r="C2813" s="4" t="s">
        <v>27</v>
      </c>
      <c r="D2813" s="4">
        <v>12</v>
      </c>
      <c r="E2813" s="4" t="s">
        <v>721</v>
      </c>
      <c r="F2813" s="4" t="s">
        <v>5981</v>
      </c>
    </row>
    <row r="2814" spans="1:6">
      <c r="A2814" s="4" t="s">
        <v>5982</v>
      </c>
      <c r="B2814" s="6" t="s">
        <v>5983</v>
      </c>
      <c r="C2814" s="4" t="s">
        <v>963</v>
      </c>
      <c r="D2814" s="4">
        <v>8</v>
      </c>
      <c r="E2814" s="4" t="s">
        <v>805</v>
      </c>
    </row>
    <row r="2815" spans="1:6">
      <c r="A2815" s="4" t="s">
        <v>5984</v>
      </c>
      <c r="B2815" s="6" t="s">
        <v>5985</v>
      </c>
      <c r="C2815" s="4" t="s">
        <v>2568</v>
      </c>
      <c r="D2815" s="4">
        <v>18</v>
      </c>
      <c r="E2815" s="4" t="s">
        <v>731</v>
      </c>
      <c r="F2815" s="4" t="s">
        <v>1036</v>
      </c>
    </row>
    <row r="2816" spans="1:6">
      <c r="A2816" s="4" t="s">
        <v>5986</v>
      </c>
      <c r="B2816" s="6" t="s">
        <v>5985</v>
      </c>
      <c r="C2816" s="4" t="s">
        <v>110</v>
      </c>
      <c r="D2816" s="4">
        <v>14</v>
      </c>
      <c r="E2816" s="4" t="s">
        <v>731</v>
      </c>
      <c r="F2816" s="4" t="s">
        <v>3419</v>
      </c>
    </row>
    <row r="2817" spans="1:6">
      <c r="A2817" s="4" t="s">
        <v>5987</v>
      </c>
      <c r="B2817" s="6" t="s">
        <v>5985</v>
      </c>
      <c r="C2817" s="4" t="s">
        <v>45</v>
      </c>
      <c r="D2817" s="4">
        <v>8</v>
      </c>
      <c r="E2817" s="4" t="s">
        <v>731</v>
      </c>
    </row>
    <row r="2818" spans="1:6">
      <c r="A2818" s="4" t="s">
        <v>5988</v>
      </c>
      <c r="B2818" s="6" t="s">
        <v>5985</v>
      </c>
      <c r="C2818" s="4" t="s">
        <v>53</v>
      </c>
      <c r="D2818" s="4">
        <v>12</v>
      </c>
      <c r="E2818" s="4" t="s">
        <v>731</v>
      </c>
      <c r="F2818" s="4" t="s">
        <v>1529</v>
      </c>
    </row>
    <row r="2819" spans="1:6">
      <c r="A2819" s="4" t="s">
        <v>5989</v>
      </c>
      <c r="B2819" s="6" t="s">
        <v>5990</v>
      </c>
      <c r="C2819" s="4" t="s">
        <v>3484</v>
      </c>
      <c r="D2819" s="4">
        <v>9</v>
      </c>
      <c r="E2819" s="4" t="s">
        <v>731</v>
      </c>
      <c r="F2819" s="4" t="s">
        <v>5991</v>
      </c>
    </row>
    <row r="2820" spans="1:6">
      <c r="A2820" s="4" t="s">
        <v>5992</v>
      </c>
      <c r="B2820" s="6" t="s">
        <v>5993</v>
      </c>
      <c r="C2820" s="4" t="s">
        <v>976</v>
      </c>
      <c r="D2820" s="4">
        <v>6</v>
      </c>
      <c r="E2820" s="4" t="s">
        <v>752</v>
      </c>
      <c r="F2820" s="4" t="s">
        <v>5994</v>
      </c>
    </row>
    <row r="2821" spans="1:6">
      <c r="A2821" s="4" t="s">
        <v>5995</v>
      </c>
      <c r="B2821" s="6" t="s">
        <v>5993</v>
      </c>
      <c r="C2821" s="4" t="s">
        <v>87</v>
      </c>
      <c r="D2821" s="4">
        <v>9</v>
      </c>
      <c r="E2821" s="4" t="s">
        <v>752</v>
      </c>
    </row>
    <row r="2822" spans="1:6">
      <c r="A2822" s="4" t="s">
        <v>5996</v>
      </c>
      <c r="B2822" s="6" t="s">
        <v>5993</v>
      </c>
      <c r="C2822" s="4" t="s">
        <v>104</v>
      </c>
      <c r="D2822" s="4">
        <v>9</v>
      </c>
      <c r="E2822" s="4" t="s">
        <v>752</v>
      </c>
    </row>
    <row r="2823" spans="1:6">
      <c r="A2823" s="4" t="s">
        <v>5997</v>
      </c>
      <c r="B2823" s="6" t="s">
        <v>5998</v>
      </c>
      <c r="C2823" s="4" t="s">
        <v>275</v>
      </c>
      <c r="D2823" s="4">
        <v>12</v>
      </c>
      <c r="E2823" s="4" t="s">
        <v>721</v>
      </c>
      <c r="F2823" s="4" t="s">
        <v>5999</v>
      </c>
    </row>
    <row r="2824" spans="1:6">
      <c r="A2824" s="4" t="s">
        <v>6000</v>
      </c>
      <c r="B2824" s="6" t="s">
        <v>6001</v>
      </c>
      <c r="C2824" s="4" t="s">
        <v>179</v>
      </c>
      <c r="D2824" s="4">
        <v>11</v>
      </c>
      <c r="E2824" s="4" t="s">
        <v>789</v>
      </c>
      <c r="F2824" s="4" t="s">
        <v>3686</v>
      </c>
    </row>
    <row r="2825" spans="1:6">
      <c r="A2825" s="4" t="s">
        <v>6002</v>
      </c>
      <c r="B2825" s="6" t="s">
        <v>6001</v>
      </c>
      <c r="C2825" s="4" t="s">
        <v>53</v>
      </c>
      <c r="D2825" s="4">
        <v>15</v>
      </c>
      <c r="E2825" s="4" t="s">
        <v>789</v>
      </c>
    </row>
    <row r="2826" spans="1:6">
      <c r="A2826" s="4" t="s">
        <v>6003</v>
      </c>
      <c r="B2826" s="6" t="s">
        <v>6001</v>
      </c>
      <c r="C2826" s="4" t="s">
        <v>53</v>
      </c>
      <c r="D2826" s="4">
        <v>12</v>
      </c>
      <c r="E2826" s="4" t="s">
        <v>789</v>
      </c>
    </row>
    <row r="2827" spans="1:6">
      <c r="A2827" s="4" t="s">
        <v>6004</v>
      </c>
      <c r="B2827" s="6" t="s">
        <v>6005</v>
      </c>
      <c r="C2827" s="4" t="s">
        <v>81</v>
      </c>
      <c r="D2827" s="4">
        <v>8</v>
      </c>
      <c r="E2827" s="4" t="s">
        <v>1352</v>
      </c>
      <c r="F2827" s="4" t="s">
        <v>6006</v>
      </c>
    </row>
    <row r="2828" spans="1:6">
      <c r="A2828" s="4" t="s">
        <v>6007</v>
      </c>
      <c r="B2828" s="6" t="s">
        <v>6005</v>
      </c>
      <c r="C2828" s="4" t="s">
        <v>551</v>
      </c>
      <c r="D2828" s="4">
        <v>8</v>
      </c>
      <c r="E2828" s="4" t="s">
        <v>721</v>
      </c>
      <c r="F2828" s="4" t="s">
        <v>6008</v>
      </c>
    </row>
    <row r="2829" spans="1:6">
      <c r="A2829" s="4" t="s">
        <v>6009</v>
      </c>
      <c r="B2829" s="6" t="s">
        <v>6005</v>
      </c>
      <c r="C2829" s="4" t="s">
        <v>81</v>
      </c>
      <c r="D2829" s="4">
        <v>9</v>
      </c>
      <c r="E2829" s="4" t="s">
        <v>1352</v>
      </c>
      <c r="F2829" s="4" t="s">
        <v>6006</v>
      </c>
    </row>
    <row r="2830" spans="1:6">
      <c r="A2830" s="4" t="s">
        <v>6010</v>
      </c>
      <c r="B2830" s="6" t="s">
        <v>6005</v>
      </c>
      <c r="C2830" s="4" t="s">
        <v>121</v>
      </c>
      <c r="D2830" s="4">
        <v>4</v>
      </c>
      <c r="E2830" s="4" t="s">
        <v>805</v>
      </c>
    </row>
    <row r="2831" spans="1:6">
      <c r="A2831" s="4" t="s">
        <v>6011</v>
      </c>
      <c r="B2831" s="6" t="s">
        <v>6012</v>
      </c>
      <c r="C2831" s="4" t="s">
        <v>453</v>
      </c>
      <c r="D2831" s="4">
        <v>11</v>
      </c>
      <c r="E2831" s="4" t="s">
        <v>731</v>
      </c>
      <c r="F2831" s="4" t="s">
        <v>6013</v>
      </c>
    </row>
    <row r="2832" spans="1:6">
      <c r="A2832" s="4" t="s">
        <v>6014</v>
      </c>
      <c r="B2832" s="6" t="s">
        <v>6012</v>
      </c>
      <c r="C2832" s="4" t="s">
        <v>195</v>
      </c>
      <c r="D2832" s="4">
        <v>16</v>
      </c>
      <c r="E2832" s="4" t="s">
        <v>731</v>
      </c>
      <c r="F2832" s="4" t="s">
        <v>6015</v>
      </c>
    </row>
    <row r="2833" spans="1:6">
      <c r="A2833" s="4" t="s">
        <v>6016</v>
      </c>
      <c r="B2833" s="6" t="s">
        <v>6012</v>
      </c>
      <c r="C2833" s="4" t="s">
        <v>81</v>
      </c>
      <c r="D2833" s="4">
        <v>14</v>
      </c>
      <c r="E2833" s="4" t="s">
        <v>731</v>
      </c>
      <c r="F2833" s="4" t="s">
        <v>6017</v>
      </c>
    </row>
    <row r="2834" spans="1:6">
      <c r="A2834" s="4" t="s">
        <v>6018</v>
      </c>
      <c r="B2834" s="6" t="s">
        <v>6012</v>
      </c>
      <c r="C2834" s="4" t="s">
        <v>785</v>
      </c>
      <c r="D2834" s="4">
        <v>5</v>
      </c>
      <c r="E2834" s="4" t="s">
        <v>731</v>
      </c>
    </row>
    <row r="2835" spans="1:6">
      <c r="A2835" s="4" t="s">
        <v>6019</v>
      </c>
      <c r="B2835" s="6" t="s">
        <v>6012</v>
      </c>
      <c r="C2835" s="4" t="s">
        <v>6020</v>
      </c>
      <c r="D2835" s="4">
        <v>16</v>
      </c>
      <c r="E2835" s="4" t="s">
        <v>731</v>
      </c>
      <c r="F2835" s="4" t="s">
        <v>6015</v>
      </c>
    </row>
    <row r="2836" spans="1:6">
      <c r="A2836" s="4" t="s">
        <v>6021</v>
      </c>
      <c r="B2836" s="6" t="s">
        <v>6022</v>
      </c>
      <c r="C2836" s="4" t="s">
        <v>785</v>
      </c>
      <c r="D2836" s="4">
        <v>7</v>
      </c>
      <c r="E2836" s="4" t="s">
        <v>1064</v>
      </c>
      <c r="F2836" s="4" t="s">
        <v>6023</v>
      </c>
    </row>
    <row r="2837" spans="1:6">
      <c r="A2837" s="4" t="s">
        <v>6024</v>
      </c>
      <c r="B2837" s="6" t="s">
        <v>6025</v>
      </c>
      <c r="C2837" s="4" t="s">
        <v>34</v>
      </c>
      <c r="D2837" s="4">
        <v>9</v>
      </c>
      <c r="E2837" s="4" t="s">
        <v>825</v>
      </c>
      <c r="F2837" s="4" t="s">
        <v>6026</v>
      </c>
    </row>
    <row r="2838" spans="1:6">
      <c r="A2838" s="4" t="s">
        <v>6027</v>
      </c>
      <c r="B2838" s="6" t="s">
        <v>6028</v>
      </c>
      <c r="C2838" s="4" t="s">
        <v>49</v>
      </c>
      <c r="D2838" s="4">
        <v>11</v>
      </c>
      <c r="E2838" s="4" t="s">
        <v>721</v>
      </c>
    </row>
    <row r="2839" spans="1:6">
      <c r="A2839" s="4" t="s">
        <v>6029</v>
      </c>
      <c r="B2839" s="6" t="s">
        <v>6028</v>
      </c>
      <c r="C2839" s="4" t="s">
        <v>53</v>
      </c>
      <c r="D2839" s="4">
        <v>8</v>
      </c>
      <c r="E2839" s="4" t="s">
        <v>721</v>
      </c>
      <c r="F2839" s="4" t="s">
        <v>6030</v>
      </c>
    </row>
    <row r="2840" spans="1:6">
      <c r="A2840" s="4" t="s">
        <v>6031</v>
      </c>
      <c r="B2840" s="6" t="s">
        <v>6028</v>
      </c>
      <c r="C2840" s="4" t="s">
        <v>45</v>
      </c>
      <c r="D2840" s="4">
        <v>14</v>
      </c>
      <c r="E2840" s="4" t="s">
        <v>721</v>
      </c>
      <c r="F2840" s="4" t="s">
        <v>6032</v>
      </c>
    </row>
    <row r="2841" spans="1:6">
      <c r="A2841" s="4" t="s">
        <v>6033</v>
      </c>
      <c r="B2841" s="6" t="s">
        <v>6034</v>
      </c>
      <c r="C2841" s="4" t="s">
        <v>34</v>
      </c>
      <c r="D2841" s="4">
        <v>8</v>
      </c>
      <c r="E2841" s="4" t="s">
        <v>805</v>
      </c>
    </row>
    <row r="2842" spans="1:6">
      <c r="A2842" s="4" t="s">
        <v>6035</v>
      </c>
      <c r="B2842" s="6" t="s">
        <v>6034</v>
      </c>
      <c r="C2842" s="4" t="s">
        <v>34</v>
      </c>
      <c r="D2842" s="4">
        <v>11</v>
      </c>
      <c r="E2842" s="4" t="s">
        <v>2604</v>
      </c>
      <c r="F2842" s="4" t="s">
        <v>2419</v>
      </c>
    </row>
    <row r="2843" spans="1:6">
      <c r="A2843" s="4" t="s">
        <v>6036</v>
      </c>
      <c r="B2843" s="6" t="s">
        <v>6034</v>
      </c>
      <c r="C2843" s="4" t="s">
        <v>34</v>
      </c>
      <c r="D2843" s="4">
        <v>9</v>
      </c>
      <c r="E2843" s="4" t="s">
        <v>805</v>
      </c>
    </row>
    <row r="2844" spans="1:6">
      <c r="A2844" s="4" t="s">
        <v>6037</v>
      </c>
      <c r="B2844" s="6" t="s">
        <v>6034</v>
      </c>
      <c r="C2844" s="4" t="s">
        <v>53</v>
      </c>
      <c r="D2844" s="4">
        <v>9</v>
      </c>
      <c r="E2844" s="4" t="s">
        <v>805</v>
      </c>
    </row>
    <row r="2845" spans="1:6">
      <c r="A2845" s="4" t="s">
        <v>6038</v>
      </c>
      <c r="B2845" s="6" t="s">
        <v>6039</v>
      </c>
      <c r="C2845" s="4" t="s">
        <v>390</v>
      </c>
      <c r="D2845" s="4">
        <v>13</v>
      </c>
      <c r="E2845" s="4" t="s">
        <v>852</v>
      </c>
    </row>
    <row r="2846" spans="1:6">
      <c r="A2846" s="4" t="s">
        <v>6040</v>
      </c>
      <c r="B2846" s="6" t="s">
        <v>6041</v>
      </c>
      <c r="C2846" s="4" t="s">
        <v>403</v>
      </c>
      <c r="D2846" s="4">
        <v>14</v>
      </c>
      <c r="E2846" s="4" t="s">
        <v>731</v>
      </c>
      <c r="F2846" s="4" t="s">
        <v>6042</v>
      </c>
    </row>
    <row r="2847" spans="1:6">
      <c r="A2847" s="4" t="s">
        <v>6043</v>
      </c>
      <c r="B2847" s="6" t="s">
        <v>6044</v>
      </c>
      <c r="C2847" s="4" t="s">
        <v>41</v>
      </c>
      <c r="D2847" s="4">
        <v>5</v>
      </c>
      <c r="E2847" s="4" t="s">
        <v>752</v>
      </c>
      <c r="F2847" s="4" t="s">
        <v>6045</v>
      </c>
    </row>
    <row r="2848" spans="1:6">
      <c r="A2848" s="4" t="s">
        <v>6046</v>
      </c>
      <c r="B2848" s="6" t="s">
        <v>6044</v>
      </c>
      <c r="C2848" s="4" t="s">
        <v>41</v>
      </c>
      <c r="D2848" s="4">
        <v>15</v>
      </c>
      <c r="E2848" s="4" t="s">
        <v>752</v>
      </c>
      <c r="F2848" s="4" t="s">
        <v>6045</v>
      </c>
    </row>
    <row r="2849" spans="1:6">
      <c r="A2849" s="4" t="s">
        <v>6047</v>
      </c>
      <c r="B2849" s="6" t="s">
        <v>6048</v>
      </c>
      <c r="C2849" s="4" t="s">
        <v>574</v>
      </c>
      <c r="D2849" s="4">
        <v>9</v>
      </c>
      <c r="E2849" s="4" t="s">
        <v>6049</v>
      </c>
      <c r="F2849" s="4" t="s">
        <v>6050</v>
      </c>
    </row>
    <row r="2850" spans="1:6">
      <c r="A2850" s="4" t="s">
        <v>6051</v>
      </c>
      <c r="B2850" s="6" t="s">
        <v>6048</v>
      </c>
      <c r="C2850" s="4" t="s">
        <v>23</v>
      </c>
      <c r="D2850" s="4">
        <v>7</v>
      </c>
      <c r="E2850" s="4" t="s">
        <v>3215</v>
      </c>
      <c r="F2850" s="4" t="s">
        <v>6052</v>
      </c>
    </row>
    <row r="2851" spans="1:6">
      <c r="A2851" s="4" t="s">
        <v>6053</v>
      </c>
      <c r="B2851" s="6" t="s">
        <v>6048</v>
      </c>
      <c r="C2851" s="4" t="s">
        <v>27</v>
      </c>
      <c r="D2851" s="4">
        <v>7</v>
      </c>
      <c r="E2851" s="4" t="s">
        <v>877</v>
      </c>
    </row>
    <row r="2852" spans="1:6">
      <c r="A2852" s="4" t="s">
        <v>6054</v>
      </c>
      <c r="B2852" s="6" t="s">
        <v>6048</v>
      </c>
      <c r="C2852" s="4" t="s">
        <v>53</v>
      </c>
      <c r="D2852" s="4">
        <v>11</v>
      </c>
      <c r="E2852" s="4" t="s">
        <v>3215</v>
      </c>
    </row>
    <row r="2853" spans="1:6">
      <c r="A2853" s="4" t="s">
        <v>6055</v>
      </c>
      <c r="B2853" s="6" t="s">
        <v>6048</v>
      </c>
      <c r="C2853" s="4" t="s">
        <v>590</v>
      </c>
      <c r="D2853" s="4">
        <v>14</v>
      </c>
      <c r="E2853" s="4" t="s">
        <v>3215</v>
      </c>
      <c r="F2853" s="4" t="s">
        <v>6056</v>
      </c>
    </row>
    <row r="2854" spans="1:6">
      <c r="A2854" s="4" t="s">
        <v>6057</v>
      </c>
      <c r="B2854" s="6" t="s">
        <v>6048</v>
      </c>
      <c r="C2854" s="4" t="s">
        <v>590</v>
      </c>
      <c r="D2854" s="4">
        <v>14</v>
      </c>
      <c r="E2854" s="4" t="s">
        <v>3215</v>
      </c>
      <c r="F2854" s="4" t="s">
        <v>6056</v>
      </c>
    </row>
    <row r="2855" spans="1:6">
      <c r="A2855" s="4" t="s">
        <v>6058</v>
      </c>
      <c r="B2855" s="6" t="s">
        <v>6059</v>
      </c>
      <c r="C2855" s="4" t="s">
        <v>53</v>
      </c>
      <c r="D2855" s="4">
        <v>16</v>
      </c>
      <c r="E2855" s="4" t="s">
        <v>832</v>
      </c>
      <c r="F2855" s="4" t="s">
        <v>6060</v>
      </c>
    </row>
    <row r="2856" spans="1:6">
      <c r="A2856" s="4" t="s">
        <v>6061</v>
      </c>
      <c r="B2856" s="6" t="s">
        <v>6062</v>
      </c>
      <c r="C2856" s="4" t="s">
        <v>53</v>
      </c>
      <c r="D2856" s="4">
        <v>9</v>
      </c>
      <c r="E2856" s="4" t="s">
        <v>3382</v>
      </c>
    </row>
    <row r="2857" spans="1:6">
      <c r="A2857" s="4" t="s">
        <v>6063</v>
      </c>
      <c r="B2857" s="6" t="s">
        <v>6064</v>
      </c>
      <c r="C2857" s="4" t="s">
        <v>1851</v>
      </c>
      <c r="D2857" s="4">
        <v>13</v>
      </c>
      <c r="E2857" s="4" t="s">
        <v>6065</v>
      </c>
      <c r="F2857" s="4" t="s">
        <v>6066</v>
      </c>
    </row>
    <row r="2858" spans="1:6">
      <c r="A2858" s="4" t="s">
        <v>6067</v>
      </c>
      <c r="B2858" s="6" t="s">
        <v>6064</v>
      </c>
      <c r="C2858" s="4" t="s">
        <v>1231</v>
      </c>
      <c r="D2858" s="4">
        <v>19</v>
      </c>
      <c r="E2858" s="4" t="s">
        <v>6068</v>
      </c>
      <c r="F2858" s="4" t="s">
        <v>6069</v>
      </c>
    </row>
    <row r="2859" spans="1:6">
      <c r="A2859" s="4" t="s">
        <v>6070</v>
      </c>
      <c r="B2859" s="6" t="s">
        <v>6071</v>
      </c>
      <c r="C2859" s="4" t="s">
        <v>179</v>
      </c>
      <c r="D2859" s="4">
        <v>10</v>
      </c>
      <c r="E2859" s="4" t="s">
        <v>6065</v>
      </c>
      <c r="F2859" s="4" t="s">
        <v>468</v>
      </c>
    </row>
    <row r="2860" spans="1:6">
      <c r="A2860" s="4" t="s">
        <v>6072</v>
      </c>
      <c r="B2860" s="6" t="s">
        <v>6073</v>
      </c>
      <c r="C2860" s="4" t="s">
        <v>27</v>
      </c>
      <c r="D2860" s="4">
        <v>11</v>
      </c>
      <c r="E2860" s="4" t="s">
        <v>3672</v>
      </c>
      <c r="F2860" s="4" t="s">
        <v>2729</v>
      </c>
    </row>
    <row r="2861" spans="1:6">
      <c r="A2861" s="4" t="s">
        <v>6074</v>
      </c>
      <c r="B2861" s="6" t="s">
        <v>6073</v>
      </c>
      <c r="C2861" s="4" t="s">
        <v>34</v>
      </c>
      <c r="D2861" s="4">
        <v>11</v>
      </c>
      <c r="E2861" s="4" t="s">
        <v>3672</v>
      </c>
      <c r="F2861" s="4" t="s">
        <v>2162</v>
      </c>
    </row>
    <row r="2862" spans="1:6">
      <c r="A2862" s="4" t="s">
        <v>6075</v>
      </c>
      <c r="B2862" s="6" t="s">
        <v>6073</v>
      </c>
      <c r="C2862" s="4" t="s">
        <v>254</v>
      </c>
      <c r="D2862" s="4">
        <v>10</v>
      </c>
      <c r="E2862" s="4" t="s">
        <v>3672</v>
      </c>
    </row>
    <row r="2863" spans="1:6">
      <c r="A2863" s="4" t="s">
        <v>6076</v>
      </c>
      <c r="B2863" s="6" t="s">
        <v>6073</v>
      </c>
      <c r="C2863" s="4" t="s">
        <v>1425</v>
      </c>
      <c r="D2863" s="4">
        <v>13</v>
      </c>
      <c r="E2863" s="4" t="s">
        <v>6077</v>
      </c>
    </row>
    <row r="2864" spans="1:6">
      <c r="A2864" s="4" t="s">
        <v>6078</v>
      </c>
      <c r="B2864" s="6" t="s">
        <v>6073</v>
      </c>
      <c r="C2864" s="4" t="s">
        <v>285</v>
      </c>
      <c r="D2864" s="4">
        <v>11</v>
      </c>
      <c r="E2864" s="4" t="s">
        <v>3672</v>
      </c>
    </row>
    <row r="2865" spans="1:6">
      <c r="A2865" s="4" t="s">
        <v>6079</v>
      </c>
      <c r="B2865" s="6" t="s">
        <v>6080</v>
      </c>
      <c r="C2865" s="4" t="s">
        <v>860</v>
      </c>
      <c r="D2865" s="4">
        <v>8</v>
      </c>
      <c r="E2865" s="4" t="s">
        <v>752</v>
      </c>
      <c r="F2865" s="4" t="s">
        <v>6081</v>
      </c>
    </row>
    <row r="2866" spans="1:6">
      <c r="A2866" s="4" t="s">
        <v>6082</v>
      </c>
      <c r="B2866" s="6" t="s">
        <v>6083</v>
      </c>
      <c r="C2866" s="4" t="s">
        <v>34</v>
      </c>
      <c r="D2866" s="4">
        <v>11</v>
      </c>
      <c r="E2866" s="4" t="s">
        <v>799</v>
      </c>
      <c r="F2866" s="4" t="s">
        <v>6084</v>
      </c>
    </row>
    <row r="2867" spans="1:6">
      <c r="A2867" s="4" t="s">
        <v>6085</v>
      </c>
      <c r="B2867" s="6" t="s">
        <v>6083</v>
      </c>
      <c r="C2867" s="4" t="s">
        <v>34</v>
      </c>
      <c r="D2867" s="4">
        <v>23</v>
      </c>
      <c r="E2867" s="4" t="s">
        <v>789</v>
      </c>
    </row>
    <row r="2868" spans="1:6">
      <c r="A2868" s="4" t="s">
        <v>6086</v>
      </c>
      <c r="B2868" s="6" t="s">
        <v>6083</v>
      </c>
      <c r="C2868" s="4" t="s">
        <v>995</v>
      </c>
      <c r="D2868" s="4">
        <v>20</v>
      </c>
      <c r="E2868" s="4" t="s">
        <v>789</v>
      </c>
    </row>
    <row r="2869" spans="1:6">
      <c r="A2869" s="4" t="s">
        <v>6087</v>
      </c>
      <c r="B2869" s="6" t="s">
        <v>6083</v>
      </c>
      <c r="C2869" s="4" t="s">
        <v>238</v>
      </c>
      <c r="D2869" s="4">
        <v>14</v>
      </c>
      <c r="E2869" s="4" t="s">
        <v>6088</v>
      </c>
    </row>
    <row r="2870" spans="1:6">
      <c r="A2870" s="4" t="s">
        <v>6089</v>
      </c>
      <c r="B2870" s="6" t="s">
        <v>6090</v>
      </c>
      <c r="C2870" s="4" t="s">
        <v>53</v>
      </c>
      <c r="D2870" s="4">
        <v>10</v>
      </c>
      <c r="E2870" s="4" t="s">
        <v>852</v>
      </c>
      <c r="F2870" s="4" t="s">
        <v>6091</v>
      </c>
    </row>
    <row r="2871" spans="1:6">
      <c r="A2871" s="4" t="s">
        <v>6092</v>
      </c>
      <c r="B2871" s="6" t="s">
        <v>6093</v>
      </c>
      <c r="C2871" s="4" t="s">
        <v>1335</v>
      </c>
      <c r="D2871" s="4">
        <v>8</v>
      </c>
      <c r="E2871" s="4" t="s">
        <v>1344</v>
      </c>
      <c r="F2871" s="4" t="s">
        <v>236</v>
      </c>
    </row>
    <row r="2872" spans="1:6">
      <c r="A2872" s="4" t="s">
        <v>6094</v>
      </c>
      <c r="B2872" s="6" t="s">
        <v>6093</v>
      </c>
      <c r="C2872" s="4" t="s">
        <v>1335</v>
      </c>
      <c r="D2872" s="4">
        <v>11</v>
      </c>
      <c r="E2872" s="4" t="s">
        <v>1344</v>
      </c>
      <c r="F2872" s="4" t="s">
        <v>236</v>
      </c>
    </row>
    <row r="2873" spans="1:6">
      <c r="A2873" s="4" t="s">
        <v>6095</v>
      </c>
      <c r="B2873" s="6" t="s">
        <v>6093</v>
      </c>
      <c r="C2873" s="4" t="s">
        <v>1335</v>
      </c>
      <c r="D2873" s="4">
        <v>9</v>
      </c>
      <c r="E2873" s="4" t="s">
        <v>1344</v>
      </c>
      <c r="F2873" s="4" t="s">
        <v>236</v>
      </c>
    </row>
    <row r="2874" spans="1:6">
      <c r="A2874" s="4" t="s">
        <v>6096</v>
      </c>
      <c r="B2874" s="6" t="s">
        <v>6097</v>
      </c>
      <c r="C2874" s="4" t="s">
        <v>2568</v>
      </c>
      <c r="D2874" s="4">
        <v>11</v>
      </c>
      <c r="E2874" s="4" t="s">
        <v>1378</v>
      </c>
      <c r="F2874" s="4" t="s">
        <v>1434</v>
      </c>
    </row>
    <row r="2875" spans="1:6">
      <c r="A2875" s="4" t="s">
        <v>6098</v>
      </c>
      <c r="B2875" s="6" t="s">
        <v>6097</v>
      </c>
      <c r="C2875" s="4" t="s">
        <v>271</v>
      </c>
      <c r="D2875" s="4">
        <v>10</v>
      </c>
      <c r="E2875" s="4" t="s">
        <v>1378</v>
      </c>
      <c r="F2875" s="4" t="s">
        <v>6099</v>
      </c>
    </row>
    <row r="2876" spans="1:6">
      <c r="A2876" s="4" t="s">
        <v>6100</v>
      </c>
      <c r="B2876" s="6" t="s">
        <v>6097</v>
      </c>
      <c r="C2876" s="4" t="s">
        <v>6100</v>
      </c>
      <c r="D2876" s="4">
        <v>11</v>
      </c>
      <c r="E2876" s="4" t="s">
        <v>1378</v>
      </c>
      <c r="F2876" s="4" t="s">
        <v>6101</v>
      </c>
    </row>
    <row r="2877" spans="1:6">
      <c r="A2877" s="4" t="s">
        <v>6102</v>
      </c>
      <c r="B2877" s="6" t="s">
        <v>6097</v>
      </c>
      <c r="C2877" s="4" t="s">
        <v>675</v>
      </c>
      <c r="D2877" s="4">
        <v>18</v>
      </c>
      <c r="E2877" s="4" t="s">
        <v>1378</v>
      </c>
      <c r="F2877" s="4" t="s">
        <v>6099</v>
      </c>
    </row>
    <row r="2878" spans="1:6">
      <c r="A2878" s="4" t="s">
        <v>6103</v>
      </c>
      <c r="B2878" s="6" t="s">
        <v>6104</v>
      </c>
      <c r="C2878" s="4" t="s">
        <v>6103</v>
      </c>
      <c r="D2878" s="4">
        <v>16</v>
      </c>
      <c r="E2878" s="4" t="s">
        <v>1378</v>
      </c>
      <c r="F2878" s="4" t="s">
        <v>6101</v>
      </c>
    </row>
    <row r="2879" spans="1:6">
      <c r="A2879" s="4" t="s">
        <v>6105</v>
      </c>
      <c r="B2879" s="6" t="s">
        <v>6106</v>
      </c>
      <c r="C2879" s="4" t="s">
        <v>301</v>
      </c>
      <c r="D2879" s="4">
        <v>13</v>
      </c>
      <c r="E2879" s="4" t="s">
        <v>2887</v>
      </c>
      <c r="F2879" s="4" t="s">
        <v>6107</v>
      </c>
    </row>
    <row r="2880" spans="1:6">
      <c r="A2880" s="4" t="s">
        <v>6108</v>
      </c>
      <c r="B2880" s="6" t="s">
        <v>6106</v>
      </c>
      <c r="C2880" s="4" t="s">
        <v>81</v>
      </c>
      <c r="D2880" s="4">
        <v>10</v>
      </c>
      <c r="E2880" s="4" t="s">
        <v>1634</v>
      </c>
    </row>
    <row r="2881" spans="1:6">
      <c r="A2881" s="4" t="s">
        <v>6109</v>
      </c>
      <c r="B2881" s="6" t="s">
        <v>6106</v>
      </c>
      <c r="C2881" s="4" t="s">
        <v>34</v>
      </c>
      <c r="D2881" s="4">
        <v>10</v>
      </c>
      <c r="E2881" s="4" t="s">
        <v>1634</v>
      </c>
    </row>
    <row r="2882" spans="1:6">
      <c r="A2882" s="4" t="s">
        <v>6110</v>
      </c>
      <c r="B2882" s="6" t="s">
        <v>6106</v>
      </c>
      <c r="C2882" s="4" t="s">
        <v>87</v>
      </c>
      <c r="D2882" s="4">
        <v>10</v>
      </c>
      <c r="E2882" s="4" t="s">
        <v>2887</v>
      </c>
    </row>
    <row r="2883" spans="1:6">
      <c r="A2883" s="4" t="s">
        <v>6111</v>
      </c>
      <c r="B2883" s="6" t="s">
        <v>6106</v>
      </c>
      <c r="C2883" s="4" t="s">
        <v>14</v>
      </c>
      <c r="D2883" s="4">
        <v>10</v>
      </c>
      <c r="E2883" s="4" t="s">
        <v>6112</v>
      </c>
    </row>
    <row r="2884" spans="1:6">
      <c r="A2884" s="4" t="s">
        <v>6113</v>
      </c>
      <c r="B2884" s="6" t="s">
        <v>6114</v>
      </c>
      <c r="C2884" s="4" t="s">
        <v>87</v>
      </c>
      <c r="D2884" s="4">
        <v>7</v>
      </c>
      <c r="E2884" s="4" t="s">
        <v>2904</v>
      </c>
      <c r="F2884" s="4" t="s">
        <v>6115</v>
      </c>
    </row>
    <row r="2885" spans="1:6">
      <c r="A2885" s="4" t="s">
        <v>6116</v>
      </c>
      <c r="B2885" s="6" t="s">
        <v>6114</v>
      </c>
      <c r="C2885" s="4" t="s">
        <v>34</v>
      </c>
      <c r="D2885" s="4">
        <v>7</v>
      </c>
      <c r="E2885" s="4" t="s">
        <v>2904</v>
      </c>
      <c r="F2885" s="4" t="s">
        <v>6117</v>
      </c>
    </row>
    <row r="2886" spans="1:6">
      <c r="A2886" s="4" t="s">
        <v>1885</v>
      </c>
      <c r="B2886" s="6" t="s">
        <v>6114</v>
      </c>
      <c r="C2886" s="4" t="s">
        <v>1885</v>
      </c>
      <c r="D2886" s="4">
        <v>1</v>
      </c>
      <c r="E2886" s="4" t="s">
        <v>2904</v>
      </c>
    </row>
    <row r="2887" spans="1:6">
      <c r="A2887" s="4" t="s">
        <v>6118</v>
      </c>
      <c r="B2887" s="6" t="s">
        <v>6114</v>
      </c>
      <c r="C2887" s="4" t="s">
        <v>708</v>
      </c>
      <c r="D2887" s="4">
        <v>3</v>
      </c>
      <c r="E2887" s="4" t="s">
        <v>6119</v>
      </c>
    </row>
    <row r="2888" spans="1:6">
      <c r="A2888" s="4" t="s">
        <v>6120</v>
      </c>
      <c r="B2888" s="6" t="s">
        <v>6114</v>
      </c>
      <c r="C2888" s="4" t="s">
        <v>470</v>
      </c>
      <c r="D2888" s="4">
        <v>6</v>
      </c>
      <c r="E2888" s="4" t="s">
        <v>2904</v>
      </c>
      <c r="F2888" s="4" t="s">
        <v>6115</v>
      </c>
    </row>
    <row r="2889" spans="1:6">
      <c r="A2889" s="4" t="s">
        <v>6121</v>
      </c>
      <c r="B2889" s="6" t="s">
        <v>6114</v>
      </c>
      <c r="C2889" s="4" t="s">
        <v>271</v>
      </c>
      <c r="D2889" s="4">
        <v>6</v>
      </c>
      <c r="E2889" s="4" t="s">
        <v>6122</v>
      </c>
    </row>
    <row r="2890" spans="1:6">
      <c r="A2890" s="4" t="s">
        <v>6123</v>
      </c>
      <c r="B2890" s="6" t="s">
        <v>6114</v>
      </c>
      <c r="C2890" s="4" t="s">
        <v>95</v>
      </c>
      <c r="D2890" s="4">
        <v>12</v>
      </c>
      <c r="E2890" s="4" t="s">
        <v>2904</v>
      </c>
    </row>
    <row r="2891" spans="1:6">
      <c r="A2891" s="4" t="s">
        <v>6124</v>
      </c>
      <c r="B2891" s="6" t="s">
        <v>6125</v>
      </c>
      <c r="C2891" s="4" t="s">
        <v>1335</v>
      </c>
      <c r="D2891" s="4">
        <v>11</v>
      </c>
      <c r="E2891" s="4" t="s">
        <v>2887</v>
      </c>
    </row>
    <row r="2892" spans="1:6">
      <c r="A2892" s="4" t="s">
        <v>6126</v>
      </c>
      <c r="B2892" s="6" t="s">
        <v>6125</v>
      </c>
      <c r="C2892" s="4" t="s">
        <v>53</v>
      </c>
      <c r="D2892" s="4">
        <v>15</v>
      </c>
      <c r="E2892" s="4" t="s">
        <v>6127</v>
      </c>
    </row>
    <row r="2893" spans="1:6">
      <c r="A2893" s="4" t="s">
        <v>6128</v>
      </c>
      <c r="B2893" s="6" t="s">
        <v>6125</v>
      </c>
      <c r="C2893" s="4" t="s">
        <v>34</v>
      </c>
      <c r="D2893" s="4">
        <v>10</v>
      </c>
      <c r="E2893" s="4" t="s">
        <v>2887</v>
      </c>
      <c r="F2893" s="4" t="s">
        <v>6129</v>
      </c>
    </row>
    <row r="2894" spans="1:6">
      <c r="A2894" s="4" t="s">
        <v>6130</v>
      </c>
      <c r="B2894" s="6" t="s">
        <v>6125</v>
      </c>
      <c r="C2894" s="4" t="s">
        <v>53</v>
      </c>
      <c r="D2894" s="4">
        <v>21</v>
      </c>
      <c r="E2894" s="4" t="s">
        <v>6127</v>
      </c>
    </row>
    <row r="2895" spans="1:6">
      <c r="A2895" s="4" t="s">
        <v>6131</v>
      </c>
      <c r="B2895" s="6" t="s">
        <v>6125</v>
      </c>
      <c r="C2895" s="4" t="s">
        <v>81</v>
      </c>
      <c r="D2895" s="4">
        <v>11</v>
      </c>
      <c r="E2895" s="4" t="s">
        <v>2887</v>
      </c>
    </row>
    <row r="2896" spans="1:6">
      <c r="A2896" s="4" t="s">
        <v>6132</v>
      </c>
      <c r="B2896" s="6" t="s">
        <v>6125</v>
      </c>
      <c r="C2896" s="4" t="s">
        <v>427</v>
      </c>
      <c r="D2896" s="4">
        <v>14</v>
      </c>
      <c r="E2896" s="4" t="s">
        <v>2887</v>
      </c>
      <c r="F2896" s="4" t="s">
        <v>6133</v>
      </c>
    </row>
    <row r="2897" spans="1:6">
      <c r="A2897" s="4" t="s">
        <v>6134</v>
      </c>
      <c r="B2897" s="6" t="s">
        <v>6125</v>
      </c>
      <c r="C2897" s="4" t="s">
        <v>1335</v>
      </c>
      <c r="D2897" s="4">
        <v>11</v>
      </c>
      <c r="E2897" s="4" t="s">
        <v>2887</v>
      </c>
    </row>
    <row r="2898" spans="1:6">
      <c r="A2898" s="4" t="s">
        <v>6135</v>
      </c>
      <c r="B2898" s="6" t="s">
        <v>6136</v>
      </c>
      <c r="C2898" s="4" t="s">
        <v>34</v>
      </c>
      <c r="D2898" s="4">
        <v>12</v>
      </c>
      <c r="E2898" s="4" t="s">
        <v>2887</v>
      </c>
    </row>
    <row r="2899" spans="1:6">
      <c r="A2899" s="4" t="s">
        <v>6137</v>
      </c>
      <c r="B2899" s="6" t="s">
        <v>6136</v>
      </c>
      <c r="C2899" s="4" t="s">
        <v>173</v>
      </c>
      <c r="D2899" s="4">
        <v>8</v>
      </c>
      <c r="E2899" s="4" t="s">
        <v>748</v>
      </c>
      <c r="F2899" s="4" t="s">
        <v>6138</v>
      </c>
    </row>
    <row r="2900" spans="1:6">
      <c r="A2900" s="4" t="s">
        <v>6139</v>
      </c>
      <c r="B2900" s="6" t="s">
        <v>6140</v>
      </c>
      <c r="C2900" s="4" t="s">
        <v>214</v>
      </c>
      <c r="D2900" s="4">
        <v>9</v>
      </c>
      <c r="E2900" s="4" t="s">
        <v>748</v>
      </c>
      <c r="F2900" s="4" t="s">
        <v>6138</v>
      </c>
    </row>
    <row r="2901" spans="1:6">
      <c r="A2901" s="4" t="s">
        <v>6141</v>
      </c>
      <c r="B2901" s="6" t="s">
        <v>6142</v>
      </c>
      <c r="C2901" s="4" t="s">
        <v>254</v>
      </c>
      <c r="D2901" s="4">
        <v>11</v>
      </c>
      <c r="E2901" s="4" t="s">
        <v>2887</v>
      </c>
      <c r="F2901" s="4" t="s">
        <v>6143</v>
      </c>
    </row>
    <row r="2902" spans="1:6">
      <c r="A2902" s="4" t="s">
        <v>917</v>
      </c>
      <c r="B2902" s="6" t="s">
        <v>6144</v>
      </c>
      <c r="C2902" s="4" t="s">
        <v>917</v>
      </c>
      <c r="D2902" s="4">
        <v>2</v>
      </c>
    </row>
    <row r="2903" spans="1:6">
      <c r="A2903" s="4" t="s">
        <v>6145</v>
      </c>
      <c r="B2903" s="6" t="s">
        <v>6144</v>
      </c>
      <c r="C2903" s="4" t="s">
        <v>6146</v>
      </c>
      <c r="D2903" s="4">
        <v>14</v>
      </c>
      <c r="E2903" s="4" t="s">
        <v>852</v>
      </c>
    </row>
    <row r="2904" spans="1:6">
      <c r="A2904" s="4" t="s">
        <v>6147</v>
      </c>
      <c r="B2904" s="6" t="s">
        <v>6148</v>
      </c>
      <c r="C2904" s="4" t="s">
        <v>453</v>
      </c>
      <c r="D2904" s="4">
        <v>12</v>
      </c>
      <c r="E2904" s="4" t="s">
        <v>1378</v>
      </c>
      <c r="F2904" s="4" t="s">
        <v>6149</v>
      </c>
    </row>
    <row r="2905" spans="1:6">
      <c r="A2905" s="4" t="s">
        <v>6150</v>
      </c>
      <c r="B2905" s="6" t="s">
        <v>6148</v>
      </c>
      <c r="C2905" s="4" t="s">
        <v>324</v>
      </c>
      <c r="D2905" s="4">
        <v>9</v>
      </c>
      <c r="E2905" s="4" t="s">
        <v>1378</v>
      </c>
      <c r="F2905" s="4" t="s">
        <v>6151</v>
      </c>
    </row>
    <row r="2906" spans="1:6">
      <c r="A2906" s="4" t="s">
        <v>6152</v>
      </c>
      <c r="B2906" s="6" t="s">
        <v>6148</v>
      </c>
      <c r="C2906" s="4" t="s">
        <v>81</v>
      </c>
      <c r="D2906" s="4">
        <v>11</v>
      </c>
      <c r="E2906" s="4" t="s">
        <v>1378</v>
      </c>
    </row>
    <row r="2907" spans="1:6">
      <c r="A2907" s="4" t="s">
        <v>6153</v>
      </c>
      <c r="B2907" s="6" t="s">
        <v>6154</v>
      </c>
      <c r="C2907" s="4" t="s">
        <v>49</v>
      </c>
      <c r="D2907" s="4">
        <v>12</v>
      </c>
      <c r="E2907" s="4" t="s">
        <v>1378</v>
      </c>
      <c r="F2907" s="4" t="s">
        <v>6155</v>
      </c>
    </row>
    <row r="2908" spans="1:6">
      <c r="A2908" s="4" t="s">
        <v>3168</v>
      </c>
      <c r="B2908" s="6" t="s">
        <v>6156</v>
      </c>
      <c r="C2908" s="4" t="s">
        <v>3168</v>
      </c>
      <c r="D2908" s="4">
        <v>10</v>
      </c>
      <c r="E2908" s="4" t="s">
        <v>1378</v>
      </c>
      <c r="F2908" s="4" t="s">
        <v>6157</v>
      </c>
    </row>
    <row r="2909" spans="1:6">
      <c r="A2909" s="4" t="s">
        <v>6158</v>
      </c>
      <c r="B2909" s="6" t="s">
        <v>6156</v>
      </c>
      <c r="C2909" s="4" t="s">
        <v>81</v>
      </c>
      <c r="D2909" s="4">
        <v>13</v>
      </c>
      <c r="E2909" s="4" t="s">
        <v>1378</v>
      </c>
    </row>
    <row r="2910" spans="1:6">
      <c r="A2910" s="4" t="s">
        <v>6159</v>
      </c>
      <c r="B2910" s="6" t="s">
        <v>6160</v>
      </c>
      <c r="C2910" s="4" t="s">
        <v>195</v>
      </c>
      <c r="D2910" s="4">
        <v>21</v>
      </c>
      <c r="E2910" s="4" t="s">
        <v>1378</v>
      </c>
    </row>
    <row r="2911" spans="1:6">
      <c r="A2911" s="4" t="s">
        <v>6161</v>
      </c>
      <c r="B2911" s="6" t="s">
        <v>6162</v>
      </c>
      <c r="C2911" s="4" t="s">
        <v>574</v>
      </c>
      <c r="D2911" s="4">
        <v>9</v>
      </c>
      <c r="E2911" s="4" t="s">
        <v>1378</v>
      </c>
    </row>
    <row r="2912" spans="1:6">
      <c r="A2912" s="4" t="s">
        <v>6163</v>
      </c>
      <c r="B2912" s="6" t="s">
        <v>6162</v>
      </c>
      <c r="C2912" s="4" t="s">
        <v>34</v>
      </c>
      <c r="D2912" s="4">
        <v>12</v>
      </c>
      <c r="E2912" s="4" t="s">
        <v>1378</v>
      </c>
    </row>
    <row r="2913" spans="1:6">
      <c r="A2913" s="4" t="s">
        <v>6164</v>
      </c>
      <c r="B2913" s="6" t="s">
        <v>6162</v>
      </c>
      <c r="C2913" s="4" t="s">
        <v>53</v>
      </c>
      <c r="D2913" s="4">
        <v>18</v>
      </c>
      <c r="E2913" s="4" t="s">
        <v>1378</v>
      </c>
      <c r="F2913" s="4" t="s">
        <v>6165</v>
      </c>
    </row>
    <row r="2914" spans="1:6">
      <c r="A2914" s="4" t="s">
        <v>6166</v>
      </c>
      <c r="B2914" s="6" t="s">
        <v>6162</v>
      </c>
      <c r="C2914" s="4" t="s">
        <v>2818</v>
      </c>
      <c r="D2914" s="4">
        <v>15</v>
      </c>
      <c r="E2914" s="4" t="s">
        <v>1140</v>
      </c>
    </row>
    <row r="2915" spans="1:6">
      <c r="A2915" s="4" t="s">
        <v>6167</v>
      </c>
      <c r="B2915" s="6" t="s">
        <v>6168</v>
      </c>
      <c r="C2915" s="4" t="s">
        <v>485</v>
      </c>
      <c r="D2915" s="4">
        <v>9</v>
      </c>
      <c r="E2915" s="4" t="s">
        <v>6169</v>
      </c>
      <c r="F2915" s="4" t="s">
        <v>6170</v>
      </c>
    </row>
    <row r="2916" spans="1:6">
      <c r="A2916" s="4" t="s">
        <v>6171</v>
      </c>
      <c r="B2916" s="6" t="s">
        <v>6168</v>
      </c>
      <c r="C2916" s="4" t="s">
        <v>301</v>
      </c>
      <c r="D2916" s="4">
        <v>10</v>
      </c>
      <c r="E2916" s="4" t="s">
        <v>6169</v>
      </c>
    </row>
    <row r="2917" spans="1:6">
      <c r="A2917" s="4" t="s">
        <v>6172</v>
      </c>
      <c r="B2917" s="6" t="s">
        <v>6168</v>
      </c>
      <c r="C2917" s="4" t="s">
        <v>87</v>
      </c>
      <c r="D2917" s="4">
        <v>7</v>
      </c>
      <c r="E2917" s="4" t="s">
        <v>6169</v>
      </c>
    </row>
    <row r="2918" spans="1:6">
      <c r="A2918" s="4" t="s">
        <v>6173</v>
      </c>
      <c r="B2918" s="6" t="s">
        <v>6168</v>
      </c>
      <c r="C2918" s="4" t="s">
        <v>14</v>
      </c>
      <c r="D2918" s="4">
        <v>10</v>
      </c>
      <c r="E2918" s="4" t="s">
        <v>6169</v>
      </c>
    </row>
    <row r="2919" spans="1:6">
      <c r="A2919" s="4" t="s">
        <v>6174</v>
      </c>
      <c r="B2919" s="6" t="s">
        <v>6175</v>
      </c>
      <c r="C2919" s="4" t="s">
        <v>1323</v>
      </c>
      <c r="D2919" s="4">
        <v>10</v>
      </c>
      <c r="E2919" s="4" t="s">
        <v>6169</v>
      </c>
      <c r="F2919" s="4" t="s">
        <v>6176</v>
      </c>
    </row>
    <row r="2920" spans="1:6">
      <c r="A2920" s="4" t="s">
        <v>6177</v>
      </c>
      <c r="B2920" s="6" t="s">
        <v>6175</v>
      </c>
      <c r="C2920" s="4" t="s">
        <v>34</v>
      </c>
      <c r="D2920" s="4">
        <v>13</v>
      </c>
      <c r="E2920" s="4" t="s">
        <v>2769</v>
      </c>
    </row>
    <row r="2921" spans="1:6">
      <c r="A2921" s="4" t="s">
        <v>6178</v>
      </c>
      <c r="B2921" s="6" t="s">
        <v>6175</v>
      </c>
      <c r="C2921" s="4" t="s">
        <v>285</v>
      </c>
      <c r="D2921" s="4">
        <v>13</v>
      </c>
      <c r="E2921" s="4" t="s">
        <v>2769</v>
      </c>
    </row>
    <row r="2922" spans="1:6">
      <c r="A2922" s="4" t="s">
        <v>6179</v>
      </c>
      <c r="B2922" s="6" t="s">
        <v>6175</v>
      </c>
      <c r="C2922" s="4" t="s">
        <v>285</v>
      </c>
      <c r="D2922" s="4">
        <v>13</v>
      </c>
      <c r="E2922" s="4" t="s">
        <v>2769</v>
      </c>
    </row>
    <row r="2923" spans="1:6">
      <c r="A2923" s="4" t="s">
        <v>143</v>
      </c>
      <c r="B2923" s="6" t="s">
        <v>6180</v>
      </c>
      <c r="C2923" s="4" t="s">
        <v>143</v>
      </c>
      <c r="D2923" s="4">
        <v>3</v>
      </c>
      <c r="E2923" s="4" t="s">
        <v>6181</v>
      </c>
    </row>
    <row r="2924" spans="1:6">
      <c r="A2924" s="4" t="s">
        <v>6182</v>
      </c>
      <c r="B2924" s="6" t="s">
        <v>6183</v>
      </c>
      <c r="C2924" s="4" t="s">
        <v>53</v>
      </c>
      <c r="D2924" s="4">
        <v>7</v>
      </c>
      <c r="E2924" s="4" t="s">
        <v>6184</v>
      </c>
      <c r="F2924" s="4" t="s">
        <v>6185</v>
      </c>
    </row>
    <row r="2925" spans="1:6">
      <c r="A2925" s="4" t="s">
        <v>6186</v>
      </c>
      <c r="B2925" s="6" t="s">
        <v>6187</v>
      </c>
      <c r="C2925" s="4" t="s">
        <v>271</v>
      </c>
      <c r="D2925" s="4">
        <v>5</v>
      </c>
      <c r="E2925" s="4" t="s">
        <v>731</v>
      </c>
    </row>
    <row r="2926" spans="1:6">
      <c r="A2926" s="4" t="s">
        <v>6188</v>
      </c>
      <c r="B2926" s="6" t="s">
        <v>6187</v>
      </c>
      <c r="C2926" s="4" t="s">
        <v>195</v>
      </c>
      <c r="D2926" s="4">
        <v>16</v>
      </c>
      <c r="E2926" s="4" t="s">
        <v>6184</v>
      </c>
    </row>
    <row r="2927" spans="1:6">
      <c r="A2927" s="4" t="s">
        <v>6189</v>
      </c>
      <c r="B2927" s="6" t="s">
        <v>6187</v>
      </c>
      <c r="C2927" s="4" t="s">
        <v>271</v>
      </c>
      <c r="D2927" s="4">
        <v>5</v>
      </c>
      <c r="E2927" s="4" t="s">
        <v>1064</v>
      </c>
    </row>
    <row r="2928" spans="1:6">
      <c r="A2928" s="4" t="s">
        <v>6190</v>
      </c>
      <c r="B2928" s="6" t="s">
        <v>6187</v>
      </c>
      <c r="C2928" s="4" t="s">
        <v>271</v>
      </c>
      <c r="D2928" s="4">
        <v>7</v>
      </c>
      <c r="E2928" s="4" t="s">
        <v>6184</v>
      </c>
    </row>
    <row r="2929" spans="1:6">
      <c r="A2929" s="4" t="s">
        <v>6191</v>
      </c>
      <c r="B2929" s="6" t="s">
        <v>6192</v>
      </c>
      <c r="C2929" s="4" t="s">
        <v>76</v>
      </c>
      <c r="D2929" s="4">
        <v>15</v>
      </c>
      <c r="E2929" s="4" t="s">
        <v>6193</v>
      </c>
      <c r="F2929" s="4" t="s">
        <v>4361</v>
      </c>
    </row>
    <row r="2930" spans="1:6">
      <c r="A2930" s="4" t="s">
        <v>6194</v>
      </c>
      <c r="B2930" s="6" t="s">
        <v>6195</v>
      </c>
      <c r="C2930" s="4" t="s">
        <v>34</v>
      </c>
      <c r="D2930" s="4">
        <v>13</v>
      </c>
      <c r="E2930" s="4" t="s">
        <v>6193</v>
      </c>
    </row>
    <row r="2931" spans="1:6">
      <c r="A2931" s="4" t="s">
        <v>6196</v>
      </c>
      <c r="B2931" s="6" t="s">
        <v>6197</v>
      </c>
      <c r="C2931" s="4" t="s">
        <v>34</v>
      </c>
      <c r="D2931" s="4">
        <v>7</v>
      </c>
      <c r="E2931" s="4" t="s">
        <v>6198</v>
      </c>
    </row>
    <row r="2932" spans="1:6">
      <c r="A2932" s="4" t="s">
        <v>6199</v>
      </c>
      <c r="B2932" s="6" t="s">
        <v>6197</v>
      </c>
      <c r="C2932" s="4" t="s">
        <v>427</v>
      </c>
      <c r="D2932" s="4">
        <v>13</v>
      </c>
      <c r="E2932" s="4" t="s">
        <v>6198</v>
      </c>
      <c r="F2932" s="4" t="s">
        <v>1652</v>
      </c>
    </row>
    <row r="2933" spans="1:6">
      <c r="A2933" s="4" t="s">
        <v>6200</v>
      </c>
      <c r="B2933" s="6" t="s">
        <v>6201</v>
      </c>
      <c r="C2933" s="4" t="s">
        <v>53</v>
      </c>
      <c r="D2933" s="4">
        <v>11</v>
      </c>
      <c r="E2933" s="4" t="s">
        <v>1069</v>
      </c>
      <c r="F2933" s="4" t="s">
        <v>6202</v>
      </c>
    </row>
    <row r="2934" spans="1:6">
      <c r="A2934" s="4" t="s">
        <v>6203</v>
      </c>
      <c r="B2934" s="6" t="s">
        <v>6204</v>
      </c>
      <c r="C2934" s="4" t="s">
        <v>254</v>
      </c>
      <c r="D2934" s="4">
        <v>8</v>
      </c>
      <c r="E2934" s="4" t="s">
        <v>1904</v>
      </c>
      <c r="F2934" s="4" t="s">
        <v>6205</v>
      </c>
    </row>
    <row r="2935" spans="1:6">
      <c r="A2935" s="4" t="s">
        <v>6206</v>
      </c>
      <c r="B2935" s="6" t="s">
        <v>6207</v>
      </c>
      <c r="C2935" s="4" t="s">
        <v>403</v>
      </c>
      <c r="D2935" s="4">
        <v>12</v>
      </c>
      <c r="E2935" s="4" t="s">
        <v>6208</v>
      </c>
    </row>
    <row r="2936" spans="1:6">
      <c r="A2936" s="4" t="s">
        <v>6209</v>
      </c>
      <c r="B2936" s="6" t="s">
        <v>6207</v>
      </c>
      <c r="C2936" s="4" t="s">
        <v>917</v>
      </c>
      <c r="D2936" s="4">
        <v>5</v>
      </c>
      <c r="E2936" s="4" t="s">
        <v>6210</v>
      </c>
    </row>
    <row r="2937" spans="1:6">
      <c r="A2937" s="4" t="s">
        <v>6211</v>
      </c>
      <c r="B2937" s="6" t="s">
        <v>6207</v>
      </c>
      <c r="C2937" s="4" t="s">
        <v>34</v>
      </c>
      <c r="D2937" s="4">
        <v>8</v>
      </c>
      <c r="E2937" s="4" t="s">
        <v>6212</v>
      </c>
    </row>
    <row r="2938" spans="1:6">
      <c r="A2938" s="4" t="s">
        <v>6213</v>
      </c>
      <c r="B2938" s="6" t="s">
        <v>6207</v>
      </c>
      <c r="C2938" s="4" t="s">
        <v>53</v>
      </c>
      <c r="D2938" s="4">
        <v>9</v>
      </c>
      <c r="E2938" s="4" t="s">
        <v>6214</v>
      </c>
    </row>
    <row r="2939" spans="1:6">
      <c r="A2939" s="4" t="s">
        <v>6215</v>
      </c>
      <c r="B2939" s="6" t="s">
        <v>6207</v>
      </c>
      <c r="C2939" s="4" t="s">
        <v>917</v>
      </c>
      <c r="D2939" s="4">
        <v>5</v>
      </c>
      <c r="E2939" s="4" t="s">
        <v>6210</v>
      </c>
    </row>
    <row r="2940" spans="1:6">
      <c r="A2940" s="4" t="s">
        <v>351</v>
      </c>
      <c r="B2940" s="6" t="s">
        <v>6207</v>
      </c>
      <c r="C2940" s="4" t="s">
        <v>351</v>
      </c>
      <c r="D2940" s="4">
        <v>3</v>
      </c>
      <c r="E2940" s="4" t="s">
        <v>6216</v>
      </c>
    </row>
    <row r="2941" spans="1:6">
      <c r="A2941" s="4" t="s">
        <v>6217</v>
      </c>
      <c r="B2941" s="6" t="s">
        <v>6218</v>
      </c>
      <c r="C2941" s="4" t="s">
        <v>301</v>
      </c>
      <c r="D2941" s="4">
        <v>10</v>
      </c>
      <c r="E2941" s="4" t="s">
        <v>6208</v>
      </c>
    </row>
    <row r="2942" spans="1:6">
      <c r="A2942" s="4" t="s">
        <v>6219</v>
      </c>
      <c r="B2942" s="6" t="s">
        <v>6220</v>
      </c>
      <c r="C2942" s="4" t="s">
        <v>81</v>
      </c>
      <c r="D2942" s="4">
        <v>18</v>
      </c>
      <c r="E2942" s="4" t="s">
        <v>1064</v>
      </c>
    </row>
    <row r="2943" spans="1:6">
      <c r="A2943" s="4" t="s">
        <v>6221</v>
      </c>
      <c r="B2943" s="6" t="s">
        <v>6220</v>
      </c>
      <c r="C2943" s="4" t="s">
        <v>81</v>
      </c>
      <c r="D2943" s="4">
        <v>20</v>
      </c>
      <c r="E2943" s="4" t="s">
        <v>1064</v>
      </c>
    </row>
    <row r="2944" spans="1:6">
      <c r="A2944" s="4" t="s">
        <v>6222</v>
      </c>
      <c r="B2944" s="6" t="s">
        <v>6223</v>
      </c>
      <c r="C2944" s="4" t="s">
        <v>76</v>
      </c>
      <c r="D2944" s="4">
        <v>8</v>
      </c>
      <c r="E2944" s="4" t="s">
        <v>6181</v>
      </c>
    </row>
    <row r="2945" spans="1:6">
      <c r="A2945" s="4" t="s">
        <v>6224</v>
      </c>
      <c r="B2945" s="6" t="s">
        <v>6223</v>
      </c>
      <c r="C2945" s="4" t="s">
        <v>87</v>
      </c>
      <c r="D2945" s="4">
        <v>6</v>
      </c>
      <c r="E2945" s="4" t="s">
        <v>6181</v>
      </c>
    </row>
    <row r="2946" spans="1:6">
      <c r="A2946" s="4" t="s">
        <v>6225</v>
      </c>
      <c r="B2946" s="6" t="s">
        <v>6226</v>
      </c>
      <c r="C2946" s="4" t="s">
        <v>271</v>
      </c>
      <c r="D2946" s="4">
        <v>12</v>
      </c>
      <c r="E2946" s="4" t="s">
        <v>6193</v>
      </c>
    </row>
    <row r="2947" spans="1:6">
      <c r="A2947" s="4" t="s">
        <v>6227</v>
      </c>
      <c r="B2947" s="6" t="s">
        <v>6228</v>
      </c>
      <c r="C2947" s="4" t="s">
        <v>121</v>
      </c>
      <c r="D2947" s="4">
        <v>10</v>
      </c>
      <c r="E2947" s="4" t="s">
        <v>979</v>
      </c>
    </row>
    <row r="2948" spans="1:6">
      <c r="A2948" s="4" t="s">
        <v>6229</v>
      </c>
      <c r="B2948" s="6" t="s">
        <v>6230</v>
      </c>
      <c r="C2948" s="4" t="s">
        <v>87</v>
      </c>
      <c r="D2948" s="4">
        <v>11</v>
      </c>
      <c r="E2948" s="4" t="s">
        <v>1004</v>
      </c>
      <c r="F2948" s="4" t="s">
        <v>6231</v>
      </c>
    </row>
    <row r="2949" spans="1:6">
      <c r="A2949" s="4" t="s">
        <v>6232</v>
      </c>
      <c r="B2949" s="6" t="s">
        <v>6230</v>
      </c>
      <c r="C2949" s="4" t="s">
        <v>31</v>
      </c>
      <c r="D2949" s="4">
        <v>13</v>
      </c>
      <c r="E2949" s="4" t="s">
        <v>6233</v>
      </c>
    </row>
    <row r="2950" spans="1:6">
      <c r="A2950" s="4" t="s">
        <v>6234</v>
      </c>
      <c r="B2950" s="6" t="s">
        <v>6235</v>
      </c>
      <c r="C2950" s="4" t="s">
        <v>34</v>
      </c>
      <c r="D2950" s="4">
        <v>12</v>
      </c>
      <c r="E2950" s="4" t="s">
        <v>6193</v>
      </c>
      <c r="F2950" s="4" t="s">
        <v>6176</v>
      </c>
    </row>
    <row r="2951" spans="1:6">
      <c r="A2951" s="4" t="s">
        <v>6236</v>
      </c>
      <c r="B2951" s="6" t="s">
        <v>6237</v>
      </c>
      <c r="C2951" s="4" t="s">
        <v>45</v>
      </c>
      <c r="D2951" s="4">
        <v>14</v>
      </c>
      <c r="E2951" s="4" t="s">
        <v>4213</v>
      </c>
    </row>
    <row r="2952" spans="1:6">
      <c r="A2952" s="4" t="s">
        <v>6238</v>
      </c>
      <c r="B2952" s="6" t="s">
        <v>6237</v>
      </c>
      <c r="C2952" s="4" t="s">
        <v>34</v>
      </c>
      <c r="D2952" s="4">
        <v>17</v>
      </c>
      <c r="E2952" s="4" t="s">
        <v>4213</v>
      </c>
      <c r="F2952" s="4" t="s">
        <v>6239</v>
      </c>
    </row>
    <row r="2953" spans="1:6">
      <c r="A2953" s="4" t="s">
        <v>6240</v>
      </c>
      <c r="B2953" s="6" t="s">
        <v>6237</v>
      </c>
      <c r="C2953" s="4" t="s">
        <v>163</v>
      </c>
      <c r="D2953" s="4">
        <v>10</v>
      </c>
      <c r="E2953" s="4" t="s">
        <v>6241</v>
      </c>
      <c r="F2953" s="4" t="s">
        <v>6242</v>
      </c>
    </row>
    <row r="2954" spans="1:6">
      <c r="A2954" s="4" t="s">
        <v>6243</v>
      </c>
      <c r="B2954" s="6" t="s">
        <v>6237</v>
      </c>
      <c r="C2954" s="4" t="s">
        <v>271</v>
      </c>
      <c r="D2954" s="4">
        <v>8</v>
      </c>
      <c r="E2954" s="4" t="s">
        <v>1187</v>
      </c>
    </row>
    <row r="2955" spans="1:6">
      <c r="A2955" s="4" t="s">
        <v>6244</v>
      </c>
      <c r="B2955" s="6" t="s">
        <v>6245</v>
      </c>
      <c r="C2955" s="4" t="s">
        <v>53</v>
      </c>
      <c r="D2955" s="4">
        <v>10</v>
      </c>
      <c r="E2955" s="4" t="s">
        <v>6246</v>
      </c>
      <c r="F2955" s="4" t="s">
        <v>1051</v>
      </c>
    </row>
    <row r="2956" spans="1:6">
      <c r="A2956" s="4" t="s">
        <v>6247</v>
      </c>
      <c r="B2956" s="6" t="s">
        <v>6248</v>
      </c>
      <c r="C2956" s="4" t="s">
        <v>285</v>
      </c>
      <c r="D2956" s="4">
        <v>20</v>
      </c>
      <c r="E2956" s="4" t="s">
        <v>1033</v>
      </c>
    </row>
    <row r="2957" spans="1:6">
      <c r="A2957" s="4" t="s">
        <v>6249</v>
      </c>
      <c r="B2957" s="6" t="s">
        <v>6248</v>
      </c>
      <c r="C2957" s="4" t="s">
        <v>37</v>
      </c>
      <c r="D2957" s="4">
        <v>24</v>
      </c>
      <c r="E2957" s="4" t="s">
        <v>1033</v>
      </c>
    </row>
    <row r="2958" spans="1:6">
      <c r="A2958" s="4" t="s">
        <v>6250</v>
      </c>
      <c r="B2958" s="6" t="s">
        <v>6251</v>
      </c>
      <c r="C2958" s="4" t="s">
        <v>708</v>
      </c>
      <c r="D2958" s="4">
        <v>12</v>
      </c>
      <c r="E2958" s="4" t="s">
        <v>6252</v>
      </c>
    </row>
    <row r="2959" spans="1:6">
      <c r="A2959" s="4" t="s">
        <v>6253</v>
      </c>
      <c r="B2959" s="6" t="s">
        <v>6254</v>
      </c>
      <c r="C2959" s="4" t="s">
        <v>41</v>
      </c>
      <c r="D2959" s="4">
        <v>7</v>
      </c>
      <c r="E2959" s="4" t="s">
        <v>1069</v>
      </c>
      <c r="F2959" s="4" t="s">
        <v>6255</v>
      </c>
    </row>
    <row r="2960" spans="1:6">
      <c r="A2960" s="4" t="s">
        <v>6256</v>
      </c>
      <c r="B2960" s="6" t="s">
        <v>6254</v>
      </c>
      <c r="C2960" s="4" t="s">
        <v>6257</v>
      </c>
      <c r="D2960" s="4">
        <v>8</v>
      </c>
      <c r="E2960" s="4" t="s">
        <v>1069</v>
      </c>
    </row>
    <row r="2961" spans="1:6">
      <c r="A2961" s="4" t="s">
        <v>6258</v>
      </c>
      <c r="B2961" s="6" t="s">
        <v>6259</v>
      </c>
      <c r="C2961" s="4" t="s">
        <v>1726</v>
      </c>
      <c r="D2961" s="4">
        <v>11</v>
      </c>
      <c r="E2961" s="4" t="s">
        <v>6193</v>
      </c>
      <c r="F2961" s="4" t="s">
        <v>1005</v>
      </c>
    </row>
    <row r="2962" spans="1:6">
      <c r="A2962" s="4" t="s">
        <v>6260</v>
      </c>
      <c r="B2962" s="6" t="s">
        <v>6261</v>
      </c>
      <c r="C2962" s="4" t="s">
        <v>34</v>
      </c>
      <c r="D2962" s="4">
        <v>11</v>
      </c>
      <c r="E2962" s="4" t="s">
        <v>983</v>
      </c>
      <c r="F2962" s="4" t="s">
        <v>6262</v>
      </c>
    </row>
    <row r="2963" spans="1:6">
      <c r="A2963" s="4" t="s">
        <v>6263</v>
      </c>
      <c r="B2963" s="6" t="s">
        <v>6264</v>
      </c>
      <c r="C2963" s="4" t="s">
        <v>761</v>
      </c>
      <c r="D2963" s="4">
        <v>11</v>
      </c>
      <c r="E2963" s="4" t="s">
        <v>6184</v>
      </c>
      <c r="F2963" s="4" t="s">
        <v>6265</v>
      </c>
    </row>
    <row r="2964" spans="1:6">
      <c r="A2964" s="4" t="s">
        <v>6266</v>
      </c>
      <c r="B2964" s="6" t="s">
        <v>6267</v>
      </c>
      <c r="C2964" s="4" t="s">
        <v>121</v>
      </c>
      <c r="D2964" s="4">
        <v>8</v>
      </c>
      <c r="E2964" s="4" t="s">
        <v>6193</v>
      </c>
      <c r="F2964" s="4" t="s">
        <v>6268</v>
      </c>
    </row>
    <row r="2965" spans="1:6">
      <c r="A2965" s="4" t="s">
        <v>6269</v>
      </c>
      <c r="B2965" s="6" t="s">
        <v>6270</v>
      </c>
      <c r="C2965" s="4" t="s">
        <v>41</v>
      </c>
      <c r="D2965" s="4">
        <v>5</v>
      </c>
      <c r="E2965" s="4" t="s">
        <v>2237</v>
      </c>
    </row>
    <row r="2966" spans="1:6">
      <c r="A2966" s="4" t="s">
        <v>6271</v>
      </c>
      <c r="B2966" s="6" t="s">
        <v>6272</v>
      </c>
      <c r="C2966" s="4" t="s">
        <v>41</v>
      </c>
      <c r="D2966" s="4">
        <v>20</v>
      </c>
      <c r="E2966" s="4" t="s">
        <v>2237</v>
      </c>
    </row>
    <row r="2967" spans="1:6">
      <c r="A2967" s="4" t="s">
        <v>6273</v>
      </c>
      <c r="B2967" s="6" t="s">
        <v>6272</v>
      </c>
      <c r="C2967" s="4" t="s">
        <v>41</v>
      </c>
      <c r="D2967" s="4">
        <v>25</v>
      </c>
      <c r="E2967" s="4" t="s">
        <v>2237</v>
      </c>
    </row>
    <row r="2968" spans="1:6">
      <c r="A2968" s="4" t="s">
        <v>6274</v>
      </c>
      <c r="B2968" s="6" t="s">
        <v>6275</v>
      </c>
      <c r="C2968" s="4" t="s">
        <v>963</v>
      </c>
      <c r="D2968" s="4">
        <v>5</v>
      </c>
      <c r="E2968" s="4" t="s">
        <v>6276</v>
      </c>
      <c r="F2968" s="4" t="s">
        <v>6277</v>
      </c>
    </row>
    <row r="2969" spans="1:6">
      <c r="A2969" s="4" t="s">
        <v>6278</v>
      </c>
      <c r="B2969" s="6" t="s">
        <v>6279</v>
      </c>
      <c r="C2969" s="4" t="s">
        <v>53</v>
      </c>
      <c r="D2969" s="4">
        <v>10</v>
      </c>
      <c r="E2969" s="4" t="s">
        <v>6280</v>
      </c>
      <c r="F2969" s="4" t="s">
        <v>6281</v>
      </c>
    </row>
    <row r="2970" spans="1:6">
      <c r="A2970" s="4" t="s">
        <v>6282</v>
      </c>
      <c r="B2970" s="6" t="s">
        <v>6279</v>
      </c>
      <c r="C2970" s="4" t="s">
        <v>53</v>
      </c>
      <c r="D2970" s="4">
        <v>12</v>
      </c>
      <c r="E2970" s="4" t="s">
        <v>6283</v>
      </c>
      <c r="F2970" s="4" t="s">
        <v>6284</v>
      </c>
    </row>
    <row r="2971" spans="1:6">
      <c r="A2971" s="4" t="s">
        <v>6285</v>
      </c>
      <c r="B2971" s="6" t="s">
        <v>6286</v>
      </c>
      <c r="C2971" s="4" t="s">
        <v>53</v>
      </c>
      <c r="D2971" s="4">
        <v>12</v>
      </c>
      <c r="E2971" s="4" t="s">
        <v>989</v>
      </c>
      <c r="F2971" s="4" t="s">
        <v>2424</v>
      </c>
    </row>
    <row r="2972" spans="1:6">
      <c r="A2972" s="4" t="s">
        <v>6287</v>
      </c>
      <c r="B2972" s="6" t="s">
        <v>6288</v>
      </c>
      <c r="C2972" s="4" t="s">
        <v>53</v>
      </c>
      <c r="D2972" s="4">
        <v>14</v>
      </c>
      <c r="E2972" s="4" t="s">
        <v>989</v>
      </c>
      <c r="F2972" s="4" t="s">
        <v>4787</v>
      </c>
    </row>
    <row r="2973" spans="1:6">
      <c r="A2973" s="4" t="s">
        <v>6289</v>
      </c>
      <c r="B2973" s="6" t="s">
        <v>6290</v>
      </c>
      <c r="C2973" s="4" t="s">
        <v>92</v>
      </c>
      <c r="D2973" s="4">
        <v>17</v>
      </c>
      <c r="E2973" s="4" t="s">
        <v>989</v>
      </c>
    </row>
    <row r="2974" spans="1:6">
      <c r="A2974" s="4" t="s">
        <v>6291</v>
      </c>
      <c r="B2974" s="6" t="s">
        <v>6292</v>
      </c>
      <c r="C2974" s="4" t="s">
        <v>23</v>
      </c>
      <c r="D2974" s="4">
        <v>5</v>
      </c>
      <c r="E2974" s="4" t="s">
        <v>3930</v>
      </c>
      <c r="F2974" s="4" t="s">
        <v>6293</v>
      </c>
    </row>
    <row r="2975" spans="1:6">
      <c r="A2975" s="4" t="s">
        <v>6294</v>
      </c>
      <c r="B2975" s="6" t="s">
        <v>6295</v>
      </c>
      <c r="C2975" s="4" t="s">
        <v>76</v>
      </c>
      <c r="D2975" s="4">
        <v>12</v>
      </c>
      <c r="E2975" s="4" t="s">
        <v>6193</v>
      </c>
      <c r="F2975" s="4" t="s">
        <v>6296</v>
      </c>
    </row>
    <row r="2976" spans="1:6">
      <c r="A2976" s="4" t="s">
        <v>6297</v>
      </c>
      <c r="B2976" s="6" t="s">
        <v>6295</v>
      </c>
      <c r="C2976" s="4" t="s">
        <v>23</v>
      </c>
      <c r="D2976" s="4">
        <v>14</v>
      </c>
      <c r="E2976" s="4" t="s">
        <v>6298</v>
      </c>
    </row>
    <row r="2977" spans="1:6">
      <c r="A2977" s="4" t="s">
        <v>6299</v>
      </c>
      <c r="B2977" s="6" t="s">
        <v>6300</v>
      </c>
      <c r="C2977" s="4" t="s">
        <v>285</v>
      </c>
      <c r="D2977" s="4">
        <v>7</v>
      </c>
      <c r="E2977" s="4" t="s">
        <v>989</v>
      </c>
      <c r="F2977" s="4" t="s">
        <v>4189</v>
      </c>
    </row>
    <row r="2978" spans="1:6">
      <c r="A2978" s="4" t="s">
        <v>6301</v>
      </c>
      <c r="B2978" s="6" t="s">
        <v>6302</v>
      </c>
      <c r="C2978" s="4" t="s">
        <v>81</v>
      </c>
      <c r="D2978" s="4">
        <v>13</v>
      </c>
      <c r="E2978" s="4" t="s">
        <v>1004</v>
      </c>
      <c r="F2978" s="4" t="s">
        <v>6303</v>
      </c>
    </row>
    <row r="2979" spans="1:6">
      <c r="A2979" s="4" t="s">
        <v>6304</v>
      </c>
      <c r="B2979" s="6" t="s">
        <v>6305</v>
      </c>
      <c r="C2979" s="4" t="s">
        <v>403</v>
      </c>
      <c r="D2979" s="4">
        <v>11</v>
      </c>
      <c r="F2979" s="4" t="s">
        <v>6306</v>
      </c>
    </row>
    <row r="2980" spans="1:6">
      <c r="A2980" s="4" t="s">
        <v>1655</v>
      </c>
      <c r="B2980" s="6" t="s">
        <v>6307</v>
      </c>
      <c r="C2980" s="4" t="s">
        <v>1655</v>
      </c>
      <c r="D2980" s="4">
        <v>6</v>
      </c>
      <c r="E2980" s="4" t="s">
        <v>1283</v>
      </c>
      <c r="F2980" s="4" t="s">
        <v>6308</v>
      </c>
    </row>
    <row r="2981" spans="1:6">
      <c r="A2981" s="4" t="s">
        <v>6309</v>
      </c>
      <c r="B2981" s="6" t="s">
        <v>6307</v>
      </c>
      <c r="C2981" s="4" t="s">
        <v>705</v>
      </c>
      <c r="D2981" s="4">
        <v>9</v>
      </c>
      <c r="E2981" s="4" t="s">
        <v>679</v>
      </c>
      <c r="F2981" s="4" t="s">
        <v>1085</v>
      </c>
    </row>
    <row r="2982" spans="1:6">
      <c r="A2982" s="4" t="s">
        <v>6310</v>
      </c>
      <c r="B2982" s="6" t="s">
        <v>6307</v>
      </c>
      <c r="C2982" s="4" t="s">
        <v>414</v>
      </c>
      <c r="D2982" s="4">
        <v>11</v>
      </c>
      <c r="E2982" s="4" t="s">
        <v>679</v>
      </c>
      <c r="F2982" s="4" t="s">
        <v>1085</v>
      </c>
    </row>
    <row r="2983" spans="1:6">
      <c r="A2983" s="4" t="s">
        <v>6311</v>
      </c>
      <c r="B2983" s="6" t="s">
        <v>6307</v>
      </c>
      <c r="C2983" s="4" t="s">
        <v>23</v>
      </c>
      <c r="D2983" s="4">
        <v>13</v>
      </c>
      <c r="E2983" s="4" t="s">
        <v>1208</v>
      </c>
    </row>
    <row r="2984" spans="1:6">
      <c r="A2984" s="4" t="s">
        <v>6312</v>
      </c>
      <c r="B2984" s="6" t="s">
        <v>6313</v>
      </c>
      <c r="C2984" s="4" t="s">
        <v>427</v>
      </c>
      <c r="D2984" s="4">
        <v>8</v>
      </c>
      <c r="E2984" s="4" t="s">
        <v>3930</v>
      </c>
      <c r="F2984" s="4" t="s">
        <v>6314</v>
      </c>
    </row>
    <row r="2985" spans="1:6">
      <c r="A2985" s="4" t="s">
        <v>6315</v>
      </c>
      <c r="B2985" s="6" t="s">
        <v>6313</v>
      </c>
      <c r="C2985" s="4" t="s">
        <v>427</v>
      </c>
      <c r="D2985" s="4">
        <v>15</v>
      </c>
      <c r="E2985" s="4" t="s">
        <v>3930</v>
      </c>
      <c r="F2985" s="4" t="s">
        <v>6314</v>
      </c>
    </row>
    <row r="2986" spans="1:6">
      <c r="A2986" s="4" t="s">
        <v>6316</v>
      </c>
      <c r="B2986" s="6" t="s">
        <v>6317</v>
      </c>
      <c r="C2986" s="4" t="s">
        <v>76</v>
      </c>
      <c r="D2986" s="4">
        <v>13</v>
      </c>
      <c r="E2986" s="4" t="s">
        <v>1137</v>
      </c>
      <c r="F2986" s="4" t="s">
        <v>6318</v>
      </c>
    </row>
    <row r="2987" spans="1:6">
      <c r="A2987" s="4" t="s">
        <v>6319</v>
      </c>
      <c r="B2987" s="6" t="s">
        <v>6317</v>
      </c>
      <c r="C2987" s="4" t="s">
        <v>76</v>
      </c>
      <c r="D2987" s="4">
        <v>19</v>
      </c>
      <c r="E2987" s="4" t="s">
        <v>1137</v>
      </c>
    </row>
    <row r="2988" spans="1:6">
      <c r="A2988" s="4" t="s">
        <v>6320</v>
      </c>
      <c r="B2988" s="6" t="s">
        <v>6317</v>
      </c>
      <c r="C2988" s="4" t="s">
        <v>3168</v>
      </c>
      <c r="D2988" s="4">
        <v>21</v>
      </c>
      <c r="E2988" s="4" t="s">
        <v>1137</v>
      </c>
    </row>
    <row r="2989" spans="1:6">
      <c r="A2989" s="4" t="s">
        <v>6321</v>
      </c>
      <c r="B2989" s="6" t="s">
        <v>6317</v>
      </c>
      <c r="C2989" s="4" t="s">
        <v>23</v>
      </c>
      <c r="D2989" s="4">
        <v>13</v>
      </c>
      <c r="E2989" s="4" t="s">
        <v>1047</v>
      </c>
    </row>
    <row r="2990" spans="1:6">
      <c r="A2990" s="4" t="s">
        <v>6322</v>
      </c>
      <c r="B2990" s="6" t="s">
        <v>6323</v>
      </c>
      <c r="C2990" s="4" t="s">
        <v>351</v>
      </c>
      <c r="D2990" s="4">
        <v>11</v>
      </c>
      <c r="E2990" s="4" t="s">
        <v>1047</v>
      </c>
    </row>
    <row r="2991" spans="1:6">
      <c r="A2991" s="4" t="s">
        <v>6324</v>
      </c>
      <c r="B2991" s="6" t="s">
        <v>6325</v>
      </c>
      <c r="C2991" s="4" t="s">
        <v>1431</v>
      </c>
      <c r="D2991" s="4">
        <v>12</v>
      </c>
      <c r="E2991" s="4" t="s">
        <v>2161</v>
      </c>
      <c r="F2991" s="4" t="s">
        <v>6326</v>
      </c>
    </row>
    <row r="2992" spans="1:6">
      <c r="A2992" s="4" t="s">
        <v>6327</v>
      </c>
      <c r="B2992" s="6" t="s">
        <v>6328</v>
      </c>
      <c r="C2992" s="4" t="s">
        <v>2111</v>
      </c>
      <c r="D2992" s="4">
        <v>9</v>
      </c>
      <c r="E2992" s="4" t="s">
        <v>1043</v>
      </c>
    </row>
    <row r="2993" spans="1:6">
      <c r="A2993" s="4" t="s">
        <v>761</v>
      </c>
      <c r="B2993" s="6" t="s">
        <v>6328</v>
      </c>
      <c r="C2993" s="4" t="s">
        <v>761</v>
      </c>
      <c r="D2993" s="4">
        <v>5</v>
      </c>
      <c r="E2993" s="4" t="s">
        <v>1114</v>
      </c>
      <c r="F2993" s="4" t="s">
        <v>6329</v>
      </c>
    </row>
    <row r="2994" spans="1:6">
      <c r="A2994" s="4" t="s">
        <v>6330</v>
      </c>
      <c r="B2994" s="6" t="s">
        <v>6331</v>
      </c>
      <c r="C2994" s="4" t="s">
        <v>1679</v>
      </c>
      <c r="D2994" s="4">
        <v>10</v>
      </c>
      <c r="E2994" s="4" t="s">
        <v>1047</v>
      </c>
    </row>
    <row r="2995" spans="1:6">
      <c r="A2995" s="4" t="s">
        <v>6332</v>
      </c>
      <c r="B2995" s="6" t="s">
        <v>6331</v>
      </c>
      <c r="C2995" s="4" t="s">
        <v>41</v>
      </c>
      <c r="D2995" s="4">
        <v>12</v>
      </c>
      <c r="E2995" s="4" t="s">
        <v>1047</v>
      </c>
      <c r="F2995" s="4" t="s">
        <v>6333</v>
      </c>
    </row>
    <row r="2996" spans="1:6">
      <c r="A2996" s="4" t="s">
        <v>6334</v>
      </c>
      <c r="B2996" s="6" t="s">
        <v>6335</v>
      </c>
      <c r="C2996" s="4" t="s">
        <v>81</v>
      </c>
      <c r="D2996" s="4">
        <v>10</v>
      </c>
      <c r="E2996" s="4" t="s">
        <v>1137</v>
      </c>
      <c r="F2996" s="4" t="s">
        <v>6336</v>
      </c>
    </row>
    <row r="2997" spans="1:6">
      <c r="A2997" s="4" t="s">
        <v>6337</v>
      </c>
      <c r="B2997" s="6" t="s">
        <v>6338</v>
      </c>
      <c r="C2997" s="4" t="s">
        <v>254</v>
      </c>
      <c r="D2997" s="4">
        <v>5</v>
      </c>
      <c r="E2997" s="4" t="s">
        <v>1047</v>
      </c>
      <c r="F2997" s="4" t="s">
        <v>6339</v>
      </c>
    </row>
    <row r="2998" spans="1:6">
      <c r="A2998" s="4" t="s">
        <v>2506</v>
      </c>
      <c r="B2998" s="6" t="s">
        <v>6338</v>
      </c>
      <c r="C2998" s="4" t="s">
        <v>2506</v>
      </c>
      <c r="D2998" s="4">
        <v>3</v>
      </c>
      <c r="E2998" s="4" t="s">
        <v>1047</v>
      </c>
    </row>
    <row r="2999" spans="1:6">
      <c r="A2999" s="4" t="s">
        <v>6340</v>
      </c>
      <c r="B2999" s="6" t="s">
        <v>6338</v>
      </c>
      <c r="C2999" s="4" t="s">
        <v>254</v>
      </c>
      <c r="D2999" s="4">
        <v>9</v>
      </c>
      <c r="E2999" s="4" t="s">
        <v>6341</v>
      </c>
    </row>
    <row r="3000" spans="1:6">
      <c r="A3000" s="4" t="s">
        <v>6342</v>
      </c>
      <c r="B3000" s="6" t="s">
        <v>6343</v>
      </c>
      <c r="C3000" s="4" t="s">
        <v>49</v>
      </c>
      <c r="D3000" s="4">
        <v>13</v>
      </c>
      <c r="E3000" s="4" t="s">
        <v>2769</v>
      </c>
      <c r="F3000" s="4" t="s">
        <v>6344</v>
      </c>
    </row>
    <row r="3001" spans="1:6">
      <c r="A3001" s="4" t="s">
        <v>6345</v>
      </c>
      <c r="B3001" s="6" t="s">
        <v>6346</v>
      </c>
      <c r="C3001" s="4" t="s">
        <v>403</v>
      </c>
      <c r="D3001" s="4">
        <v>17</v>
      </c>
      <c r="E3001" s="4" t="s">
        <v>6184</v>
      </c>
    </row>
    <row r="3002" spans="1:6">
      <c r="A3002" s="4" t="s">
        <v>6347</v>
      </c>
      <c r="B3002" s="6" t="s">
        <v>6348</v>
      </c>
      <c r="C3002" s="4" t="s">
        <v>34</v>
      </c>
      <c r="D3002" s="4">
        <v>15</v>
      </c>
      <c r="E3002" s="4" t="s">
        <v>6181</v>
      </c>
      <c r="F3002" s="4" t="s">
        <v>6349</v>
      </c>
    </row>
    <row r="3003" spans="1:6">
      <c r="A3003" s="4" t="s">
        <v>6350</v>
      </c>
      <c r="B3003" s="6" t="s">
        <v>6351</v>
      </c>
      <c r="C3003" s="4" t="s">
        <v>81</v>
      </c>
      <c r="D3003" s="4">
        <v>7</v>
      </c>
      <c r="E3003" s="4" t="s">
        <v>6193</v>
      </c>
      <c r="F3003" s="4" t="s">
        <v>6352</v>
      </c>
    </row>
    <row r="3004" spans="1:6">
      <c r="A3004" s="4" t="s">
        <v>6353</v>
      </c>
      <c r="B3004" s="6" t="s">
        <v>6351</v>
      </c>
      <c r="C3004" s="4" t="s">
        <v>1756</v>
      </c>
      <c r="D3004" s="4">
        <v>4</v>
      </c>
      <c r="E3004" s="4" t="s">
        <v>6193</v>
      </c>
      <c r="F3004" s="4" t="s">
        <v>6354</v>
      </c>
    </row>
    <row r="3005" spans="1:6">
      <c r="A3005" s="4" t="s">
        <v>6355</v>
      </c>
      <c r="B3005" s="6" t="s">
        <v>6351</v>
      </c>
      <c r="C3005" s="4" t="s">
        <v>1106</v>
      </c>
      <c r="D3005" s="4">
        <v>18</v>
      </c>
      <c r="E3005" s="4" t="s">
        <v>6193</v>
      </c>
      <c r="F3005" s="4" t="s">
        <v>6354</v>
      </c>
    </row>
    <row r="3006" spans="1:6">
      <c r="A3006" s="4" t="s">
        <v>6356</v>
      </c>
      <c r="B3006" s="6" t="s">
        <v>6357</v>
      </c>
      <c r="C3006" s="4" t="s">
        <v>53</v>
      </c>
      <c r="D3006" s="4">
        <v>14</v>
      </c>
      <c r="E3006" s="4" t="s">
        <v>6208</v>
      </c>
    </row>
    <row r="3007" spans="1:6">
      <c r="A3007" s="4" t="s">
        <v>6358</v>
      </c>
      <c r="B3007" s="6" t="s">
        <v>6359</v>
      </c>
      <c r="C3007" s="4" t="s">
        <v>590</v>
      </c>
      <c r="D3007" s="4">
        <v>15</v>
      </c>
      <c r="E3007" s="4" t="s">
        <v>1004</v>
      </c>
      <c r="F3007" s="4" t="s">
        <v>6360</v>
      </c>
    </row>
    <row r="3008" spans="1:6">
      <c r="A3008" s="4" t="s">
        <v>6361</v>
      </c>
      <c r="B3008" s="6" t="s">
        <v>6359</v>
      </c>
      <c r="C3008" s="4" t="s">
        <v>49</v>
      </c>
      <c r="D3008" s="4">
        <v>10</v>
      </c>
      <c r="E3008" s="4" t="s">
        <v>6362</v>
      </c>
    </row>
    <row r="3009" spans="1:6">
      <c r="A3009" s="4" t="s">
        <v>6363</v>
      </c>
      <c r="B3009" s="6" t="s">
        <v>6364</v>
      </c>
      <c r="C3009" s="4" t="s">
        <v>414</v>
      </c>
      <c r="D3009" s="4">
        <v>13</v>
      </c>
      <c r="E3009" s="4" t="s">
        <v>6365</v>
      </c>
      <c r="F3009" s="4" t="s">
        <v>6366</v>
      </c>
    </row>
    <row r="3010" spans="1:6">
      <c r="A3010" s="4" t="s">
        <v>6367</v>
      </c>
      <c r="B3010" s="6" t="s">
        <v>6364</v>
      </c>
      <c r="C3010" s="4" t="s">
        <v>414</v>
      </c>
      <c r="D3010" s="4">
        <v>15</v>
      </c>
      <c r="E3010" s="4" t="s">
        <v>6368</v>
      </c>
    </row>
    <row r="3011" spans="1:6">
      <c r="A3011" s="4" t="s">
        <v>6369</v>
      </c>
      <c r="B3011" s="6" t="s">
        <v>6370</v>
      </c>
      <c r="C3011" s="4" t="s">
        <v>1106</v>
      </c>
      <c r="D3011" s="4">
        <v>18</v>
      </c>
      <c r="E3011" s="4" t="s">
        <v>6368</v>
      </c>
      <c r="F3011" s="4" t="s">
        <v>6371</v>
      </c>
    </row>
    <row r="3012" spans="1:6">
      <c r="A3012" s="4" t="s">
        <v>6372</v>
      </c>
      <c r="B3012" s="6" t="s">
        <v>6373</v>
      </c>
      <c r="C3012" s="4" t="s">
        <v>4987</v>
      </c>
      <c r="D3012" s="4">
        <v>12</v>
      </c>
      <c r="E3012" s="4" t="s">
        <v>1148</v>
      </c>
      <c r="F3012" s="4" t="s">
        <v>6374</v>
      </c>
    </row>
    <row r="3013" spans="1:6">
      <c r="A3013" s="4" t="s">
        <v>6375</v>
      </c>
      <c r="B3013" s="6" t="s">
        <v>6373</v>
      </c>
      <c r="C3013" s="4" t="s">
        <v>271</v>
      </c>
      <c r="D3013" s="4">
        <v>7</v>
      </c>
      <c r="E3013" s="4" t="s">
        <v>6376</v>
      </c>
      <c r="F3013" s="4" t="s">
        <v>6377</v>
      </c>
    </row>
    <row r="3014" spans="1:6">
      <c r="A3014" s="4" t="s">
        <v>6378</v>
      </c>
      <c r="B3014" s="6" t="s">
        <v>6373</v>
      </c>
      <c r="C3014" s="4" t="s">
        <v>53</v>
      </c>
      <c r="D3014" s="4">
        <v>11</v>
      </c>
      <c r="E3014" s="4" t="s">
        <v>1148</v>
      </c>
      <c r="F3014" s="4" t="s">
        <v>6379</v>
      </c>
    </row>
    <row r="3015" spans="1:6">
      <c r="A3015" s="4" t="s">
        <v>285</v>
      </c>
      <c r="B3015" s="6" t="s">
        <v>6380</v>
      </c>
      <c r="C3015" s="4" t="s">
        <v>285</v>
      </c>
      <c r="D3015" s="4">
        <v>3</v>
      </c>
      <c r="E3015" s="4" t="s">
        <v>6181</v>
      </c>
      <c r="F3015" s="4" t="s">
        <v>6381</v>
      </c>
    </row>
    <row r="3016" spans="1:6">
      <c r="A3016" s="4" t="s">
        <v>6382</v>
      </c>
      <c r="B3016" s="6" t="s">
        <v>6383</v>
      </c>
      <c r="C3016" s="4" t="s">
        <v>485</v>
      </c>
      <c r="D3016" s="4">
        <v>18</v>
      </c>
      <c r="E3016" s="4" t="s">
        <v>1148</v>
      </c>
      <c r="F3016" s="4" t="s">
        <v>6384</v>
      </c>
    </row>
    <row r="3017" spans="1:6">
      <c r="A3017" s="4" t="s">
        <v>6385</v>
      </c>
      <c r="B3017" s="6" t="s">
        <v>6383</v>
      </c>
      <c r="C3017" s="4" t="s">
        <v>538</v>
      </c>
      <c r="D3017" s="4">
        <v>8</v>
      </c>
      <c r="E3017" s="4" t="s">
        <v>1244</v>
      </c>
      <c r="F3017" s="4" t="s">
        <v>6386</v>
      </c>
    </row>
    <row r="3018" spans="1:6">
      <c r="A3018" s="4" t="s">
        <v>6387</v>
      </c>
      <c r="B3018" s="6" t="s">
        <v>6383</v>
      </c>
      <c r="C3018" s="4" t="s">
        <v>53</v>
      </c>
      <c r="D3018" s="4">
        <v>13</v>
      </c>
      <c r="E3018" s="4" t="s">
        <v>1148</v>
      </c>
    </row>
    <row r="3019" spans="1:6">
      <c r="A3019" s="4" t="s">
        <v>6388</v>
      </c>
      <c r="B3019" s="6" t="s">
        <v>6389</v>
      </c>
      <c r="C3019" s="4" t="s">
        <v>976</v>
      </c>
      <c r="D3019" s="4">
        <v>6</v>
      </c>
      <c r="E3019" s="4" t="s">
        <v>5337</v>
      </c>
      <c r="F3019" s="4" t="s">
        <v>6390</v>
      </c>
    </row>
    <row r="3020" spans="1:6">
      <c r="A3020" s="4" t="s">
        <v>6391</v>
      </c>
      <c r="B3020" s="6" t="s">
        <v>6392</v>
      </c>
      <c r="C3020" s="4" t="s">
        <v>520</v>
      </c>
      <c r="D3020" s="4">
        <v>7</v>
      </c>
      <c r="F3020" s="4" t="s">
        <v>6393</v>
      </c>
    </row>
    <row r="3021" spans="1:6">
      <c r="A3021" s="4" t="s">
        <v>6394</v>
      </c>
      <c r="B3021" s="6" t="s">
        <v>6389</v>
      </c>
      <c r="C3021" s="4" t="s">
        <v>81</v>
      </c>
      <c r="D3021" s="4">
        <v>15</v>
      </c>
      <c r="E3021" s="4" t="s">
        <v>6395</v>
      </c>
      <c r="F3021" s="4" t="s">
        <v>858</v>
      </c>
    </row>
    <row r="3022" spans="1:6">
      <c r="A3022" s="4" t="s">
        <v>6396</v>
      </c>
      <c r="B3022" s="6" t="s">
        <v>6397</v>
      </c>
      <c r="C3022" s="4" t="s">
        <v>223</v>
      </c>
      <c r="D3022" s="4">
        <v>10</v>
      </c>
      <c r="E3022" s="4" t="s">
        <v>6398</v>
      </c>
      <c r="F3022" s="4" t="s">
        <v>6399</v>
      </c>
    </row>
    <row r="3023" spans="1:6">
      <c r="A3023" s="4" t="s">
        <v>6400</v>
      </c>
      <c r="B3023" s="6" t="s">
        <v>6397</v>
      </c>
      <c r="C3023" s="4" t="s">
        <v>53</v>
      </c>
      <c r="D3023" s="4">
        <v>14</v>
      </c>
      <c r="E3023" s="4" t="s">
        <v>6398</v>
      </c>
    </row>
    <row r="3024" spans="1:6">
      <c r="A3024" s="4" t="s">
        <v>6401</v>
      </c>
      <c r="B3024" s="6" t="s">
        <v>6402</v>
      </c>
      <c r="C3024" s="4" t="s">
        <v>34</v>
      </c>
      <c r="D3024" s="4">
        <v>11</v>
      </c>
      <c r="E3024" s="4" t="s">
        <v>6403</v>
      </c>
      <c r="F3024" s="4" t="s">
        <v>130</v>
      </c>
    </row>
    <row r="3025" spans="1:6">
      <c r="A3025" s="4" t="s">
        <v>6404</v>
      </c>
      <c r="B3025" s="6" t="s">
        <v>6405</v>
      </c>
      <c r="C3025" s="4" t="s">
        <v>23</v>
      </c>
      <c r="D3025" s="4">
        <v>12</v>
      </c>
      <c r="E3025" s="4" t="s">
        <v>5301</v>
      </c>
      <c r="F3025" s="4" t="s">
        <v>6406</v>
      </c>
    </row>
    <row r="3026" spans="1:6">
      <c r="A3026" s="4" t="s">
        <v>6407</v>
      </c>
      <c r="B3026" s="6" t="s">
        <v>6408</v>
      </c>
      <c r="C3026" s="4" t="s">
        <v>420</v>
      </c>
      <c r="D3026" s="4">
        <v>10</v>
      </c>
      <c r="E3026" s="4" t="s">
        <v>6409</v>
      </c>
    </row>
    <row r="3027" spans="1:6">
      <c r="A3027" s="4" t="s">
        <v>6410</v>
      </c>
      <c r="B3027" s="6" t="s">
        <v>6408</v>
      </c>
      <c r="C3027" s="4" t="s">
        <v>301</v>
      </c>
      <c r="D3027" s="4">
        <v>17</v>
      </c>
      <c r="E3027" s="4" t="s">
        <v>1205</v>
      </c>
      <c r="F3027" s="4" t="s">
        <v>6411</v>
      </c>
    </row>
    <row r="3028" spans="1:6">
      <c r="A3028" s="4" t="s">
        <v>6412</v>
      </c>
      <c r="B3028" s="6" t="s">
        <v>6408</v>
      </c>
      <c r="C3028" s="4" t="s">
        <v>49</v>
      </c>
      <c r="D3028" s="4">
        <v>13</v>
      </c>
      <c r="E3028" s="4" t="s">
        <v>6409</v>
      </c>
      <c r="F3028" s="4" t="s">
        <v>6413</v>
      </c>
    </row>
    <row r="3029" spans="1:6">
      <c r="A3029" s="4" t="s">
        <v>6414</v>
      </c>
      <c r="B3029" s="6" t="s">
        <v>6408</v>
      </c>
      <c r="C3029" s="4" t="s">
        <v>995</v>
      </c>
      <c r="D3029" s="4">
        <v>24</v>
      </c>
      <c r="E3029" s="4" t="s">
        <v>6415</v>
      </c>
    </row>
    <row r="3030" spans="1:6">
      <c r="A3030" s="4" t="s">
        <v>6416</v>
      </c>
      <c r="B3030" s="6" t="s">
        <v>6417</v>
      </c>
      <c r="C3030" s="4" t="s">
        <v>315</v>
      </c>
      <c r="D3030" s="4">
        <v>14</v>
      </c>
      <c r="E3030" s="4" t="s">
        <v>6418</v>
      </c>
    </row>
    <row r="3031" spans="1:6">
      <c r="A3031" s="4" t="s">
        <v>6419</v>
      </c>
      <c r="B3031" s="6" t="s">
        <v>6420</v>
      </c>
      <c r="C3031" s="4" t="s">
        <v>238</v>
      </c>
      <c r="D3031" s="4">
        <v>9</v>
      </c>
      <c r="E3031" s="4" t="s">
        <v>6398</v>
      </c>
    </row>
    <row r="3032" spans="1:6">
      <c r="A3032" s="4" t="s">
        <v>6421</v>
      </c>
      <c r="B3032" s="6" t="s">
        <v>6422</v>
      </c>
      <c r="C3032" s="4" t="s">
        <v>285</v>
      </c>
      <c r="D3032" s="4">
        <v>11</v>
      </c>
      <c r="E3032" s="4" t="s">
        <v>6423</v>
      </c>
    </row>
    <row r="3033" spans="1:6">
      <c r="A3033" s="4" t="s">
        <v>6424</v>
      </c>
      <c r="B3033" s="6" t="s">
        <v>6425</v>
      </c>
      <c r="C3033" s="4" t="s">
        <v>45</v>
      </c>
      <c r="D3033" s="4">
        <v>19</v>
      </c>
      <c r="E3033" s="4" t="s">
        <v>2161</v>
      </c>
    </row>
    <row r="3034" spans="1:6">
      <c r="A3034" s="4" t="s">
        <v>6426</v>
      </c>
      <c r="B3034" s="6" t="s">
        <v>6427</v>
      </c>
      <c r="C3034" s="4" t="s">
        <v>34</v>
      </c>
      <c r="D3034" s="4">
        <v>12</v>
      </c>
      <c r="E3034" s="4" t="s">
        <v>6428</v>
      </c>
    </row>
    <row r="3035" spans="1:6">
      <c r="A3035" s="4" t="s">
        <v>6429</v>
      </c>
      <c r="B3035" s="6" t="s">
        <v>6430</v>
      </c>
      <c r="C3035" s="4" t="s">
        <v>238</v>
      </c>
      <c r="D3035" s="4">
        <v>10</v>
      </c>
      <c r="E3035" s="4" t="s">
        <v>1047</v>
      </c>
    </row>
    <row r="3036" spans="1:6">
      <c r="A3036" s="4" t="s">
        <v>6431</v>
      </c>
      <c r="B3036" s="6" t="s">
        <v>6430</v>
      </c>
      <c r="C3036" s="4" t="s">
        <v>1248</v>
      </c>
      <c r="D3036" s="4">
        <v>13</v>
      </c>
      <c r="E3036" s="4" t="s">
        <v>1047</v>
      </c>
      <c r="F3036" s="4" t="s">
        <v>5368</v>
      </c>
    </row>
    <row r="3037" spans="1:6">
      <c r="A3037" s="4" t="s">
        <v>6432</v>
      </c>
      <c r="B3037" s="6" t="s">
        <v>6433</v>
      </c>
      <c r="C3037" s="4" t="s">
        <v>63</v>
      </c>
      <c r="D3037" s="4">
        <v>17</v>
      </c>
      <c r="E3037" s="4" t="s">
        <v>6193</v>
      </c>
      <c r="F3037" s="4" t="s">
        <v>6434</v>
      </c>
    </row>
    <row r="3038" spans="1:6">
      <c r="A3038" s="4" t="s">
        <v>6435</v>
      </c>
      <c r="B3038" s="6" t="s">
        <v>6433</v>
      </c>
      <c r="C3038" s="4" t="s">
        <v>14</v>
      </c>
      <c r="D3038" s="4">
        <v>20</v>
      </c>
      <c r="E3038" s="4" t="s">
        <v>6193</v>
      </c>
    </row>
    <row r="3039" spans="1:6">
      <c r="A3039" s="4" t="s">
        <v>6436</v>
      </c>
      <c r="B3039" s="6" t="s">
        <v>6433</v>
      </c>
      <c r="C3039" s="4" t="s">
        <v>41</v>
      </c>
      <c r="D3039" s="4">
        <v>12</v>
      </c>
      <c r="E3039" s="4" t="s">
        <v>6198</v>
      </c>
      <c r="F3039" s="4" t="s">
        <v>6437</v>
      </c>
    </row>
    <row r="3040" spans="1:6">
      <c r="A3040" s="4" t="s">
        <v>6438</v>
      </c>
      <c r="B3040" s="6" t="s">
        <v>6439</v>
      </c>
      <c r="C3040" s="4" t="s">
        <v>104</v>
      </c>
      <c r="D3040" s="4">
        <v>14</v>
      </c>
      <c r="E3040" s="4" t="s">
        <v>2161</v>
      </c>
    </row>
    <row r="3041" spans="1:6">
      <c r="A3041" s="4" t="s">
        <v>6440</v>
      </c>
      <c r="B3041" s="6" t="s">
        <v>6441</v>
      </c>
      <c r="C3041" s="4" t="s">
        <v>104</v>
      </c>
      <c r="D3041" s="4">
        <v>9</v>
      </c>
      <c r="E3041" s="4" t="s">
        <v>6442</v>
      </c>
    </row>
    <row r="3042" spans="1:6">
      <c r="A3042" s="4" t="s">
        <v>6443</v>
      </c>
      <c r="B3042" s="6" t="s">
        <v>6441</v>
      </c>
      <c r="C3042" s="4" t="s">
        <v>414</v>
      </c>
      <c r="D3042" s="4">
        <v>12</v>
      </c>
      <c r="E3042" s="4" t="s">
        <v>1069</v>
      </c>
    </row>
    <row r="3043" spans="1:6">
      <c r="A3043" s="4" t="s">
        <v>6444</v>
      </c>
      <c r="B3043" s="6" t="s">
        <v>6445</v>
      </c>
      <c r="C3043" s="4" t="s">
        <v>34</v>
      </c>
      <c r="D3043" s="4">
        <v>10</v>
      </c>
      <c r="E3043" s="4" t="s">
        <v>6193</v>
      </c>
      <c r="F3043" s="4" t="s">
        <v>6446</v>
      </c>
    </row>
    <row r="3044" spans="1:6">
      <c r="A3044" s="4" t="s">
        <v>6447</v>
      </c>
      <c r="B3044" s="6" t="s">
        <v>6445</v>
      </c>
      <c r="C3044" s="4" t="s">
        <v>34</v>
      </c>
      <c r="D3044" s="4">
        <v>12</v>
      </c>
      <c r="E3044" s="4" t="s">
        <v>6193</v>
      </c>
      <c r="F3044" s="4" t="s">
        <v>6446</v>
      </c>
    </row>
    <row r="3045" spans="1:6">
      <c r="A3045" s="4" t="s">
        <v>6448</v>
      </c>
      <c r="B3045" s="6" t="s">
        <v>6449</v>
      </c>
      <c r="C3045" s="4" t="s">
        <v>195</v>
      </c>
      <c r="D3045" s="4">
        <v>13</v>
      </c>
      <c r="E3045" s="4" t="s">
        <v>1208</v>
      </c>
      <c r="F3045" s="4" t="s">
        <v>6450</v>
      </c>
    </row>
    <row r="3046" spans="1:6">
      <c r="A3046" s="4" t="s">
        <v>6451</v>
      </c>
      <c r="B3046" s="6" t="s">
        <v>6452</v>
      </c>
      <c r="C3046" s="4" t="s">
        <v>315</v>
      </c>
      <c r="D3046" s="4">
        <v>15</v>
      </c>
      <c r="E3046" s="4" t="s">
        <v>6453</v>
      </c>
      <c r="F3046" s="4" t="s">
        <v>6454</v>
      </c>
    </row>
    <row r="3047" spans="1:6">
      <c r="A3047" s="4" t="s">
        <v>6455</v>
      </c>
      <c r="B3047" s="6" t="s">
        <v>6456</v>
      </c>
      <c r="C3047" s="4" t="s">
        <v>23</v>
      </c>
      <c r="D3047" s="4">
        <v>5</v>
      </c>
      <c r="E3047" s="4" t="s">
        <v>1047</v>
      </c>
      <c r="F3047" s="4" t="s">
        <v>6457</v>
      </c>
    </row>
    <row r="3048" spans="1:6">
      <c r="A3048" s="4" t="s">
        <v>6458</v>
      </c>
      <c r="B3048" s="6" t="s">
        <v>6459</v>
      </c>
      <c r="C3048" s="4" t="s">
        <v>254</v>
      </c>
      <c r="D3048" s="4">
        <v>8</v>
      </c>
      <c r="E3048" s="4" t="s">
        <v>1047</v>
      </c>
      <c r="F3048" s="4" t="s">
        <v>6460</v>
      </c>
    </row>
    <row r="3049" spans="1:6">
      <c r="A3049" s="4" t="s">
        <v>6461</v>
      </c>
      <c r="B3049" s="6" t="s">
        <v>6462</v>
      </c>
      <c r="C3049" s="4" t="s">
        <v>448</v>
      </c>
      <c r="D3049" s="4">
        <v>4</v>
      </c>
      <c r="E3049" s="4" t="s">
        <v>1161</v>
      </c>
      <c r="F3049" s="4" t="s">
        <v>5159</v>
      </c>
    </row>
    <row r="3050" spans="1:6">
      <c r="A3050" s="4" t="s">
        <v>6463</v>
      </c>
      <c r="B3050" s="6" t="s">
        <v>6464</v>
      </c>
      <c r="C3050" s="4" t="s">
        <v>1885</v>
      </c>
      <c r="D3050" s="4">
        <v>8</v>
      </c>
      <c r="E3050" s="4" t="s">
        <v>6465</v>
      </c>
      <c r="F3050" s="4" t="s">
        <v>925</v>
      </c>
    </row>
    <row r="3051" spans="1:6">
      <c r="A3051" s="4" t="s">
        <v>6466</v>
      </c>
      <c r="B3051" s="6" t="s">
        <v>6467</v>
      </c>
      <c r="C3051" s="4" t="s">
        <v>74</v>
      </c>
      <c r="D3051" s="4">
        <v>8</v>
      </c>
      <c r="E3051" s="4" t="s">
        <v>6169</v>
      </c>
      <c r="F3051" s="4" t="s">
        <v>6468</v>
      </c>
    </row>
    <row r="3052" spans="1:6">
      <c r="A3052" s="4" t="s">
        <v>6469</v>
      </c>
      <c r="B3052" s="6" t="s">
        <v>6467</v>
      </c>
      <c r="C3052" s="4" t="s">
        <v>23</v>
      </c>
      <c r="D3052" s="4">
        <v>13</v>
      </c>
      <c r="E3052" s="4" t="s">
        <v>2769</v>
      </c>
    </row>
    <row r="3053" spans="1:6">
      <c r="A3053" s="4" t="s">
        <v>6470</v>
      </c>
      <c r="B3053" s="6" t="s">
        <v>6471</v>
      </c>
      <c r="C3053" s="4" t="s">
        <v>686</v>
      </c>
      <c r="D3053" s="4">
        <v>7</v>
      </c>
      <c r="E3053" s="4" t="s">
        <v>6246</v>
      </c>
      <c r="F3053" s="4" t="s">
        <v>6472</v>
      </c>
    </row>
    <row r="3054" spans="1:6">
      <c r="A3054" s="4" t="s">
        <v>6473</v>
      </c>
      <c r="B3054" s="6" t="s">
        <v>6471</v>
      </c>
      <c r="C3054" s="4" t="s">
        <v>23</v>
      </c>
      <c r="D3054" s="4">
        <v>9</v>
      </c>
      <c r="E3054" s="4" t="s">
        <v>6246</v>
      </c>
      <c r="F3054" s="4" t="s">
        <v>6474</v>
      </c>
    </row>
    <row r="3055" spans="1:6">
      <c r="A3055" s="4" t="s">
        <v>6475</v>
      </c>
      <c r="B3055" s="6" t="s">
        <v>6476</v>
      </c>
      <c r="C3055" s="4" t="s">
        <v>448</v>
      </c>
      <c r="D3055" s="4">
        <v>3</v>
      </c>
      <c r="E3055" s="4" t="s">
        <v>6184</v>
      </c>
      <c r="F3055" s="4" t="s">
        <v>6477</v>
      </c>
    </row>
    <row r="3056" spans="1:6">
      <c r="A3056" s="4" t="s">
        <v>6478</v>
      </c>
      <c r="B3056" s="6" t="s">
        <v>6479</v>
      </c>
      <c r="C3056" s="4" t="s">
        <v>53</v>
      </c>
      <c r="D3056" s="4">
        <v>10</v>
      </c>
      <c r="E3056" s="4" t="s">
        <v>6193</v>
      </c>
      <c r="F3056" s="4" t="s">
        <v>6480</v>
      </c>
    </row>
    <row r="3057" spans="1:6">
      <c r="A3057" s="4" t="s">
        <v>6481</v>
      </c>
      <c r="B3057" s="6" t="s">
        <v>6482</v>
      </c>
      <c r="C3057" s="4" t="s">
        <v>263</v>
      </c>
      <c r="D3057" s="4">
        <v>10</v>
      </c>
      <c r="E3057" s="4" t="s">
        <v>6193</v>
      </c>
      <c r="F3057" s="4" t="s">
        <v>6483</v>
      </c>
    </row>
    <row r="3058" spans="1:6">
      <c r="A3058" s="4" t="s">
        <v>6484</v>
      </c>
      <c r="B3058" s="6" t="s">
        <v>6485</v>
      </c>
      <c r="C3058" s="4" t="s">
        <v>275</v>
      </c>
      <c r="D3058" s="4">
        <v>14</v>
      </c>
      <c r="E3058" s="4" t="s">
        <v>6193</v>
      </c>
      <c r="F3058" s="4" t="s">
        <v>3201</v>
      </c>
    </row>
    <row r="3059" spans="1:6">
      <c r="A3059" s="4" t="s">
        <v>6486</v>
      </c>
      <c r="B3059" s="6" t="s">
        <v>6485</v>
      </c>
      <c r="C3059" s="4" t="s">
        <v>268</v>
      </c>
      <c r="D3059" s="4">
        <v>18</v>
      </c>
      <c r="E3059" s="4" t="s">
        <v>6193</v>
      </c>
      <c r="F3059" s="4" t="s">
        <v>6487</v>
      </c>
    </row>
    <row r="3060" spans="1:6">
      <c r="A3060" s="4" t="s">
        <v>6488</v>
      </c>
      <c r="B3060" s="6" t="s">
        <v>6485</v>
      </c>
      <c r="C3060" s="4" t="s">
        <v>34</v>
      </c>
      <c r="D3060" s="4">
        <v>11</v>
      </c>
      <c r="E3060" s="4" t="s">
        <v>6193</v>
      </c>
      <c r="F3060" s="4" t="s">
        <v>6489</v>
      </c>
    </row>
    <row r="3061" spans="1:6">
      <c r="A3061" s="4" t="s">
        <v>6490</v>
      </c>
      <c r="B3061" s="6" t="s">
        <v>6491</v>
      </c>
      <c r="C3061" s="4" t="s">
        <v>301</v>
      </c>
      <c r="D3061" s="4">
        <v>19</v>
      </c>
      <c r="E3061" s="4" t="s">
        <v>6193</v>
      </c>
      <c r="F3061" s="4" t="s">
        <v>6492</v>
      </c>
    </row>
    <row r="3062" spans="1:6">
      <c r="A3062" s="4" t="s">
        <v>6493</v>
      </c>
      <c r="B3062" s="6" t="s">
        <v>6494</v>
      </c>
      <c r="C3062" s="4" t="s">
        <v>254</v>
      </c>
      <c r="D3062" s="4">
        <v>7</v>
      </c>
      <c r="E3062" s="4" t="s">
        <v>2769</v>
      </c>
      <c r="F3062" s="4" t="s">
        <v>6495</v>
      </c>
    </row>
    <row r="3063" spans="1:6">
      <c r="A3063" s="4" t="s">
        <v>6496</v>
      </c>
      <c r="B3063" s="6" t="s">
        <v>6494</v>
      </c>
      <c r="C3063" s="4" t="s">
        <v>254</v>
      </c>
      <c r="D3063" s="4">
        <v>10</v>
      </c>
      <c r="E3063" s="4" t="s">
        <v>1263</v>
      </c>
      <c r="F3063" s="4" t="s">
        <v>6497</v>
      </c>
    </row>
    <row r="3064" spans="1:6">
      <c r="A3064" s="4" t="s">
        <v>6498</v>
      </c>
      <c r="B3064" s="6" t="s">
        <v>6494</v>
      </c>
      <c r="C3064" s="4" t="s">
        <v>173</v>
      </c>
      <c r="D3064" s="4">
        <v>9</v>
      </c>
      <c r="E3064" s="4" t="s">
        <v>983</v>
      </c>
      <c r="F3064" s="4" t="s">
        <v>6499</v>
      </c>
    </row>
    <row r="3065" spans="1:6">
      <c r="A3065" s="4" t="s">
        <v>6500</v>
      </c>
      <c r="B3065" s="6" t="s">
        <v>6501</v>
      </c>
      <c r="C3065" s="4" t="s">
        <v>254</v>
      </c>
      <c r="D3065" s="4">
        <v>7</v>
      </c>
      <c r="E3065" s="4" t="s">
        <v>6502</v>
      </c>
      <c r="F3065" s="4" t="s">
        <v>6503</v>
      </c>
    </row>
    <row r="3066" spans="1:6">
      <c r="A3066" s="4" t="s">
        <v>6504</v>
      </c>
      <c r="B3066" s="6" t="s">
        <v>6505</v>
      </c>
      <c r="C3066" s="4" t="s">
        <v>917</v>
      </c>
      <c r="D3066" s="4">
        <v>6</v>
      </c>
      <c r="E3066" s="4" t="s">
        <v>6246</v>
      </c>
      <c r="F3066" s="4" t="s">
        <v>6506</v>
      </c>
    </row>
    <row r="3067" spans="1:6">
      <c r="A3067" s="4" t="s">
        <v>6507</v>
      </c>
      <c r="B3067" s="6" t="s">
        <v>6505</v>
      </c>
      <c r="C3067" s="4" t="s">
        <v>453</v>
      </c>
      <c r="D3067" s="4">
        <v>17</v>
      </c>
      <c r="E3067" s="4" t="s">
        <v>6246</v>
      </c>
    </row>
    <row r="3068" spans="1:6">
      <c r="A3068" s="4" t="s">
        <v>6508</v>
      </c>
      <c r="B3068" s="6" t="s">
        <v>6509</v>
      </c>
      <c r="C3068" s="4" t="s">
        <v>453</v>
      </c>
      <c r="D3068" s="4">
        <v>15</v>
      </c>
      <c r="E3068" s="4" t="s">
        <v>6184</v>
      </c>
    </row>
    <row r="3069" spans="1:6">
      <c r="A3069" s="4" t="s">
        <v>6510</v>
      </c>
      <c r="B3069" s="6" t="s">
        <v>6509</v>
      </c>
      <c r="C3069" s="4" t="s">
        <v>414</v>
      </c>
      <c r="D3069" s="4">
        <v>12</v>
      </c>
      <c r="E3069" s="4" t="s">
        <v>6184</v>
      </c>
      <c r="F3069" s="4" t="s">
        <v>6511</v>
      </c>
    </row>
    <row r="3070" spans="1:6">
      <c r="A3070" s="4" t="s">
        <v>6512</v>
      </c>
      <c r="B3070" s="6" t="s">
        <v>6509</v>
      </c>
      <c r="C3070" s="4" t="s">
        <v>34</v>
      </c>
      <c r="D3070" s="4">
        <v>18</v>
      </c>
      <c r="E3070" s="4" t="s">
        <v>6184</v>
      </c>
    </row>
    <row r="3071" spans="1:6">
      <c r="A3071" s="4" t="s">
        <v>6513</v>
      </c>
      <c r="B3071" s="6" t="s">
        <v>6514</v>
      </c>
      <c r="C3071" s="4" t="s">
        <v>49</v>
      </c>
      <c r="D3071" s="4">
        <v>12</v>
      </c>
      <c r="E3071" s="4" t="s">
        <v>6193</v>
      </c>
      <c r="F3071" s="4" t="s">
        <v>491</v>
      </c>
    </row>
    <row r="3072" spans="1:6">
      <c r="A3072" s="4" t="s">
        <v>6515</v>
      </c>
      <c r="B3072" s="6" t="s">
        <v>6514</v>
      </c>
      <c r="C3072" s="4" t="s">
        <v>49</v>
      </c>
      <c r="D3072" s="4">
        <v>15</v>
      </c>
      <c r="E3072" s="4" t="s">
        <v>6516</v>
      </c>
      <c r="F3072" s="4" t="s">
        <v>3632</v>
      </c>
    </row>
    <row r="3073" spans="1:6">
      <c r="A3073" s="4" t="s">
        <v>6517</v>
      </c>
      <c r="B3073" s="6" t="s">
        <v>6518</v>
      </c>
      <c r="C3073" s="4" t="s">
        <v>686</v>
      </c>
      <c r="D3073" s="4">
        <v>17</v>
      </c>
      <c r="E3073" s="4" t="s">
        <v>6193</v>
      </c>
    </row>
    <row r="3074" spans="1:6">
      <c r="A3074" s="4" t="s">
        <v>6519</v>
      </c>
      <c r="B3074" s="6" t="s">
        <v>6518</v>
      </c>
      <c r="C3074" s="4" t="s">
        <v>439</v>
      </c>
      <c r="D3074" s="4">
        <v>20</v>
      </c>
      <c r="E3074" s="4" t="s">
        <v>6193</v>
      </c>
    </row>
    <row r="3075" spans="1:6">
      <c r="A3075" s="4" t="s">
        <v>6520</v>
      </c>
      <c r="B3075" s="6" t="s">
        <v>6518</v>
      </c>
      <c r="C3075" s="4" t="s">
        <v>23</v>
      </c>
      <c r="D3075" s="4">
        <v>16</v>
      </c>
      <c r="E3075" s="4" t="s">
        <v>6193</v>
      </c>
    </row>
    <row r="3076" spans="1:6">
      <c r="A3076" s="4" t="s">
        <v>6521</v>
      </c>
      <c r="B3076" s="6" t="s">
        <v>6522</v>
      </c>
      <c r="C3076" s="4" t="s">
        <v>2818</v>
      </c>
      <c r="D3076" s="4">
        <v>6</v>
      </c>
      <c r="E3076" s="4" t="s">
        <v>6193</v>
      </c>
    </row>
    <row r="3077" spans="1:6">
      <c r="A3077" s="4" t="s">
        <v>6523</v>
      </c>
      <c r="B3077" s="6" t="s">
        <v>6524</v>
      </c>
      <c r="C3077" s="4" t="s">
        <v>34</v>
      </c>
      <c r="D3077" s="4">
        <v>15</v>
      </c>
      <c r="E3077" s="4" t="s">
        <v>6525</v>
      </c>
      <c r="F3077" s="4" t="s">
        <v>257</v>
      </c>
    </row>
    <row r="3078" spans="1:6">
      <c r="A3078" s="4" t="s">
        <v>6526</v>
      </c>
      <c r="B3078" s="6" t="s">
        <v>6527</v>
      </c>
      <c r="C3078" s="4" t="s">
        <v>179</v>
      </c>
      <c r="D3078" s="4">
        <v>8</v>
      </c>
      <c r="E3078" s="4" t="s">
        <v>6528</v>
      </c>
    </row>
    <row r="3079" spans="1:6">
      <c r="A3079" s="4" t="s">
        <v>6529</v>
      </c>
      <c r="B3079" s="6" t="s">
        <v>6527</v>
      </c>
      <c r="C3079" s="4" t="s">
        <v>992</v>
      </c>
      <c r="D3079" s="4">
        <v>11</v>
      </c>
      <c r="E3079" s="4" t="s">
        <v>983</v>
      </c>
      <c r="F3079" s="4" t="s">
        <v>6530</v>
      </c>
    </row>
    <row r="3080" spans="1:6">
      <c r="A3080" s="4" t="s">
        <v>6531</v>
      </c>
      <c r="B3080" s="6" t="s">
        <v>6532</v>
      </c>
      <c r="C3080" s="4" t="s">
        <v>34</v>
      </c>
      <c r="D3080" s="4">
        <v>3</v>
      </c>
      <c r="E3080" s="4" t="s">
        <v>6533</v>
      </c>
    </row>
    <row r="3081" spans="1:6">
      <c r="A3081" s="4" t="s">
        <v>6534</v>
      </c>
      <c r="B3081" s="6" t="s">
        <v>6532</v>
      </c>
      <c r="C3081" s="4" t="s">
        <v>453</v>
      </c>
      <c r="D3081" s="4">
        <v>10</v>
      </c>
      <c r="E3081" s="4" t="s">
        <v>6535</v>
      </c>
    </row>
    <row r="3082" spans="1:6">
      <c r="A3082" s="4" t="s">
        <v>6536</v>
      </c>
      <c r="B3082" s="6" t="s">
        <v>6532</v>
      </c>
      <c r="C3082" s="4" t="s">
        <v>223</v>
      </c>
      <c r="D3082" s="4">
        <v>12</v>
      </c>
      <c r="E3082" s="4" t="s">
        <v>6246</v>
      </c>
      <c r="F3082" s="4" t="s">
        <v>6537</v>
      </c>
    </row>
    <row r="3083" spans="1:6">
      <c r="A3083" s="4" t="s">
        <v>6538</v>
      </c>
      <c r="B3083" s="6" t="s">
        <v>6532</v>
      </c>
      <c r="C3083" s="4" t="s">
        <v>53</v>
      </c>
      <c r="D3083" s="4">
        <v>7</v>
      </c>
      <c r="E3083" s="4" t="s">
        <v>6539</v>
      </c>
    </row>
    <row r="3084" spans="1:6">
      <c r="A3084" s="4" t="s">
        <v>6540</v>
      </c>
      <c r="B3084" s="6" t="s">
        <v>6532</v>
      </c>
      <c r="C3084" s="4" t="s">
        <v>1078</v>
      </c>
      <c r="D3084" s="4">
        <v>14</v>
      </c>
      <c r="E3084" s="4" t="s">
        <v>1187</v>
      </c>
      <c r="F3084" s="4" t="s">
        <v>4055</v>
      </c>
    </row>
    <row r="3085" spans="1:6">
      <c r="A3085" s="4" t="s">
        <v>6541</v>
      </c>
      <c r="B3085" s="6" t="s">
        <v>6542</v>
      </c>
      <c r="C3085" s="4" t="s">
        <v>53</v>
      </c>
      <c r="D3085" s="4">
        <v>10</v>
      </c>
      <c r="E3085" s="4" t="s">
        <v>6246</v>
      </c>
    </row>
    <row r="3086" spans="1:6">
      <c r="A3086" s="4" t="s">
        <v>6543</v>
      </c>
      <c r="B3086" s="6" t="s">
        <v>6544</v>
      </c>
      <c r="C3086" s="4" t="s">
        <v>453</v>
      </c>
      <c r="D3086" s="4">
        <v>11</v>
      </c>
      <c r="E3086" s="4" t="s">
        <v>6535</v>
      </c>
    </row>
    <row r="3087" spans="1:6">
      <c r="A3087" s="4" t="s">
        <v>6545</v>
      </c>
      <c r="B3087" s="6" t="s">
        <v>6546</v>
      </c>
      <c r="C3087" s="4" t="s">
        <v>81</v>
      </c>
      <c r="D3087" s="4">
        <v>14</v>
      </c>
      <c r="E3087" s="4" t="s">
        <v>6547</v>
      </c>
      <c r="F3087" s="4" t="s">
        <v>6548</v>
      </c>
    </row>
    <row r="3088" spans="1:6">
      <c r="A3088" s="4" t="s">
        <v>6549</v>
      </c>
      <c r="B3088" s="6" t="s">
        <v>6546</v>
      </c>
      <c r="C3088" s="4" t="s">
        <v>81</v>
      </c>
      <c r="D3088" s="4">
        <v>15</v>
      </c>
      <c r="E3088" s="4" t="s">
        <v>6547</v>
      </c>
      <c r="F3088" s="4" t="s">
        <v>6548</v>
      </c>
    </row>
    <row r="3089" spans="1:6">
      <c r="A3089" s="4" t="s">
        <v>6550</v>
      </c>
      <c r="B3089" s="6" t="s">
        <v>6546</v>
      </c>
      <c r="C3089" s="4" t="s">
        <v>427</v>
      </c>
      <c r="D3089" s="4">
        <v>24</v>
      </c>
      <c r="E3089" s="4" t="s">
        <v>6184</v>
      </c>
      <c r="F3089" s="4" t="s">
        <v>6551</v>
      </c>
    </row>
    <row r="3090" spans="1:6">
      <c r="A3090" s="4" t="s">
        <v>6552</v>
      </c>
      <c r="B3090" s="6" t="s">
        <v>6553</v>
      </c>
      <c r="C3090" s="4" t="s">
        <v>544</v>
      </c>
      <c r="D3090" s="4">
        <v>10</v>
      </c>
      <c r="E3090" s="4" t="s">
        <v>6554</v>
      </c>
      <c r="F3090" s="4" t="s">
        <v>6555</v>
      </c>
    </row>
    <row r="3091" spans="1:6">
      <c r="A3091" s="4" t="s">
        <v>6556</v>
      </c>
      <c r="B3091" s="6" t="s">
        <v>6553</v>
      </c>
      <c r="C3091" s="4" t="s">
        <v>544</v>
      </c>
      <c r="D3091" s="4">
        <v>12</v>
      </c>
      <c r="E3091" s="4" t="s">
        <v>6554</v>
      </c>
    </row>
    <row r="3092" spans="1:6">
      <c r="A3092" s="4" t="s">
        <v>6557</v>
      </c>
      <c r="B3092" s="6" t="s">
        <v>6558</v>
      </c>
      <c r="C3092" s="4" t="s">
        <v>104</v>
      </c>
      <c r="D3092" s="4">
        <v>11</v>
      </c>
      <c r="E3092" s="4" t="s">
        <v>6193</v>
      </c>
    </row>
    <row r="3093" spans="1:6">
      <c r="A3093" s="4" t="s">
        <v>6559</v>
      </c>
      <c r="B3093" s="6" t="s">
        <v>6558</v>
      </c>
      <c r="C3093" s="4" t="s">
        <v>53</v>
      </c>
      <c r="D3093" s="4">
        <v>15</v>
      </c>
      <c r="E3093" s="4" t="s">
        <v>6193</v>
      </c>
    </row>
    <row r="3094" spans="1:6">
      <c r="A3094" s="4" t="s">
        <v>6560</v>
      </c>
      <c r="B3094" s="6" t="s">
        <v>6561</v>
      </c>
      <c r="C3094" s="4" t="s">
        <v>3484</v>
      </c>
      <c r="D3094" s="4">
        <v>5</v>
      </c>
      <c r="E3094" s="4" t="s">
        <v>983</v>
      </c>
      <c r="F3094" s="4" t="s">
        <v>6562</v>
      </c>
    </row>
    <row r="3095" spans="1:6">
      <c r="A3095" s="4" t="s">
        <v>6563</v>
      </c>
      <c r="B3095" s="6" t="s">
        <v>6561</v>
      </c>
      <c r="C3095" s="4" t="s">
        <v>1323</v>
      </c>
      <c r="D3095" s="4">
        <v>5</v>
      </c>
      <c r="E3095" s="4" t="s">
        <v>2769</v>
      </c>
      <c r="F3095" s="4" t="s">
        <v>6564</v>
      </c>
    </row>
    <row r="3096" spans="1:6">
      <c r="A3096" s="4" t="s">
        <v>6565</v>
      </c>
      <c r="B3096" s="6" t="s">
        <v>6561</v>
      </c>
      <c r="C3096" s="4" t="s">
        <v>3484</v>
      </c>
      <c r="D3096" s="4">
        <v>14</v>
      </c>
      <c r="E3096" s="4" t="s">
        <v>983</v>
      </c>
      <c r="F3096" s="4" t="s">
        <v>6562</v>
      </c>
    </row>
    <row r="3097" spans="1:6">
      <c r="A3097" s="4" t="s">
        <v>6566</v>
      </c>
      <c r="B3097" s="6" t="s">
        <v>6561</v>
      </c>
      <c r="C3097" s="4" t="s">
        <v>45</v>
      </c>
      <c r="D3097" s="4">
        <v>15</v>
      </c>
      <c r="E3097" s="4" t="s">
        <v>983</v>
      </c>
      <c r="F3097" s="4" t="s">
        <v>6562</v>
      </c>
    </row>
    <row r="3098" spans="1:6">
      <c r="A3098" s="4" t="s">
        <v>6567</v>
      </c>
      <c r="B3098" s="6" t="s">
        <v>6568</v>
      </c>
      <c r="C3098" s="4" t="s">
        <v>574</v>
      </c>
      <c r="D3098" s="4">
        <v>13</v>
      </c>
      <c r="E3098" s="4" t="s">
        <v>6246</v>
      </c>
      <c r="F3098" s="4" t="s">
        <v>6569</v>
      </c>
    </row>
    <row r="3099" spans="1:6">
      <c r="A3099" s="4" t="s">
        <v>6570</v>
      </c>
      <c r="B3099" s="6" t="s">
        <v>6571</v>
      </c>
      <c r="C3099" s="4" t="s">
        <v>254</v>
      </c>
      <c r="D3099" s="4">
        <v>12</v>
      </c>
      <c r="E3099" s="4" t="s">
        <v>6184</v>
      </c>
      <c r="F3099" s="4" t="s">
        <v>4361</v>
      </c>
    </row>
    <row r="3100" spans="1:6">
      <c r="A3100" s="4" t="s">
        <v>6572</v>
      </c>
      <c r="B3100" s="6" t="s">
        <v>6571</v>
      </c>
      <c r="C3100" s="4" t="s">
        <v>63</v>
      </c>
      <c r="D3100" s="4">
        <v>20</v>
      </c>
      <c r="E3100" s="4" t="s">
        <v>6181</v>
      </c>
      <c r="F3100" s="4" t="s">
        <v>6573</v>
      </c>
    </row>
    <row r="3101" spans="1:6">
      <c r="A3101" s="4" t="s">
        <v>6574</v>
      </c>
      <c r="B3101" s="6" t="s">
        <v>6575</v>
      </c>
      <c r="C3101" s="4" t="s">
        <v>49</v>
      </c>
      <c r="D3101" s="4">
        <v>19</v>
      </c>
      <c r="E3101" s="4" t="s">
        <v>6193</v>
      </c>
      <c r="F3101" s="4" t="s">
        <v>6576</v>
      </c>
    </row>
    <row r="3102" spans="1:6">
      <c r="A3102" s="4" t="s">
        <v>6577</v>
      </c>
      <c r="B3102" s="6" t="s">
        <v>6575</v>
      </c>
      <c r="C3102" s="4" t="s">
        <v>34</v>
      </c>
      <c r="D3102" s="4">
        <v>11</v>
      </c>
      <c r="E3102" s="4" t="s">
        <v>6193</v>
      </c>
      <c r="F3102" s="4" t="s">
        <v>4419</v>
      </c>
    </row>
    <row r="3103" spans="1:6">
      <c r="A3103" s="4" t="s">
        <v>6578</v>
      </c>
      <c r="B3103" s="6" t="s">
        <v>6575</v>
      </c>
      <c r="C3103" s="4" t="s">
        <v>104</v>
      </c>
      <c r="D3103" s="4">
        <v>6</v>
      </c>
      <c r="E3103" s="4" t="s">
        <v>6193</v>
      </c>
      <c r="F3103" s="4" t="s">
        <v>6579</v>
      </c>
    </row>
    <row r="3104" spans="1:6">
      <c r="A3104" s="4" t="s">
        <v>6580</v>
      </c>
      <c r="B3104" s="6" t="s">
        <v>6575</v>
      </c>
      <c r="C3104" s="4" t="s">
        <v>53</v>
      </c>
      <c r="D3104" s="4">
        <v>12</v>
      </c>
      <c r="E3104" s="4" t="s">
        <v>6193</v>
      </c>
      <c r="F3104" s="4" t="s">
        <v>6581</v>
      </c>
    </row>
    <row r="3105" spans="1:6">
      <c r="A3105" s="4" t="s">
        <v>6582</v>
      </c>
      <c r="B3105" s="6" t="s">
        <v>6575</v>
      </c>
      <c r="C3105" s="4" t="s">
        <v>427</v>
      </c>
      <c r="D3105" s="4">
        <v>10</v>
      </c>
      <c r="E3105" s="4" t="s">
        <v>6193</v>
      </c>
      <c r="F3105" s="4" t="s">
        <v>6583</v>
      </c>
    </row>
    <row r="3106" spans="1:6">
      <c r="A3106" s="4" t="s">
        <v>6584</v>
      </c>
      <c r="B3106" s="6" t="s">
        <v>6575</v>
      </c>
      <c r="C3106" s="4" t="s">
        <v>87</v>
      </c>
      <c r="D3106" s="4">
        <v>14</v>
      </c>
      <c r="E3106" s="4" t="s">
        <v>6193</v>
      </c>
      <c r="F3106" s="4" t="s">
        <v>6585</v>
      </c>
    </row>
    <row r="3107" spans="1:6">
      <c r="A3107" s="4" t="s">
        <v>6586</v>
      </c>
      <c r="B3107" s="6" t="s">
        <v>6587</v>
      </c>
      <c r="C3107" s="4" t="s">
        <v>37</v>
      </c>
      <c r="D3107" s="4">
        <v>17</v>
      </c>
      <c r="E3107" s="4" t="s">
        <v>983</v>
      </c>
      <c r="F3107" s="4" t="s">
        <v>5088</v>
      </c>
    </row>
    <row r="3108" spans="1:6">
      <c r="A3108" s="4" t="s">
        <v>6588</v>
      </c>
      <c r="B3108" s="6" t="s">
        <v>6589</v>
      </c>
      <c r="C3108" s="4" t="s">
        <v>1262</v>
      </c>
      <c r="D3108" s="4">
        <v>12</v>
      </c>
      <c r="E3108" s="4" t="s">
        <v>6208</v>
      </c>
      <c r="F3108" s="4" t="s">
        <v>1005</v>
      </c>
    </row>
    <row r="3109" spans="1:6">
      <c r="A3109" s="4" t="s">
        <v>6590</v>
      </c>
      <c r="B3109" s="6" t="s">
        <v>6589</v>
      </c>
      <c r="C3109" s="4" t="s">
        <v>104</v>
      </c>
      <c r="D3109" s="4">
        <v>9</v>
      </c>
      <c r="E3109" s="4" t="s">
        <v>6208</v>
      </c>
    </row>
    <row r="3110" spans="1:6">
      <c r="A3110" s="4" t="s">
        <v>6591</v>
      </c>
      <c r="B3110" s="6" t="s">
        <v>6589</v>
      </c>
      <c r="C3110" s="4" t="s">
        <v>686</v>
      </c>
      <c r="D3110" s="4">
        <v>9</v>
      </c>
      <c r="E3110" s="4" t="s">
        <v>6592</v>
      </c>
    </row>
    <row r="3111" spans="1:6">
      <c r="A3111" s="4" t="s">
        <v>6593</v>
      </c>
      <c r="B3111" s="6" t="s">
        <v>6594</v>
      </c>
      <c r="C3111" s="4" t="s">
        <v>53</v>
      </c>
      <c r="D3111" s="4">
        <v>9</v>
      </c>
      <c r="E3111" s="4" t="s">
        <v>6208</v>
      </c>
    </row>
    <row r="3112" spans="1:6">
      <c r="A3112" s="4" t="s">
        <v>6595</v>
      </c>
      <c r="B3112" s="6" t="s">
        <v>6596</v>
      </c>
      <c r="C3112" s="4" t="s">
        <v>27</v>
      </c>
      <c r="D3112" s="4">
        <v>6</v>
      </c>
      <c r="E3112" s="4" t="s">
        <v>6535</v>
      </c>
      <c r="F3112" s="4" t="s">
        <v>3338</v>
      </c>
    </row>
    <row r="3113" spans="1:6">
      <c r="A3113" s="4" t="s">
        <v>6597</v>
      </c>
      <c r="B3113" s="6" t="s">
        <v>6598</v>
      </c>
      <c r="C3113" s="4" t="s">
        <v>104</v>
      </c>
      <c r="D3113" s="4">
        <v>15</v>
      </c>
      <c r="E3113" s="4" t="s">
        <v>6554</v>
      </c>
      <c r="F3113" s="4" t="s">
        <v>6599</v>
      </c>
    </row>
    <row r="3114" spans="1:6">
      <c r="A3114" s="4" t="s">
        <v>6600</v>
      </c>
      <c r="B3114" s="6" t="s">
        <v>6601</v>
      </c>
      <c r="C3114" s="4" t="s">
        <v>53</v>
      </c>
      <c r="D3114" s="4">
        <v>15</v>
      </c>
      <c r="E3114" s="4" t="s">
        <v>3535</v>
      </c>
    </row>
    <row r="3115" spans="1:6">
      <c r="A3115" s="4" t="s">
        <v>6602</v>
      </c>
      <c r="B3115" s="6" t="s">
        <v>6603</v>
      </c>
      <c r="C3115" s="4" t="s">
        <v>354</v>
      </c>
      <c r="D3115" s="4">
        <v>19</v>
      </c>
      <c r="E3115" s="4" t="s">
        <v>6516</v>
      </c>
    </row>
    <row r="3116" spans="1:6">
      <c r="A3116" s="4" t="s">
        <v>6604</v>
      </c>
      <c r="B3116" s="6" t="s">
        <v>6603</v>
      </c>
      <c r="C3116" s="4" t="s">
        <v>354</v>
      </c>
      <c r="D3116" s="4">
        <v>22</v>
      </c>
      <c r="E3116" s="4" t="s">
        <v>6516</v>
      </c>
    </row>
    <row r="3117" spans="1:6">
      <c r="A3117" s="4" t="s">
        <v>6605</v>
      </c>
      <c r="B3117" s="6" t="s">
        <v>6606</v>
      </c>
      <c r="C3117" s="4" t="s">
        <v>275</v>
      </c>
      <c r="D3117" s="4">
        <v>10</v>
      </c>
      <c r="E3117" s="4" t="s">
        <v>6516</v>
      </c>
      <c r="F3117" s="4" t="s">
        <v>6503</v>
      </c>
    </row>
    <row r="3118" spans="1:6">
      <c r="A3118" s="4" t="s">
        <v>6607</v>
      </c>
      <c r="B3118" s="6" t="s">
        <v>6608</v>
      </c>
      <c r="C3118" s="4" t="s">
        <v>1106</v>
      </c>
      <c r="D3118" s="4">
        <v>14</v>
      </c>
      <c r="E3118" s="4" t="s">
        <v>6609</v>
      </c>
      <c r="F3118" s="4" t="s">
        <v>6610</v>
      </c>
    </row>
    <row r="3119" spans="1:6">
      <c r="A3119" s="4" t="s">
        <v>6611</v>
      </c>
      <c r="B3119" s="6" t="s">
        <v>6608</v>
      </c>
      <c r="C3119" s="4" t="s">
        <v>23</v>
      </c>
      <c r="D3119" s="4">
        <v>21</v>
      </c>
      <c r="E3119" s="4" t="s">
        <v>6193</v>
      </c>
      <c r="F3119" s="4" t="s">
        <v>6612</v>
      </c>
    </row>
    <row r="3120" spans="1:6">
      <c r="A3120" s="4" t="s">
        <v>6613</v>
      </c>
      <c r="B3120" s="6" t="s">
        <v>6614</v>
      </c>
      <c r="C3120" s="4" t="s">
        <v>263</v>
      </c>
      <c r="D3120" s="4">
        <v>4</v>
      </c>
      <c r="E3120" s="4" t="s">
        <v>6193</v>
      </c>
      <c r="F3120" s="4" t="s">
        <v>6615</v>
      </c>
    </row>
    <row r="3121" spans="1:6">
      <c r="A3121" s="4" t="s">
        <v>6616</v>
      </c>
      <c r="B3121" s="6" t="s">
        <v>6617</v>
      </c>
      <c r="C3121" s="4" t="s">
        <v>34</v>
      </c>
      <c r="D3121" s="4">
        <v>9</v>
      </c>
      <c r="E3121" s="4" t="s">
        <v>4213</v>
      </c>
    </row>
    <row r="3122" spans="1:6">
      <c r="A3122" s="4" t="s">
        <v>81</v>
      </c>
      <c r="B3122" s="6" t="s">
        <v>6618</v>
      </c>
      <c r="C3122" s="4" t="s">
        <v>81</v>
      </c>
      <c r="D3122" s="4">
        <v>4</v>
      </c>
      <c r="E3122" s="4" t="s">
        <v>989</v>
      </c>
      <c r="F3122" s="4" t="s">
        <v>6619</v>
      </c>
    </row>
    <row r="3123" spans="1:6">
      <c r="A3123" s="4" t="s">
        <v>6620</v>
      </c>
      <c r="B3123" s="6" t="s">
        <v>6621</v>
      </c>
      <c r="C3123" s="4" t="s">
        <v>87</v>
      </c>
      <c r="D3123" s="4">
        <v>9</v>
      </c>
      <c r="E3123" s="4" t="s">
        <v>1726</v>
      </c>
    </row>
    <row r="3124" spans="1:6">
      <c r="A3124" s="4" t="s">
        <v>6622</v>
      </c>
      <c r="B3124" s="6" t="s">
        <v>6621</v>
      </c>
      <c r="C3124" s="4" t="s">
        <v>49</v>
      </c>
      <c r="D3124" s="4">
        <v>16</v>
      </c>
      <c r="E3124" s="4" t="s">
        <v>989</v>
      </c>
      <c r="F3124" s="4" t="s">
        <v>6623</v>
      </c>
    </row>
    <row r="3125" spans="1:6">
      <c r="A3125" s="4" t="s">
        <v>554</v>
      </c>
      <c r="B3125" s="6" t="s">
        <v>6621</v>
      </c>
      <c r="C3125" s="4" t="s">
        <v>554</v>
      </c>
      <c r="D3125" s="4">
        <v>7</v>
      </c>
      <c r="E3125" s="4" t="s">
        <v>989</v>
      </c>
      <c r="F3125" s="4" t="s">
        <v>6624</v>
      </c>
    </row>
    <row r="3126" spans="1:6">
      <c r="A3126" s="4" t="s">
        <v>6625</v>
      </c>
      <c r="B3126" s="6" t="s">
        <v>6621</v>
      </c>
      <c r="C3126" s="4" t="s">
        <v>453</v>
      </c>
      <c r="D3126" s="4">
        <v>15</v>
      </c>
      <c r="E3126" s="4" t="s">
        <v>443</v>
      </c>
    </row>
    <row r="3127" spans="1:6">
      <c r="A3127" s="4" t="s">
        <v>6626</v>
      </c>
      <c r="B3127" s="6" t="s">
        <v>6621</v>
      </c>
      <c r="C3127" s="4" t="s">
        <v>876</v>
      </c>
      <c r="D3127" s="4">
        <v>13</v>
      </c>
      <c r="E3127" s="4" t="s">
        <v>989</v>
      </c>
      <c r="F3127" s="4" t="s">
        <v>6627</v>
      </c>
    </row>
    <row r="3128" spans="1:6">
      <c r="A3128" s="4" t="s">
        <v>6628</v>
      </c>
      <c r="B3128" s="6" t="s">
        <v>6621</v>
      </c>
      <c r="C3128" s="4" t="s">
        <v>53</v>
      </c>
      <c r="D3128" s="4">
        <v>18</v>
      </c>
      <c r="E3128" s="4" t="s">
        <v>6629</v>
      </c>
    </row>
    <row r="3129" spans="1:6">
      <c r="A3129" s="4" t="s">
        <v>6630</v>
      </c>
      <c r="B3129" s="6" t="s">
        <v>6621</v>
      </c>
      <c r="C3129" s="4" t="s">
        <v>53</v>
      </c>
      <c r="D3129" s="4">
        <v>11</v>
      </c>
      <c r="E3129" s="4" t="s">
        <v>6629</v>
      </c>
    </row>
    <row r="3130" spans="1:6">
      <c r="A3130" s="4" t="s">
        <v>6631</v>
      </c>
      <c r="B3130" s="6" t="s">
        <v>6632</v>
      </c>
      <c r="C3130" s="4" t="s">
        <v>87</v>
      </c>
      <c r="D3130" s="4">
        <v>10</v>
      </c>
      <c r="E3130" s="4" t="s">
        <v>443</v>
      </c>
      <c r="F3130" s="4" t="s">
        <v>6633</v>
      </c>
    </row>
    <row r="3131" spans="1:6">
      <c r="A3131" s="4" t="s">
        <v>6634</v>
      </c>
      <c r="B3131" s="6" t="s">
        <v>6635</v>
      </c>
      <c r="C3131" s="4" t="s">
        <v>252</v>
      </c>
      <c r="D3131" s="4">
        <v>6</v>
      </c>
      <c r="E3131" s="4" t="s">
        <v>6636</v>
      </c>
      <c r="F3131" s="4" t="s">
        <v>6637</v>
      </c>
    </row>
    <row r="3132" spans="1:6">
      <c r="A3132" s="4" t="s">
        <v>6638</v>
      </c>
      <c r="B3132" s="6" t="s">
        <v>6639</v>
      </c>
      <c r="C3132" s="4" t="s">
        <v>275</v>
      </c>
      <c r="D3132" s="4">
        <v>6</v>
      </c>
      <c r="E3132" s="4" t="s">
        <v>6640</v>
      </c>
    </row>
    <row r="3133" spans="1:6">
      <c r="A3133" s="4" t="s">
        <v>6641</v>
      </c>
      <c r="B3133" s="6" t="s">
        <v>6639</v>
      </c>
      <c r="C3133" s="4" t="s">
        <v>104</v>
      </c>
      <c r="D3133" s="4">
        <v>10</v>
      </c>
      <c r="E3133" s="4" t="s">
        <v>989</v>
      </c>
      <c r="F3133" s="4" t="s">
        <v>6642</v>
      </c>
    </row>
    <row r="3134" spans="1:6">
      <c r="A3134" s="4" t="s">
        <v>6643</v>
      </c>
      <c r="B3134" s="6" t="s">
        <v>6639</v>
      </c>
      <c r="C3134" s="4" t="s">
        <v>34</v>
      </c>
      <c r="D3134" s="4">
        <v>17</v>
      </c>
      <c r="E3134" s="4" t="s">
        <v>443</v>
      </c>
    </row>
    <row r="3135" spans="1:6">
      <c r="A3135" s="4" t="s">
        <v>6644</v>
      </c>
      <c r="B3135" s="6" t="s">
        <v>6639</v>
      </c>
      <c r="C3135" s="4" t="s">
        <v>104</v>
      </c>
      <c r="D3135" s="4">
        <v>10</v>
      </c>
      <c r="E3135" s="4" t="s">
        <v>989</v>
      </c>
    </row>
    <row r="3136" spans="1:6">
      <c r="A3136" s="4" t="s">
        <v>6645</v>
      </c>
      <c r="B3136" s="6" t="s">
        <v>6646</v>
      </c>
      <c r="C3136" s="4" t="s">
        <v>544</v>
      </c>
      <c r="D3136" s="4">
        <v>18</v>
      </c>
      <c r="E3136" s="4" t="s">
        <v>443</v>
      </c>
    </row>
    <row r="3137" spans="1:6">
      <c r="A3137" s="4" t="s">
        <v>6647</v>
      </c>
      <c r="B3137" s="6" t="s">
        <v>6648</v>
      </c>
      <c r="C3137" s="4" t="s">
        <v>87</v>
      </c>
      <c r="D3137" s="4">
        <v>14</v>
      </c>
      <c r="E3137" s="4" t="s">
        <v>3930</v>
      </c>
      <c r="F3137" s="4" t="s">
        <v>6649</v>
      </c>
    </row>
    <row r="3138" spans="1:6">
      <c r="A3138" s="4" t="s">
        <v>6650</v>
      </c>
      <c r="B3138" s="6" t="s">
        <v>6648</v>
      </c>
      <c r="C3138" s="4" t="s">
        <v>81</v>
      </c>
      <c r="D3138" s="4">
        <v>5</v>
      </c>
      <c r="E3138" s="4" t="s">
        <v>465</v>
      </c>
      <c r="F3138" s="4" t="s">
        <v>6651</v>
      </c>
    </row>
    <row r="3139" spans="1:6">
      <c r="A3139" s="4" t="s">
        <v>6652</v>
      </c>
      <c r="B3139" s="6" t="s">
        <v>6648</v>
      </c>
      <c r="C3139" s="4" t="s">
        <v>860</v>
      </c>
      <c r="D3139" s="4">
        <v>15</v>
      </c>
      <c r="E3139" s="4" t="s">
        <v>3930</v>
      </c>
      <c r="F3139" s="4" t="s">
        <v>6653</v>
      </c>
    </row>
    <row r="3140" spans="1:6">
      <c r="A3140" s="4" t="s">
        <v>6654</v>
      </c>
      <c r="B3140" s="6" t="s">
        <v>6648</v>
      </c>
      <c r="C3140" s="4" t="s">
        <v>427</v>
      </c>
      <c r="D3140" s="4">
        <v>17</v>
      </c>
      <c r="E3140" s="4" t="s">
        <v>3930</v>
      </c>
    </row>
    <row r="3141" spans="1:6">
      <c r="A3141" s="4" t="s">
        <v>6655</v>
      </c>
      <c r="B3141" s="6" t="s">
        <v>6656</v>
      </c>
      <c r="C3141" s="4" t="s">
        <v>121</v>
      </c>
      <c r="D3141" s="4">
        <v>9</v>
      </c>
      <c r="E3141" s="4" t="s">
        <v>6193</v>
      </c>
      <c r="F3141" s="4" t="s">
        <v>6657</v>
      </c>
    </row>
    <row r="3142" spans="1:6">
      <c r="A3142" s="4" t="s">
        <v>6658</v>
      </c>
      <c r="B3142" s="6" t="s">
        <v>6659</v>
      </c>
      <c r="C3142" s="4" t="s">
        <v>1180</v>
      </c>
      <c r="D3142" s="4">
        <v>12</v>
      </c>
      <c r="E3142" s="4" t="s">
        <v>1164</v>
      </c>
      <c r="F3142" s="4" t="s">
        <v>6660</v>
      </c>
    </row>
    <row r="3143" spans="1:6">
      <c r="A3143" s="4" t="s">
        <v>6661</v>
      </c>
      <c r="B3143" s="6" t="s">
        <v>6659</v>
      </c>
      <c r="C3143" s="4" t="s">
        <v>49</v>
      </c>
      <c r="D3143" s="4">
        <v>15</v>
      </c>
      <c r="E3143" s="4" t="s">
        <v>5223</v>
      </c>
    </row>
    <row r="3144" spans="1:6">
      <c r="A3144" s="4" t="s">
        <v>6662</v>
      </c>
      <c r="B3144" s="6" t="s">
        <v>6663</v>
      </c>
      <c r="C3144" s="4" t="s">
        <v>221</v>
      </c>
      <c r="D3144" s="4">
        <v>17</v>
      </c>
      <c r="E3144" s="4" t="s">
        <v>443</v>
      </c>
      <c r="F3144" s="4" t="s">
        <v>6664</v>
      </c>
    </row>
    <row r="3145" spans="1:6">
      <c r="A3145" s="4" t="s">
        <v>6665</v>
      </c>
      <c r="B3145" s="6" t="s">
        <v>6663</v>
      </c>
      <c r="C3145" s="4" t="s">
        <v>458</v>
      </c>
      <c r="D3145" s="4">
        <v>10</v>
      </c>
      <c r="E3145" s="4" t="s">
        <v>989</v>
      </c>
      <c r="F3145" s="4" t="s">
        <v>1391</v>
      </c>
    </row>
    <row r="3146" spans="1:6">
      <c r="A3146" s="4" t="s">
        <v>6666</v>
      </c>
      <c r="B3146" s="6" t="s">
        <v>6663</v>
      </c>
      <c r="C3146" s="4" t="s">
        <v>221</v>
      </c>
      <c r="D3146" s="4">
        <v>24</v>
      </c>
      <c r="E3146" s="4" t="s">
        <v>443</v>
      </c>
      <c r="F3146" s="4" t="s">
        <v>6667</v>
      </c>
    </row>
    <row r="3147" spans="1:6">
      <c r="A3147" s="4" t="s">
        <v>6668</v>
      </c>
      <c r="B3147" s="6" t="s">
        <v>6663</v>
      </c>
      <c r="C3147" s="4" t="s">
        <v>87</v>
      </c>
      <c r="D3147" s="4">
        <v>19</v>
      </c>
      <c r="E3147" s="4" t="s">
        <v>443</v>
      </c>
    </row>
    <row r="3148" spans="1:6">
      <c r="A3148" s="4" t="s">
        <v>6669</v>
      </c>
      <c r="B3148" s="6" t="s">
        <v>6663</v>
      </c>
      <c r="C3148" s="4" t="s">
        <v>14</v>
      </c>
      <c r="D3148" s="4">
        <v>17</v>
      </c>
      <c r="E3148" s="4" t="s">
        <v>443</v>
      </c>
    </row>
    <row r="3149" spans="1:6">
      <c r="A3149" s="4" t="s">
        <v>6670</v>
      </c>
      <c r="B3149" s="6" t="s">
        <v>6671</v>
      </c>
      <c r="C3149" s="4" t="s">
        <v>605</v>
      </c>
      <c r="D3149" s="4">
        <v>14</v>
      </c>
      <c r="E3149" s="4" t="s">
        <v>6193</v>
      </c>
    </row>
    <row r="3150" spans="1:6">
      <c r="A3150" s="4" t="s">
        <v>6672</v>
      </c>
      <c r="B3150" s="6" t="s">
        <v>6673</v>
      </c>
      <c r="C3150" s="4" t="s">
        <v>87</v>
      </c>
      <c r="D3150" s="4">
        <v>10</v>
      </c>
      <c r="E3150" s="4" t="s">
        <v>989</v>
      </c>
      <c r="F3150" s="4" t="s">
        <v>6674</v>
      </c>
    </row>
    <row r="3151" spans="1:6">
      <c r="A3151" s="4" t="s">
        <v>6675</v>
      </c>
      <c r="B3151" s="6" t="s">
        <v>6673</v>
      </c>
      <c r="C3151" s="4" t="s">
        <v>45</v>
      </c>
      <c r="D3151" s="4">
        <v>13</v>
      </c>
      <c r="E3151" s="4" t="s">
        <v>989</v>
      </c>
      <c r="F3151" s="4" t="s">
        <v>4306</v>
      </c>
    </row>
    <row r="3152" spans="1:6">
      <c r="A3152" s="4" t="s">
        <v>6676</v>
      </c>
      <c r="B3152" s="6" t="s">
        <v>6673</v>
      </c>
      <c r="C3152" s="4" t="s">
        <v>45</v>
      </c>
      <c r="D3152" s="4">
        <v>14</v>
      </c>
      <c r="E3152" s="4" t="s">
        <v>989</v>
      </c>
      <c r="F3152" s="4" t="s">
        <v>4306</v>
      </c>
    </row>
    <row r="3153" spans="1:6">
      <c r="A3153" s="4" t="s">
        <v>1431</v>
      </c>
      <c r="B3153" s="6" t="s">
        <v>6677</v>
      </c>
      <c r="C3153" s="4" t="s">
        <v>1431</v>
      </c>
      <c r="D3153" s="4">
        <v>7</v>
      </c>
      <c r="E3153" s="4" t="s">
        <v>6193</v>
      </c>
      <c r="F3153" s="4" t="s">
        <v>6678</v>
      </c>
    </row>
    <row r="3154" spans="1:6">
      <c r="A3154" s="4" t="s">
        <v>6679</v>
      </c>
      <c r="B3154" s="6" t="s">
        <v>6677</v>
      </c>
      <c r="C3154" s="4" t="s">
        <v>49</v>
      </c>
      <c r="D3154" s="4">
        <v>16</v>
      </c>
      <c r="E3154" s="4" t="s">
        <v>6193</v>
      </c>
      <c r="F3154" s="4" t="s">
        <v>6680</v>
      </c>
    </row>
    <row r="3155" spans="1:6">
      <c r="A3155" s="4" t="s">
        <v>6681</v>
      </c>
      <c r="B3155" s="6" t="s">
        <v>6677</v>
      </c>
      <c r="C3155" s="4" t="s">
        <v>1756</v>
      </c>
      <c r="D3155" s="4">
        <v>10</v>
      </c>
      <c r="E3155" s="4" t="s">
        <v>6682</v>
      </c>
    </row>
    <row r="3156" spans="1:6">
      <c r="A3156" s="4" t="s">
        <v>6683</v>
      </c>
      <c r="B3156" s="6" t="s">
        <v>6677</v>
      </c>
      <c r="C3156" s="4" t="s">
        <v>23</v>
      </c>
      <c r="D3156" s="4">
        <v>14</v>
      </c>
      <c r="E3156" s="4" t="s">
        <v>6193</v>
      </c>
    </row>
    <row r="3157" spans="1:6">
      <c r="A3157" s="4" t="s">
        <v>6684</v>
      </c>
      <c r="B3157" s="6" t="s">
        <v>6677</v>
      </c>
      <c r="C3157" s="4" t="s">
        <v>14</v>
      </c>
      <c r="D3157" s="4">
        <v>13</v>
      </c>
      <c r="E3157" s="4" t="s">
        <v>6193</v>
      </c>
      <c r="F3157" s="4" t="s">
        <v>6685</v>
      </c>
    </row>
    <row r="3158" spans="1:6">
      <c r="A3158" s="4" t="s">
        <v>6686</v>
      </c>
      <c r="B3158" s="6" t="s">
        <v>6687</v>
      </c>
      <c r="C3158" s="4" t="s">
        <v>87</v>
      </c>
      <c r="D3158" s="4">
        <v>9</v>
      </c>
      <c r="E3158" s="4" t="s">
        <v>1064</v>
      </c>
      <c r="F3158" s="4" t="s">
        <v>6688</v>
      </c>
    </row>
    <row r="3159" spans="1:6">
      <c r="A3159" s="4" t="s">
        <v>6689</v>
      </c>
      <c r="B3159" s="6" t="s">
        <v>6687</v>
      </c>
      <c r="C3159" s="4" t="s">
        <v>104</v>
      </c>
      <c r="D3159" s="4">
        <v>10</v>
      </c>
      <c r="E3159" s="4" t="s">
        <v>6690</v>
      </c>
      <c r="F3159" s="4" t="s">
        <v>693</v>
      </c>
    </row>
    <row r="3160" spans="1:6">
      <c r="A3160" s="4" t="s">
        <v>6691</v>
      </c>
      <c r="B3160" s="6" t="s">
        <v>6687</v>
      </c>
      <c r="C3160" s="4" t="s">
        <v>87</v>
      </c>
      <c r="D3160" s="4">
        <v>9</v>
      </c>
      <c r="E3160" s="4" t="s">
        <v>983</v>
      </c>
    </row>
    <row r="3161" spans="1:6">
      <c r="A3161" s="4" t="s">
        <v>6692</v>
      </c>
      <c r="B3161" s="6" t="s">
        <v>6693</v>
      </c>
      <c r="C3161" s="4" t="s">
        <v>2111</v>
      </c>
      <c r="D3161" s="4">
        <v>6</v>
      </c>
      <c r="E3161" s="4" t="s">
        <v>443</v>
      </c>
      <c r="F3161" s="4" t="s">
        <v>6694</v>
      </c>
    </row>
    <row r="3162" spans="1:6">
      <c r="A3162" s="4" t="s">
        <v>6695</v>
      </c>
      <c r="B3162" s="6" t="s">
        <v>6696</v>
      </c>
      <c r="C3162" s="4" t="s">
        <v>605</v>
      </c>
      <c r="D3162" s="4">
        <v>6</v>
      </c>
      <c r="E3162" s="4" t="s">
        <v>5223</v>
      </c>
      <c r="F3162" s="4" t="s">
        <v>6697</v>
      </c>
    </row>
    <row r="3163" spans="1:6">
      <c r="A3163" s="4" t="s">
        <v>6698</v>
      </c>
      <c r="B3163" s="6" t="s">
        <v>6696</v>
      </c>
      <c r="C3163" s="4" t="s">
        <v>254</v>
      </c>
      <c r="D3163" s="4">
        <v>16</v>
      </c>
      <c r="E3163" s="4" t="s">
        <v>5223</v>
      </c>
      <c r="F3163" s="4" t="s">
        <v>6699</v>
      </c>
    </row>
    <row r="3164" spans="1:6">
      <c r="A3164" s="4" t="s">
        <v>6700</v>
      </c>
      <c r="B3164" s="6" t="s">
        <v>6696</v>
      </c>
      <c r="C3164" s="4" t="s">
        <v>254</v>
      </c>
      <c r="D3164" s="4">
        <v>8</v>
      </c>
      <c r="E3164" s="4" t="s">
        <v>5223</v>
      </c>
    </row>
    <row r="3165" spans="1:6">
      <c r="A3165" s="4" t="s">
        <v>6701</v>
      </c>
      <c r="B3165" s="6" t="s">
        <v>6702</v>
      </c>
      <c r="C3165" s="4" t="s">
        <v>1679</v>
      </c>
      <c r="D3165" s="4">
        <v>11</v>
      </c>
      <c r="E3165" s="4" t="s">
        <v>1004</v>
      </c>
      <c r="F3165" s="4" t="s">
        <v>5854</v>
      </c>
    </row>
    <row r="3166" spans="1:6">
      <c r="A3166" s="4" t="s">
        <v>6703</v>
      </c>
      <c r="B3166" s="6" t="s">
        <v>6702</v>
      </c>
      <c r="C3166" s="4" t="s">
        <v>1106</v>
      </c>
      <c r="D3166" s="4">
        <v>12</v>
      </c>
      <c r="E3166" s="4" t="s">
        <v>1004</v>
      </c>
      <c r="F3166" s="4" t="s">
        <v>6704</v>
      </c>
    </row>
    <row r="3167" spans="1:6">
      <c r="A3167" s="4" t="s">
        <v>6705</v>
      </c>
      <c r="B3167" s="6" t="s">
        <v>6702</v>
      </c>
      <c r="C3167" s="4" t="s">
        <v>223</v>
      </c>
      <c r="D3167" s="4">
        <v>22</v>
      </c>
      <c r="E3167" s="4" t="s">
        <v>1004</v>
      </c>
      <c r="F3167" s="4" t="s">
        <v>6706</v>
      </c>
    </row>
    <row r="3168" spans="1:6">
      <c r="A3168" s="4" t="s">
        <v>6707</v>
      </c>
      <c r="B3168" s="6" t="s">
        <v>6702</v>
      </c>
      <c r="C3168" s="4" t="s">
        <v>49</v>
      </c>
      <c r="D3168" s="4">
        <v>12</v>
      </c>
      <c r="E3168" s="4" t="s">
        <v>1004</v>
      </c>
      <c r="F3168" s="4" t="s">
        <v>6708</v>
      </c>
    </row>
    <row r="3169" spans="1:6">
      <c r="A3169" s="4" t="s">
        <v>6709</v>
      </c>
      <c r="B3169" s="6" t="s">
        <v>6710</v>
      </c>
      <c r="C3169" s="4" t="s">
        <v>76</v>
      </c>
      <c r="D3169" s="4">
        <v>10</v>
      </c>
      <c r="E3169" s="4" t="s">
        <v>3930</v>
      </c>
      <c r="F3169" s="4" t="s">
        <v>506</v>
      </c>
    </row>
    <row r="3170" spans="1:6">
      <c r="A3170" s="4" t="s">
        <v>6711</v>
      </c>
      <c r="B3170" s="6" t="s">
        <v>6710</v>
      </c>
      <c r="C3170" s="4" t="s">
        <v>14</v>
      </c>
      <c r="D3170" s="4">
        <v>13</v>
      </c>
      <c r="E3170" s="4" t="s">
        <v>3930</v>
      </c>
      <c r="F3170" s="4" t="s">
        <v>2354</v>
      </c>
    </row>
    <row r="3171" spans="1:6">
      <c r="A3171" s="4" t="s">
        <v>6712</v>
      </c>
      <c r="B3171" s="6" t="s">
        <v>6713</v>
      </c>
      <c r="C3171" s="4" t="s">
        <v>254</v>
      </c>
      <c r="D3171" s="4">
        <v>13</v>
      </c>
      <c r="E3171" s="4" t="s">
        <v>6193</v>
      </c>
    </row>
    <row r="3172" spans="1:6">
      <c r="A3172" s="4" t="s">
        <v>6714</v>
      </c>
      <c r="B3172" s="6" t="s">
        <v>6713</v>
      </c>
      <c r="C3172" s="4" t="s">
        <v>27</v>
      </c>
      <c r="D3172" s="4">
        <v>14</v>
      </c>
      <c r="E3172" s="4" t="s">
        <v>6715</v>
      </c>
      <c r="F3172" s="4" t="s">
        <v>6716</v>
      </c>
    </row>
    <row r="3173" spans="1:6">
      <c r="A3173" s="4" t="s">
        <v>6717</v>
      </c>
      <c r="B3173" s="6" t="s">
        <v>6713</v>
      </c>
      <c r="C3173" s="4" t="s">
        <v>81</v>
      </c>
      <c r="D3173" s="4">
        <v>14</v>
      </c>
      <c r="E3173" s="4" t="s">
        <v>6516</v>
      </c>
      <c r="F3173" s="4" t="s">
        <v>6718</v>
      </c>
    </row>
    <row r="3174" spans="1:6">
      <c r="A3174" s="4" t="s">
        <v>6719</v>
      </c>
      <c r="B3174" s="6" t="s">
        <v>6713</v>
      </c>
      <c r="C3174" s="4" t="s">
        <v>23</v>
      </c>
      <c r="D3174" s="4">
        <v>22</v>
      </c>
      <c r="F3174" s="4" t="s">
        <v>6720</v>
      </c>
    </row>
    <row r="3175" spans="1:6">
      <c r="A3175" s="4" t="s">
        <v>6721</v>
      </c>
      <c r="B3175" s="6" t="s">
        <v>6722</v>
      </c>
      <c r="C3175" s="4" t="s">
        <v>271</v>
      </c>
      <c r="D3175" s="4">
        <v>9</v>
      </c>
      <c r="E3175" s="4" t="s">
        <v>6723</v>
      </c>
      <c r="F3175" s="4" t="s">
        <v>5633</v>
      </c>
    </row>
    <row r="3176" spans="1:6">
      <c r="A3176" s="4" t="s">
        <v>6724</v>
      </c>
      <c r="B3176" s="6" t="s">
        <v>6725</v>
      </c>
      <c r="C3176" s="4" t="s">
        <v>27</v>
      </c>
      <c r="D3176" s="4">
        <v>13</v>
      </c>
      <c r="E3176" s="4" t="s">
        <v>6726</v>
      </c>
      <c r="F3176" s="4" t="s">
        <v>6727</v>
      </c>
    </row>
    <row r="3177" spans="1:6">
      <c r="A3177" s="4" t="s">
        <v>6728</v>
      </c>
      <c r="B3177" s="6" t="s">
        <v>6729</v>
      </c>
      <c r="C3177" s="4" t="s">
        <v>427</v>
      </c>
      <c r="D3177" s="4">
        <v>10</v>
      </c>
      <c r="E3177" s="4" t="s">
        <v>6184</v>
      </c>
      <c r="F3177" s="4" t="s">
        <v>6551</v>
      </c>
    </row>
    <row r="3178" spans="1:6">
      <c r="A3178" s="4" t="s">
        <v>6730</v>
      </c>
      <c r="B3178" s="6" t="s">
        <v>6731</v>
      </c>
      <c r="C3178" s="4" t="s">
        <v>104</v>
      </c>
      <c r="D3178" s="4">
        <v>11</v>
      </c>
      <c r="E3178" s="4" t="s">
        <v>6732</v>
      </c>
    </row>
    <row r="3179" spans="1:6">
      <c r="A3179" s="4" t="s">
        <v>6733</v>
      </c>
      <c r="B3179" s="6" t="s">
        <v>6731</v>
      </c>
      <c r="C3179" s="4" t="s">
        <v>104</v>
      </c>
      <c r="D3179" s="4">
        <v>12</v>
      </c>
      <c r="E3179" s="4" t="s">
        <v>6732</v>
      </c>
    </row>
    <row r="3180" spans="1:6">
      <c r="A3180" s="4" t="s">
        <v>6734</v>
      </c>
      <c r="B3180" s="6" t="s">
        <v>6731</v>
      </c>
      <c r="C3180" s="4" t="s">
        <v>23</v>
      </c>
      <c r="D3180" s="4">
        <v>14</v>
      </c>
      <c r="E3180" s="4" t="s">
        <v>6735</v>
      </c>
    </row>
    <row r="3181" spans="1:6">
      <c r="A3181" s="4" t="s">
        <v>6736</v>
      </c>
      <c r="B3181" s="6" t="s">
        <v>6737</v>
      </c>
      <c r="C3181" s="4" t="s">
        <v>453</v>
      </c>
      <c r="D3181" s="4">
        <v>13</v>
      </c>
      <c r="E3181" s="4" t="s">
        <v>6738</v>
      </c>
    </row>
    <row r="3182" spans="1:6">
      <c r="A3182" s="4" t="s">
        <v>6739</v>
      </c>
      <c r="B3182" s="6" t="s">
        <v>6740</v>
      </c>
      <c r="C3182" s="4" t="s">
        <v>453</v>
      </c>
      <c r="D3182" s="4">
        <v>18</v>
      </c>
      <c r="E3182" s="4" t="s">
        <v>6516</v>
      </c>
      <c r="F3182" s="4" t="s">
        <v>6741</v>
      </c>
    </row>
    <row r="3183" spans="1:6">
      <c r="A3183" s="4" t="s">
        <v>6742</v>
      </c>
      <c r="B3183" s="6" t="s">
        <v>6743</v>
      </c>
      <c r="C3183" s="4" t="s">
        <v>76</v>
      </c>
      <c r="D3183" s="4">
        <v>13</v>
      </c>
      <c r="E3183" s="4" t="s">
        <v>391</v>
      </c>
      <c r="F3183" s="4" t="s">
        <v>6744</v>
      </c>
    </row>
    <row r="3184" spans="1:6">
      <c r="A3184" s="4" t="s">
        <v>6745</v>
      </c>
      <c r="B3184" s="6" t="s">
        <v>6743</v>
      </c>
      <c r="C3184" s="4" t="s">
        <v>6746</v>
      </c>
      <c r="D3184" s="4">
        <v>21</v>
      </c>
      <c r="E3184" s="4" t="s">
        <v>6747</v>
      </c>
      <c r="F3184" s="4" t="s">
        <v>6748</v>
      </c>
    </row>
    <row r="3185" spans="1:6">
      <c r="A3185" s="4" t="s">
        <v>6749</v>
      </c>
      <c r="B3185" s="6" t="s">
        <v>6743</v>
      </c>
      <c r="C3185" s="4" t="s">
        <v>95</v>
      </c>
      <c r="D3185" s="4">
        <v>14</v>
      </c>
      <c r="E3185" s="4" t="s">
        <v>1047</v>
      </c>
    </row>
    <row r="3186" spans="1:6">
      <c r="A3186" s="4" t="s">
        <v>6750</v>
      </c>
      <c r="B3186" s="6" t="s">
        <v>6743</v>
      </c>
      <c r="C3186" s="4" t="s">
        <v>23</v>
      </c>
      <c r="D3186" s="4">
        <v>15</v>
      </c>
      <c r="E3186" s="4" t="s">
        <v>6751</v>
      </c>
      <c r="F3186" s="4" t="s">
        <v>6752</v>
      </c>
    </row>
    <row r="3187" spans="1:6">
      <c r="A3187" s="4" t="s">
        <v>6753</v>
      </c>
      <c r="B3187" s="6" t="s">
        <v>6743</v>
      </c>
      <c r="C3187" s="4" t="s">
        <v>605</v>
      </c>
      <c r="D3187" s="4">
        <v>12</v>
      </c>
      <c r="E3187" s="4" t="s">
        <v>6246</v>
      </c>
    </row>
    <row r="3188" spans="1:6">
      <c r="A3188" s="4" t="s">
        <v>6754</v>
      </c>
      <c r="B3188" s="6" t="s">
        <v>6755</v>
      </c>
      <c r="C3188" s="4" t="s">
        <v>34</v>
      </c>
      <c r="D3188" s="4">
        <v>15</v>
      </c>
      <c r="E3188" s="4" t="s">
        <v>6756</v>
      </c>
    </row>
    <row r="3189" spans="1:6">
      <c r="A3189" s="4" t="s">
        <v>6757</v>
      </c>
      <c r="B3189" s="6" t="s">
        <v>6758</v>
      </c>
      <c r="C3189" s="4" t="s">
        <v>87</v>
      </c>
      <c r="D3189" s="4">
        <v>11</v>
      </c>
      <c r="E3189" s="4" t="s">
        <v>6246</v>
      </c>
      <c r="F3189" s="4" t="s">
        <v>6759</v>
      </c>
    </row>
    <row r="3190" spans="1:6">
      <c r="A3190" s="4" t="s">
        <v>6760</v>
      </c>
      <c r="B3190" s="6" t="s">
        <v>6758</v>
      </c>
      <c r="C3190" s="4" t="s">
        <v>461</v>
      </c>
      <c r="D3190" s="4">
        <v>11</v>
      </c>
      <c r="E3190" s="4" t="s">
        <v>6246</v>
      </c>
      <c r="F3190" s="4" t="s">
        <v>6761</v>
      </c>
    </row>
    <row r="3191" spans="1:6">
      <c r="A3191" s="4" t="s">
        <v>6762</v>
      </c>
      <c r="B3191" s="6" t="s">
        <v>6758</v>
      </c>
      <c r="C3191" s="4" t="s">
        <v>301</v>
      </c>
      <c r="D3191" s="4">
        <v>11</v>
      </c>
      <c r="E3191" s="4" t="s">
        <v>6636</v>
      </c>
      <c r="F3191" s="4" t="s">
        <v>6763</v>
      </c>
    </row>
    <row r="3192" spans="1:6">
      <c r="A3192" s="4" t="s">
        <v>6764</v>
      </c>
      <c r="B3192" s="6" t="s">
        <v>6758</v>
      </c>
      <c r="C3192" s="4" t="s">
        <v>19</v>
      </c>
      <c r="D3192" s="4">
        <v>14</v>
      </c>
      <c r="E3192" s="4" t="s">
        <v>6246</v>
      </c>
      <c r="F3192" s="4" t="s">
        <v>6765</v>
      </c>
    </row>
    <row r="3193" spans="1:6">
      <c r="A3193" s="4" t="s">
        <v>6766</v>
      </c>
      <c r="B3193" s="6" t="s">
        <v>6758</v>
      </c>
      <c r="C3193" s="4" t="s">
        <v>14</v>
      </c>
      <c r="D3193" s="4">
        <v>12</v>
      </c>
      <c r="E3193" s="4" t="s">
        <v>1043</v>
      </c>
      <c r="F3193" s="4" t="s">
        <v>6767</v>
      </c>
    </row>
    <row r="3194" spans="1:6">
      <c r="A3194" s="4" t="s">
        <v>6768</v>
      </c>
      <c r="B3194" s="6" t="s">
        <v>6758</v>
      </c>
      <c r="C3194" s="4" t="s">
        <v>49</v>
      </c>
      <c r="D3194" s="4">
        <v>15</v>
      </c>
      <c r="E3194" s="4" t="s">
        <v>6769</v>
      </c>
    </row>
    <row r="3195" spans="1:6">
      <c r="A3195" s="4" t="s">
        <v>6770</v>
      </c>
      <c r="B3195" s="6" t="s">
        <v>6758</v>
      </c>
      <c r="C3195" s="4" t="s">
        <v>27</v>
      </c>
      <c r="D3195" s="4">
        <v>12</v>
      </c>
      <c r="E3195" s="4" t="s">
        <v>1043</v>
      </c>
    </row>
    <row r="3196" spans="1:6">
      <c r="A3196" s="4" t="s">
        <v>6746</v>
      </c>
      <c r="B3196" s="6" t="s">
        <v>6771</v>
      </c>
      <c r="C3196" s="4" t="s">
        <v>6746</v>
      </c>
      <c r="D3196" s="4">
        <v>8</v>
      </c>
      <c r="E3196" s="4" t="s">
        <v>6636</v>
      </c>
      <c r="F3196" s="4" t="s">
        <v>6772</v>
      </c>
    </row>
    <row r="3197" spans="1:6">
      <c r="A3197" s="4" t="s">
        <v>6773</v>
      </c>
      <c r="B3197" s="6" t="s">
        <v>6771</v>
      </c>
      <c r="C3197" s="4" t="s">
        <v>254</v>
      </c>
      <c r="D3197" s="4">
        <v>16</v>
      </c>
      <c r="E3197" s="4" t="s">
        <v>6636</v>
      </c>
    </row>
    <row r="3198" spans="1:6">
      <c r="A3198" s="4" t="s">
        <v>6774</v>
      </c>
      <c r="B3198" s="6" t="s">
        <v>6775</v>
      </c>
      <c r="C3198" s="4" t="s">
        <v>45</v>
      </c>
      <c r="D3198" s="4">
        <v>10</v>
      </c>
      <c r="E3198" s="4" t="s">
        <v>6246</v>
      </c>
    </row>
    <row r="3199" spans="1:6">
      <c r="A3199" s="4" t="s">
        <v>6776</v>
      </c>
      <c r="B3199" s="6" t="s">
        <v>6775</v>
      </c>
      <c r="C3199" s="4" t="s">
        <v>254</v>
      </c>
      <c r="D3199" s="4">
        <v>5</v>
      </c>
      <c r="E3199" s="4" t="s">
        <v>1047</v>
      </c>
      <c r="F3199" s="4" t="s">
        <v>5274</v>
      </c>
    </row>
    <row r="3200" spans="1:6">
      <c r="A3200" s="4" t="s">
        <v>6777</v>
      </c>
      <c r="B3200" s="6" t="s">
        <v>6778</v>
      </c>
      <c r="C3200" s="4" t="s">
        <v>34</v>
      </c>
      <c r="D3200" s="4">
        <v>17</v>
      </c>
      <c r="E3200" s="4" t="s">
        <v>6779</v>
      </c>
    </row>
    <row r="3201" spans="1:6">
      <c r="A3201" s="4" t="s">
        <v>6780</v>
      </c>
      <c r="B3201" s="6" t="s">
        <v>6781</v>
      </c>
      <c r="C3201" s="4" t="s">
        <v>271</v>
      </c>
      <c r="D3201" s="4">
        <v>10</v>
      </c>
      <c r="E3201" s="4" t="s">
        <v>6535</v>
      </c>
    </row>
    <row r="3202" spans="1:6">
      <c r="A3202" s="4" t="s">
        <v>6782</v>
      </c>
      <c r="B3202" s="6" t="s">
        <v>6781</v>
      </c>
      <c r="C3202" s="4" t="s">
        <v>271</v>
      </c>
      <c r="D3202" s="4">
        <v>16</v>
      </c>
      <c r="E3202" s="4" t="s">
        <v>6535</v>
      </c>
    </row>
    <row r="3203" spans="1:6">
      <c r="A3203" s="4" t="s">
        <v>6783</v>
      </c>
      <c r="B3203" s="6" t="s">
        <v>6784</v>
      </c>
      <c r="C3203" s="4" t="s">
        <v>238</v>
      </c>
      <c r="D3203" s="4">
        <v>15</v>
      </c>
      <c r="E3203" s="4" t="s">
        <v>498</v>
      </c>
      <c r="F3203" s="4" t="s">
        <v>6785</v>
      </c>
    </row>
    <row r="3204" spans="1:6">
      <c r="A3204" s="4" t="s">
        <v>6786</v>
      </c>
      <c r="B3204" s="6" t="s">
        <v>6784</v>
      </c>
      <c r="C3204" s="4" t="s">
        <v>558</v>
      </c>
      <c r="D3204" s="4">
        <v>15</v>
      </c>
      <c r="E3204" s="4" t="s">
        <v>498</v>
      </c>
    </row>
    <row r="3205" spans="1:6">
      <c r="A3205" s="4" t="s">
        <v>6787</v>
      </c>
      <c r="B3205" s="6" t="s">
        <v>6784</v>
      </c>
      <c r="C3205" s="4" t="s">
        <v>414</v>
      </c>
      <c r="D3205" s="4">
        <v>12</v>
      </c>
      <c r="E3205" s="4" t="s">
        <v>498</v>
      </c>
    </row>
    <row r="3206" spans="1:6">
      <c r="A3206" s="4" t="s">
        <v>6788</v>
      </c>
      <c r="B3206" s="6" t="s">
        <v>6784</v>
      </c>
      <c r="C3206" s="4" t="s">
        <v>414</v>
      </c>
      <c r="D3206" s="4">
        <v>18</v>
      </c>
      <c r="E3206" s="4" t="s">
        <v>498</v>
      </c>
    </row>
    <row r="3207" spans="1:6">
      <c r="A3207" s="4" t="s">
        <v>6789</v>
      </c>
      <c r="B3207" s="6" t="s">
        <v>6784</v>
      </c>
      <c r="C3207" s="4" t="s">
        <v>238</v>
      </c>
      <c r="D3207" s="4">
        <v>15</v>
      </c>
      <c r="E3207" s="4" t="s">
        <v>498</v>
      </c>
      <c r="F3207" s="4" t="s">
        <v>6785</v>
      </c>
    </row>
    <row r="3208" spans="1:6">
      <c r="A3208" s="4" t="s">
        <v>6790</v>
      </c>
      <c r="B3208" s="6" t="s">
        <v>6791</v>
      </c>
      <c r="C3208" s="4" t="s">
        <v>254</v>
      </c>
      <c r="D3208" s="4">
        <v>5</v>
      </c>
      <c r="E3208" s="4" t="s">
        <v>1904</v>
      </c>
      <c r="F3208" s="4" t="s">
        <v>6792</v>
      </c>
    </row>
    <row r="3209" spans="1:6">
      <c r="A3209" s="4" t="s">
        <v>6793</v>
      </c>
      <c r="B3209" s="6" t="s">
        <v>6791</v>
      </c>
      <c r="C3209" s="4" t="s">
        <v>45</v>
      </c>
      <c r="D3209" s="4">
        <v>5</v>
      </c>
      <c r="E3209" s="4" t="s">
        <v>1942</v>
      </c>
    </row>
    <row r="3210" spans="1:6">
      <c r="A3210" s="4" t="s">
        <v>6794</v>
      </c>
      <c r="B3210" s="6" t="s">
        <v>6795</v>
      </c>
      <c r="C3210" s="4" t="s">
        <v>354</v>
      </c>
      <c r="D3210" s="4">
        <v>9</v>
      </c>
      <c r="E3210" s="4" t="s">
        <v>1922</v>
      </c>
    </row>
    <row r="3211" spans="1:6">
      <c r="A3211" s="4" t="s">
        <v>6796</v>
      </c>
      <c r="B3211" s="6" t="s">
        <v>6797</v>
      </c>
      <c r="C3211" s="4" t="s">
        <v>453</v>
      </c>
      <c r="D3211" s="4">
        <v>11</v>
      </c>
      <c r="E3211" s="4" t="s">
        <v>6798</v>
      </c>
      <c r="F3211" s="4" t="s">
        <v>6799</v>
      </c>
    </row>
    <row r="3212" spans="1:6">
      <c r="A3212" s="4" t="s">
        <v>6800</v>
      </c>
      <c r="B3212" s="6" t="s">
        <v>6801</v>
      </c>
      <c r="C3212" s="4" t="s">
        <v>3716</v>
      </c>
      <c r="D3212" s="4">
        <v>8</v>
      </c>
      <c r="E3212" s="4" t="s">
        <v>6184</v>
      </c>
      <c r="F3212" s="4" t="s">
        <v>6802</v>
      </c>
    </row>
    <row r="3213" spans="1:6">
      <c r="A3213" s="4" t="s">
        <v>6803</v>
      </c>
      <c r="B3213" s="6" t="s">
        <v>6801</v>
      </c>
      <c r="C3213" s="4" t="s">
        <v>3716</v>
      </c>
      <c r="D3213" s="4">
        <v>11</v>
      </c>
      <c r="E3213" s="4" t="s">
        <v>6184</v>
      </c>
    </row>
    <row r="3214" spans="1:6">
      <c r="A3214" s="4" t="s">
        <v>6804</v>
      </c>
      <c r="B3214" s="6" t="s">
        <v>6805</v>
      </c>
      <c r="C3214" s="4" t="s">
        <v>34</v>
      </c>
      <c r="D3214" s="4">
        <v>22</v>
      </c>
      <c r="E3214" s="4" t="s">
        <v>1908</v>
      </c>
    </row>
    <row r="3215" spans="1:6">
      <c r="A3215" s="4" t="s">
        <v>6806</v>
      </c>
      <c r="B3215" s="6" t="s">
        <v>6807</v>
      </c>
      <c r="C3215" s="4" t="s">
        <v>87</v>
      </c>
      <c r="D3215" s="4">
        <v>12</v>
      </c>
      <c r="E3215" s="4" t="s">
        <v>979</v>
      </c>
      <c r="F3215" s="4" t="s">
        <v>6808</v>
      </c>
    </row>
    <row r="3216" spans="1:6">
      <c r="A3216" s="4" t="s">
        <v>6809</v>
      </c>
      <c r="B3216" s="6" t="s">
        <v>6810</v>
      </c>
      <c r="C3216" s="4" t="s">
        <v>87</v>
      </c>
      <c r="D3216" s="4">
        <v>11</v>
      </c>
      <c r="E3216" s="4" t="s">
        <v>1114</v>
      </c>
      <c r="F3216" s="4" t="s">
        <v>6811</v>
      </c>
    </row>
    <row r="3217" spans="1:6">
      <c r="A3217" s="4" t="s">
        <v>6812</v>
      </c>
      <c r="B3217" s="6" t="s">
        <v>6810</v>
      </c>
      <c r="C3217" s="4" t="s">
        <v>6812</v>
      </c>
      <c r="D3217" s="4">
        <v>8</v>
      </c>
      <c r="E3217" s="4" t="s">
        <v>1114</v>
      </c>
      <c r="F3217" s="4" t="s">
        <v>6813</v>
      </c>
    </row>
    <row r="3218" spans="1:6">
      <c r="A3218" s="4" t="s">
        <v>6814</v>
      </c>
      <c r="B3218" s="6" t="s">
        <v>6810</v>
      </c>
      <c r="C3218" s="4" t="s">
        <v>2506</v>
      </c>
      <c r="D3218" s="4">
        <v>7</v>
      </c>
      <c r="E3218" s="4" t="s">
        <v>1110</v>
      </c>
      <c r="F3218" s="4" t="s">
        <v>6815</v>
      </c>
    </row>
    <row r="3219" spans="1:6">
      <c r="A3219" s="4" t="s">
        <v>6816</v>
      </c>
      <c r="B3219" s="6" t="s">
        <v>6817</v>
      </c>
      <c r="C3219" s="4" t="s">
        <v>81</v>
      </c>
      <c r="D3219" s="4">
        <v>16</v>
      </c>
      <c r="E3219" s="4" t="s">
        <v>6193</v>
      </c>
    </row>
    <row r="3220" spans="1:6">
      <c r="A3220" s="4" t="s">
        <v>6818</v>
      </c>
      <c r="B3220" s="6" t="s">
        <v>6817</v>
      </c>
      <c r="C3220" s="4" t="s">
        <v>23</v>
      </c>
      <c r="D3220" s="4">
        <v>5</v>
      </c>
      <c r="E3220" s="4" t="s">
        <v>979</v>
      </c>
    </row>
    <row r="3221" spans="1:6">
      <c r="A3221" s="4" t="s">
        <v>6819</v>
      </c>
      <c r="B3221" s="6" t="s">
        <v>6820</v>
      </c>
      <c r="C3221" s="4" t="s">
        <v>34</v>
      </c>
      <c r="D3221" s="4">
        <v>16</v>
      </c>
      <c r="E3221" s="4" t="s">
        <v>6193</v>
      </c>
      <c r="F3221" s="4" t="s">
        <v>6821</v>
      </c>
    </row>
    <row r="3222" spans="1:6">
      <c r="A3222" s="4" t="s">
        <v>6822</v>
      </c>
      <c r="B3222" s="6" t="s">
        <v>6823</v>
      </c>
      <c r="C3222" s="4" t="s">
        <v>37</v>
      </c>
      <c r="D3222" s="4">
        <v>10</v>
      </c>
      <c r="E3222" s="4" t="s">
        <v>6212</v>
      </c>
    </row>
    <row r="3223" spans="1:6">
      <c r="A3223" s="4" t="s">
        <v>6824</v>
      </c>
      <c r="B3223" s="6" t="s">
        <v>6823</v>
      </c>
      <c r="C3223" s="4" t="s">
        <v>315</v>
      </c>
      <c r="D3223" s="4">
        <v>16</v>
      </c>
      <c r="E3223" s="4" t="s">
        <v>6208</v>
      </c>
    </row>
    <row r="3224" spans="1:6">
      <c r="A3224" s="4" t="s">
        <v>6825</v>
      </c>
      <c r="B3224" s="6" t="s">
        <v>6823</v>
      </c>
      <c r="C3224" s="4" t="s">
        <v>34</v>
      </c>
      <c r="D3224" s="4">
        <v>8</v>
      </c>
      <c r="E3224" s="4" t="s">
        <v>6826</v>
      </c>
      <c r="F3224" s="4" t="s">
        <v>5757</v>
      </c>
    </row>
    <row r="3225" spans="1:6">
      <c r="A3225" s="4" t="s">
        <v>6827</v>
      </c>
      <c r="B3225" s="6" t="s">
        <v>6823</v>
      </c>
      <c r="C3225" s="4" t="s">
        <v>34</v>
      </c>
      <c r="D3225" s="4">
        <v>6</v>
      </c>
      <c r="E3225" s="4" t="s">
        <v>6212</v>
      </c>
    </row>
    <row r="3226" spans="1:6">
      <c r="A3226" s="4" t="s">
        <v>6828</v>
      </c>
      <c r="B3226" s="6" t="s">
        <v>6823</v>
      </c>
      <c r="C3226" s="4" t="s">
        <v>53</v>
      </c>
      <c r="D3226" s="4">
        <v>9</v>
      </c>
      <c r="E3226" s="4" t="s">
        <v>6212</v>
      </c>
    </row>
    <row r="3227" spans="1:6">
      <c r="A3227" s="4" t="s">
        <v>6829</v>
      </c>
      <c r="B3227" s="6" t="s">
        <v>6830</v>
      </c>
      <c r="C3227" s="4" t="s">
        <v>87</v>
      </c>
      <c r="D3227" s="4">
        <v>10</v>
      </c>
      <c r="E3227" s="4" t="s">
        <v>1922</v>
      </c>
    </row>
    <row r="3228" spans="1:6">
      <c r="A3228" s="4" t="s">
        <v>6831</v>
      </c>
      <c r="B3228" s="6" t="s">
        <v>6830</v>
      </c>
      <c r="C3228" s="4" t="s">
        <v>49</v>
      </c>
      <c r="D3228" s="4">
        <v>11</v>
      </c>
      <c r="E3228" s="4" t="s">
        <v>6246</v>
      </c>
      <c r="F3228" s="4" t="s">
        <v>1548</v>
      </c>
    </row>
    <row r="3229" spans="1:6">
      <c r="A3229" s="4" t="s">
        <v>6832</v>
      </c>
      <c r="B3229" s="6" t="s">
        <v>6830</v>
      </c>
      <c r="C3229" s="4" t="s">
        <v>121</v>
      </c>
      <c r="D3229" s="4">
        <v>4</v>
      </c>
      <c r="E3229" s="4" t="s">
        <v>6833</v>
      </c>
      <c r="F3229" s="4" t="s">
        <v>6834</v>
      </c>
    </row>
    <row r="3230" spans="1:6">
      <c r="A3230" s="4" t="s">
        <v>6835</v>
      </c>
      <c r="B3230" s="6" t="s">
        <v>6830</v>
      </c>
      <c r="C3230" s="4" t="s">
        <v>81</v>
      </c>
      <c r="D3230" s="4">
        <v>14</v>
      </c>
      <c r="E3230" s="4" t="s">
        <v>1922</v>
      </c>
      <c r="F3230" s="4" t="s">
        <v>6836</v>
      </c>
    </row>
    <row r="3231" spans="1:6">
      <c r="A3231" s="4" t="s">
        <v>6837</v>
      </c>
      <c r="B3231" s="6" t="s">
        <v>6838</v>
      </c>
      <c r="C3231" s="4" t="s">
        <v>143</v>
      </c>
      <c r="D3231" s="4">
        <v>11</v>
      </c>
      <c r="E3231" s="4" t="s">
        <v>6246</v>
      </c>
      <c r="F3231" s="4" t="s">
        <v>6839</v>
      </c>
    </row>
    <row r="3232" spans="1:6">
      <c r="A3232" s="4" t="s">
        <v>6840</v>
      </c>
      <c r="B3232" s="6" t="s">
        <v>6838</v>
      </c>
      <c r="C3232" s="4" t="s">
        <v>87</v>
      </c>
      <c r="D3232" s="4">
        <v>7</v>
      </c>
      <c r="E3232" s="4" t="s">
        <v>6833</v>
      </c>
    </row>
    <row r="3233" spans="1:6">
      <c r="A3233" s="4" t="s">
        <v>6841</v>
      </c>
      <c r="B3233" s="6" t="s">
        <v>6842</v>
      </c>
      <c r="C3233" s="4" t="s">
        <v>34</v>
      </c>
      <c r="D3233" s="4">
        <v>11</v>
      </c>
      <c r="E3233" s="4" t="s">
        <v>1908</v>
      </c>
      <c r="F3233" s="4" t="s">
        <v>6843</v>
      </c>
    </row>
    <row r="3234" spans="1:6">
      <c r="A3234" s="4" t="s">
        <v>6844</v>
      </c>
      <c r="B3234" s="6" t="s">
        <v>6845</v>
      </c>
      <c r="C3234" s="4" t="s">
        <v>23</v>
      </c>
      <c r="D3234" s="4">
        <v>13</v>
      </c>
      <c r="E3234" s="4" t="s">
        <v>1908</v>
      </c>
      <c r="F3234" s="4" t="s">
        <v>6846</v>
      </c>
    </row>
    <row r="3235" spans="1:6">
      <c r="A3235" s="4" t="s">
        <v>6847</v>
      </c>
      <c r="B3235" s="6" t="s">
        <v>6845</v>
      </c>
      <c r="C3235" s="4" t="s">
        <v>686</v>
      </c>
      <c r="D3235" s="4">
        <v>9</v>
      </c>
      <c r="E3235" s="4" t="s">
        <v>1908</v>
      </c>
      <c r="F3235" s="4" t="s">
        <v>4622</v>
      </c>
    </row>
    <row r="3236" spans="1:6">
      <c r="A3236" s="4" t="s">
        <v>6848</v>
      </c>
      <c r="B3236" s="6" t="s">
        <v>6845</v>
      </c>
      <c r="C3236" s="4" t="s">
        <v>31</v>
      </c>
      <c r="D3236" s="4">
        <v>14</v>
      </c>
      <c r="E3236" s="4" t="s">
        <v>1908</v>
      </c>
      <c r="F3236" s="4" t="s">
        <v>6846</v>
      </c>
    </row>
    <row r="3237" spans="1:6">
      <c r="A3237" s="4" t="s">
        <v>6849</v>
      </c>
      <c r="B3237" s="6" t="s">
        <v>6850</v>
      </c>
      <c r="C3237" s="4" t="s">
        <v>1282</v>
      </c>
      <c r="D3237" s="4">
        <v>13</v>
      </c>
      <c r="E3237" s="4" t="s">
        <v>1110</v>
      </c>
      <c r="F3237" s="4" t="s">
        <v>6851</v>
      </c>
    </row>
    <row r="3238" spans="1:6">
      <c r="A3238" s="4" t="s">
        <v>6852</v>
      </c>
      <c r="B3238" s="6" t="s">
        <v>6853</v>
      </c>
      <c r="C3238" s="4" t="s">
        <v>81</v>
      </c>
      <c r="D3238" s="4">
        <v>14</v>
      </c>
      <c r="E3238" s="4" t="s">
        <v>6715</v>
      </c>
    </row>
    <row r="3239" spans="1:6">
      <c r="A3239" s="4" t="s">
        <v>6854</v>
      </c>
      <c r="B3239" s="6" t="s">
        <v>6855</v>
      </c>
      <c r="C3239" s="4" t="s">
        <v>27</v>
      </c>
      <c r="D3239" s="4">
        <v>12</v>
      </c>
      <c r="E3239" s="4" t="s">
        <v>979</v>
      </c>
    </row>
    <row r="3240" spans="1:6">
      <c r="A3240" s="4" t="s">
        <v>6856</v>
      </c>
      <c r="B3240" s="6" t="s">
        <v>6855</v>
      </c>
      <c r="C3240" s="4" t="s">
        <v>34</v>
      </c>
      <c r="D3240" s="4">
        <v>10</v>
      </c>
      <c r="E3240" s="4" t="s">
        <v>6193</v>
      </c>
      <c r="F3240" s="4" t="s">
        <v>6176</v>
      </c>
    </row>
    <row r="3241" spans="1:6">
      <c r="A3241" s="4" t="s">
        <v>6857</v>
      </c>
      <c r="B3241" s="6" t="s">
        <v>6855</v>
      </c>
      <c r="C3241" s="4" t="s">
        <v>34</v>
      </c>
      <c r="D3241" s="4">
        <v>13</v>
      </c>
      <c r="E3241" s="4" t="s">
        <v>979</v>
      </c>
    </row>
    <row r="3242" spans="1:6">
      <c r="A3242" s="4" t="s">
        <v>6858</v>
      </c>
      <c r="B3242" s="6" t="s">
        <v>6855</v>
      </c>
      <c r="C3242" s="4" t="s">
        <v>53</v>
      </c>
      <c r="D3242" s="4">
        <v>14</v>
      </c>
      <c r="E3242" s="4" t="s">
        <v>979</v>
      </c>
    </row>
    <row r="3243" spans="1:6">
      <c r="A3243" s="4" t="s">
        <v>6859</v>
      </c>
      <c r="B3243" s="6" t="s">
        <v>6860</v>
      </c>
      <c r="C3243" s="4" t="s">
        <v>37</v>
      </c>
      <c r="D3243" s="4">
        <v>13</v>
      </c>
      <c r="E3243" s="4" t="s">
        <v>1043</v>
      </c>
      <c r="F3243" s="4" t="s">
        <v>6861</v>
      </c>
    </row>
    <row r="3244" spans="1:6">
      <c r="A3244" s="4" t="s">
        <v>6862</v>
      </c>
      <c r="B3244" s="6" t="s">
        <v>6860</v>
      </c>
      <c r="C3244" s="4" t="s">
        <v>27</v>
      </c>
      <c r="D3244" s="4">
        <v>9</v>
      </c>
      <c r="E3244" s="4" t="s">
        <v>6863</v>
      </c>
      <c r="F3244" s="4" t="s">
        <v>6864</v>
      </c>
    </row>
    <row r="3245" spans="1:6">
      <c r="A3245" s="4" t="s">
        <v>6865</v>
      </c>
      <c r="B3245" s="6" t="s">
        <v>6860</v>
      </c>
      <c r="C3245" s="4" t="s">
        <v>1078</v>
      </c>
      <c r="D3245" s="4">
        <v>6</v>
      </c>
      <c r="E3245" s="4" t="s">
        <v>6863</v>
      </c>
      <c r="F3245" s="4" t="s">
        <v>6866</v>
      </c>
    </row>
    <row r="3246" spans="1:6">
      <c r="A3246" s="4" t="s">
        <v>6867</v>
      </c>
      <c r="B3246" s="6" t="s">
        <v>6860</v>
      </c>
      <c r="C3246" s="4" t="s">
        <v>104</v>
      </c>
      <c r="D3246" s="4">
        <v>11</v>
      </c>
      <c r="E3246" s="4" t="s">
        <v>1043</v>
      </c>
    </row>
    <row r="3247" spans="1:6">
      <c r="A3247" s="4" t="s">
        <v>6868</v>
      </c>
      <c r="B3247" s="6" t="s">
        <v>6869</v>
      </c>
      <c r="C3247" s="4" t="s">
        <v>448</v>
      </c>
      <c r="D3247" s="4">
        <v>5</v>
      </c>
      <c r="E3247" s="4" t="s">
        <v>6376</v>
      </c>
      <c r="F3247" s="4" t="s">
        <v>6870</v>
      </c>
    </row>
    <row r="3248" spans="1:6">
      <c r="A3248" s="4" t="s">
        <v>6871</v>
      </c>
      <c r="B3248" s="6" t="s">
        <v>6872</v>
      </c>
      <c r="C3248" s="4" t="s">
        <v>453</v>
      </c>
      <c r="D3248" s="4">
        <v>12</v>
      </c>
      <c r="E3248" s="4" t="s">
        <v>1922</v>
      </c>
      <c r="F3248" s="4" t="s">
        <v>6873</v>
      </c>
    </row>
    <row r="3249" spans="1:6">
      <c r="A3249" s="4" t="s">
        <v>6874</v>
      </c>
      <c r="B3249" s="6" t="s">
        <v>6872</v>
      </c>
      <c r="C3249" s="4" t="s">
        <v>285</v>
      </c>
      <c r="D3249" s="4">
        <v>8</v>
      </c>
      <c r="E3249" s="4" t="s">
        <v>2024</v>
      </c>
    </row>
    <row r="3250" spans="1:6">
      <c r="A3250" s="4" t="s">
        <v>6875</v>
      </c>
      <c r="B3250" s="6" t="s">
        <v>6876</v>
      </c>
      <c r="C3250" s="4" t="s">
        <v>34</v>
      </c>
      <c r="D3250" s="4">
        <v>11</v>
      </c>
      <c r="E3250" s="4" t="s">
        <v>6246</v>
      </c>
      <c r="F3250" s="4" t="s">
        <v>1023</v>
      </c>
    </row>
    <row r="3251" spans="1:6">
      <c r="A3251" s="4" t="s">
        <v>6877</v>
      </c>
      <c r="B3251" s="6" t="s">
        <v>6876</v>
      </c>
      <c r="C3251" s="4" t="s">
        <v>6878</v>
      </c>
      <c r="D3251" s="4">
        <v>8</v>
      </c>
      <c r="E3251" s="4" t="s">
        <v>6246</v>
      </c>
    </row>
    <row r="3252" spans="1:6">
      <c r="A3252" s="4" t="s">
        <v>6879</v>
      </c>
      <c r="B3252" s="6" t="s">
        <v>6880</v>
      </c>
      <c r="C3252" s="4" t="s">
        <v>81</v>
      </c>
      <c r="D3252" s="4">
        <v>11</v>
      </c>
      <c r="E3252" s="4" t="s">
        <v>6547</v>
      </c>
      <c r="F3252" s="4" t="s">
        <v>6881</v>
      </c>
    </row>
    <row r="3253" spans="1:6">
      <c r="A3253" s="4" t="s">
        <v>6882</v>
      </c>
      <c r="B3253" s="6" t="s">
        <v>6880</v>
      </c>
      <c r="C3253" s="4" t="s">
        <v>81</v>
      </c>
      <c r="D3253" s="4">
        <v>14</v>
      </c>
      <c r="E3253" s="4" t="s">
        <v>6547</v>
      </c>
      <c r="F3253" s="4" t="s">
        <v>6881</v>
      </c>
    </row>
    <row r="3254" spans="1:6">
      <c r="A3254" s="4" t="s">
        <v>6883</v>
      </c>
      <c r="B3254" s="6" t="s">
        <v>6880</v>
      </c>
      <c r="C3254" s="4" t="s">
        <v>945</v>
      </c>
      <c r="D3254" s="4">
        <v>12</v>
      </c>
      <c r="E3254" s="4" t="s">
        <v>1908</v>
      </c>
    </row>
    <row r="3255" spans="1:6">
      <c r="A3255" s="4" t="s">
        <v>6884</v>
      </c>
      <c r="B3255" s="6" t="s">
        <v>6885</v>
      </c>
      <c r="C3255" s="4" t="s">
        <v>27</v>
      </c>
      <c r="D3255" s="4">
        <v>8</v>
      </c>
      <c r="E3255" s="4" t="s">
        <v>1908</v>
      </c>
    </row>
    <row r="3256" spans="1:6">
      <c r="A3256" s="4" t="s">
        <v>6886</v>
      </c>
      <c r="B3256" s="6" t="s">
        <v>6887</v>
      </c>
      <c r="C3256" s="4" t="s">
        <v>49</v>
      </c>
      <c r="D3256" s="4">
        <v>9</v>
      </c>
      <c r="E3256" s="4" t="s">
        <v>6193</v>
      </c>
      <c r="F3256" s="4" t="s">
        <v>6888</v>
      </c>
    </row>
    <row r="3257" spans="1:6">
      <c r="A3257" s="4" t="s">
        <v>6889</v>
      </c>
      <c r="B3257" s="6" t="s">
        <v>6887</v>
      </c>
      <c r="C3257" s="4" t="s">
        <v>37</v>
      </c>
      <c r="D3257" s="4">
        <v>10</v>
      </c>
      <c r="E3257" s="4" t="s">
        <v>1747</v>
      </c>
      <c r="F3257" s="4" t="s">
        <v>1986</v>
      </c>
    </row>
    <row r="3258" spans="1:6">
      <c r="A3258" s="4" t="s">
        <v>485</v>
      </c>
      <c r="B3258" s="6" t="s">
        <v>6890</v>
      </c>
      <c r="C3258" s="4" t="s">
        <v>485</v>
      </c>
      <c r="D3258" s="4">
        <v>5</v>
      </c>
      <c r="E3258" s="4" t="s">
        <v>6891</v>
      </c>
      <c r="F3258" s="4" t="s">
        <v>6892</v>
      </c>
    </row>
    <row r="3259" spans="1:6">
      <c r="A3259" s="4" t="s">
        <v>6893</v>
      </c>
      <c r="B3259" s="6" t="s">
        <v>6894</v>
      </c>
      <c r="C3259" s="4" t="s">
        <v>87</v>
      </c>
      <c r="D3259" s="4">
        <v>11</v>
      </c>
      <c r="E3259" s="4" t="s">
        <v>989</v>
      </c>
      <c r="F3259" s="4" t="s">
        <v>6895</v>
      </c>
    </row>
    <row r="3260" spans="1:6">
      <c r="A3260" s="4" t="s">
        <v>6896</v>
      </c>
      <c r="B3260" s="6" t="s">
        <v>6897</v>
      </c>
      <c r="C3260" s="4" t="s">
        <v>301</v>
      </c>
      <c r="D3260" s="4">
        <v>11</v>
      </c>
      <c r="E3260" s="4" t="s">
        <v>989</v>
      </c>
    </row>
    <row r="3261" spans="1:6">
      <c r="A3261" s="4" t="s">
        <v>6898</v>
      </c>
      <c r="B3261" s="6" t="s">
        <v>6897</v>
      </c>
      <c r="C3261" s="4" t="s">
        <v>2568</v>
      </c>
      <c r="D3261" s="4">
        <v>16</v>
      </c>
      <c r="E3261" s="4" t="s">
        <v>989</v>
      </c>
      <c r="F3261" s="4" t="s">
        <v>6899</v>
      </c>
    </row>
    <row r="3262" spans="1:6">
      <c r="A3262" s="4" t="s">
        <v>1403</v>
      </c>
      <c r="B3262" s="6" t="s">
        <v>6897</v>
      </c>
      <c r="C3262" s="4" t="s">
        <v>1403</v>
      </c>
      <c r="D3262" s="4">
        <v>7</v>
      </c>
      <c r="E3262" s="4" t="s">
        <v>989</v>
      </c>
      <c r="F3262" s="4" t="s">
        <v>6900</v>
      </c>
    </row>
    <row r="3263" spans="1:6">
      <c r="A3263" s="4" t="s">
        <v>6901</v>
      </c>
      <c r="B3263" s="6" t="s">
        <v>6897</v>
      </c>
      <c r="C3263" s="4" t="s">
        <v>254</v>
      </c>
      <c r="D3263" s="4">
        <v>7</v>
      </c>
      <c r="E3263" s="4" t="s">
        <v>989</v>
      </c>
      <c r="F3263" s="4" t="s">
        <v>1639</v>
      </c>
    </row>
    <row r="3264" spans="1:6">
      <c r="A3264" s="4" t="s">
        <v>6902</v>
      </c>
      <c r="B3264" s="6" t="s">
        <v>6897</v>
      </c>
      <c r="C3264" s="4" t="s">
        <v>420</v>
      </c>
      <c r="D3264" s="4">
        <v>5</v>
      </c>
      <c r="E3264" s="4" t="s">
        <v>989</v>
      </c>
      <c r="F3264" s="4" t="s">
        <v>6903</v>
      </c>
    </row>
    <row r="3265" spans="1:6">
      <c r="A3265" s="4" t="s">
        <v>6904</v>
      </c>
      <c r="B3265" s="6" t="s">
        <v>6897</v>
      </c>
      <c r="C3265" s="4" t="s">
        <v>34</v>
      </c>
      <c r="D3265" s="4">
        <v>8</v>
      </c>
      <c r="E3265" s="4" t="s">
        <v>989</v>
      </c>
    </row>
    <row r="3266" spans="1:6">
      <c r="A3266" s="4" t="s">
        <v>6905</v>
      </c>
      <c r="B3266" s="6" t="s">
        <v>6897</v>
      </c>
      <c r="C3266" s="4" t="s">
        <v>23</v>
      </c>
      <c r="D3266" s="4">
        <v>8</v>
      </c>
      <c r="E3266" s="4" t="s">
        <v>989</v>
      </c>
      <c r="F3266" s="4" t="s">
        <v>6906</v>
      </c>
    </row>
    <row r="3267" spans="1:6">
      <c r="A3267" s="4" t="s">
        <v>6907</v>
      </c>
      <c r="B3267" s="6" t="s">
        <v>6908</v>
      </c>
      <c r="C3267" s="4" t="s">
        <v>574</v>
      </c>
      <c r="D3267" s="4">
        <v>16</v>
      </c>
      <c r="E3267" s="4" t="s">
        <v>1736</v>
      </c>
    </row>
    <row r="3268" spans="1:6">
      <c r="A3268" s="4" t="s">
        <v>6909</v>
      </c>
      <c r="B3268" s="6" t="s">
        <v>6910</v>
      </c>
      <c r="C3268" s="4" t="s">
        <v>87</v>
      </c>
      <c r="D3268" s="4">
        <v>7</v>
      </c>
      <c r="E3268" s="4" t="s">
        <v>1047</v>
      </c>
      <c r="F3268" s="4" t="s">
        <v>6911</v>
      </c>
    </row>
    <row r="3269" spans="1:6">
      <c r="A3269" s="4" t="s">
        <v>6912</v>
      </c>
      <c r="B3269" s="6" t="s">
        <v>6913</v>
      </c>
      <c r="C3269" s="4" t="s">
        <v>87</v>
      </c>
      <c r="D3269" s="4">
        <v>12</v>
      </c>
      <c r="E3269" s="4" t="s">
        <v>1022</v>
      </c>
      <c r="F3269" s="4" t="s">
        <v>6914</v>
      </c>
    </row>
    <row r="3270" spans="1:6">
      <c r="A3270" s="4" t="s">
        <v>6915</v>
      </c>
      <c r="B3270" s="6" t="s">
        <v>6916</v>
      </c>
      <c r="C3270" s="4" t="s">
        <v>448</v>
      </c>
      <c r="D3270" s="4">
        <v>2</v>
      </c>
      <c r="E3270" s="4" t="s">
        <v>6917</v>
      </c>
      <c r="F3270" s="4" t="s">
        <v>6918</v>
      </c>
    </row>
    <row r="3271" spans="1:6">
      <c r="A3271" s="4" t="s">
        <v>6919</v>
      </c>
      <c r="B3271" s="6" t="s">
        <v>6916</v>
      </c>
      <c r="C3271" s="4" t="s">
        <v>2818</v>
      </c>
      <c r="D3271" s="4">
        <v>5</v>
      </c>
      <c r="E3271" s="4" t="s">
        <v>6920</v>
      </c>
    </row>
    <row r="3272" spans="1:6">
      <c r="A3272" s="4" t="s">
        <v>6921</v>
      </c>
      <c r="B3272" s="6" t="s">
        <v>6916</v>
      </c>
      <c r="C3272" s="4" t="s">
        <v>45</v>
      </c>
      <c r="D3272" s="4">
        <v>9</v>
      </c>
      <c r="E3272" s="4" t="s">
        <v>3930</v>
      </c>
      <c r="F3272" s="4" t="s">
        <v>6922</v>
      </c>
    </row>
    <row r="3273" spans="1:6">
      <c r="A3273" s="4" t="s">
        <v>6923</v>
      </c>
      <c r="B3273" s="6" t="s">
        <v>6916</v>
      </c>
      <c r="C3273" s="4" t="s">
        <v>121</v>
      </c>
      <c r="D3273" s="4">
        <v>5</v>
      </c>
      <c r="E3273" s="4" t="s">
        <v>3930</v>
      </c>
      <c r="F3273" s="4" t="s">
        <v>6924</v>
      </c>
    </row>
    <row r="3274" spans="1:6">
      <c r="A3274" s="4" t="s">
        <v>6925</v>
      </c>
      <c r="B3274" s="6" t="s">
        <v>6926</v>
      </c>
      <c r="C3274" s="4" t="s">
        <v>275</v>
      </c>
      <c r="D3274" s="4">
        <v>10</v>
      </c>
      <c r="E3274" s="4" t="s">
        <v>979</v>
      </c>
      <c r="F3274" s="4" t="s">
        <v>6927</v>
      </c>
    </row>
    <row r="3275" spans="1:6">
      <c r="A3275" s="4" t="s">
        <v>6928</v>
      </c>
      <c r="B3275" s="6" t="s">
        <v>6929</v>
      </c>
      <c r="C3275" s="4" t="s">
        <v>81</v>
      </c>
      <c r="D3275" s="4">
        <v>7</v>
      </c>
      <c r="E3275" s="4" t="s">
        <v>989</v>
      </c>
    </row>
    <row r="3276" spans="1:6">
      <c r="A3276" s="4" t="s">
        <v>6930</v>
      </c>
      <c r="B3276" s="6" t="s">
        <v>6929</v>
      </c>
      <c r="C3276" s="4" t="s">
        <v>53</v>
      </c>
      <c r="D3276" s="4">
        <v>13</v>
      </c>
      <c r="E3276" s="4" t="s">
        <v>6931</v>
      </c>
    </row>
    <row r="3277" spans="1:6">
      <c r="A3277" s="4" t="s">
        <v>6932</v>
      </c>
      <c r="B3277" s="6" t="s">
        <v>6933</v>
      </c>
      <c r="C3277" s="4" t="s">
        <v>461</v>
      </c>
      <c r="D3277" s="4">
        <v>9</v>
      </c>
      <c r="E3277" s="4" t="s">
        <v>989</v>
      </c>
      <c r="F3277" s="4" t="s">
        <v>6934</v>
      </c>
    </row>
    <row r="3278" spans="1:6">
      <c r="A3278" s="4" t="s">
        <v>4016</v>
      </c>
      <c r="B3278" s="6" t="s">
        <v>6933</v>
      </c>
      <c r="C3278" s="4" t="s">
        <v>4016</v>
      </c>
      <c r="D3278" s="4">
        <v>7</v>
      </c>
      <c r="E3278" s="4" t="s">
        <v>6935</v>
      </c>
      <c r="F3278" s="4" t="s">
        <v>6936</v>
      </c>
    </row>
    <row r="3279" spans="1:6">
      <c r="A3279" s="4" t="s">
        <v>6937</v>
      </c>
      <c r="B3279" s="6" t="s">
        <v>6933</v>
      </c>
      <c r="C3279" s="4" t="s">
        <v>23</v>
      </c>
      <c r="D3279" s="4">
        <v>10</v>
      </c>
      <c r="E3279" s="4" t="s">
        <v>989</v>
      </c>
      <c r="F3279" s="4" t="s">
        <v>6938</v>
      </c>
    </row>
    <row r="3280" spans="1:6">
      <c r="A3280" s="4" t="s">
        <v>6939</v>
      </c>
      <c r="B3280" s="6" t="s">
        <v>6933</v>
      </c>
      <c r="C3280" s="4" t="s">
        <v>14</v>
      </c>
      <c r="D3280" s="4">
        <v>10</v>
      </c>
      <c r="E3280" s="4" t="s">
        <v>989</v>
      </c>
      <c r="F3280" s="4" t="s">
        <v>1901</v>
      </c>
    </row>
    <row r="3281" spans="1:6">
      <c r="A3281" s="4" t="s">
        <v>6940</v>
      </c>
      <c r="B3281" s="6" t="s">
        <v>6941</v>
      </c>
      <c r="C3281" s="4" t="s">
        <v>53</v>
      </c>
      <c r="D3281" s="4">
        <v>13</v>
      </c>
      <c r="F3281" s="4" t="s">
        <v>6942</v>
      </c>
    </row>
    <row r="3282" spans="1:6">
      <c r="A3282" s="4" t="s">
        <v>6943</v>
      </c>
      <c r="B3282" s="6" t="s">
        <v>6933</v>
      </c>
      <c r="C3282" s="4" t="s">
        <v>104</v>
      </c>
      <c r="D3282" s="4">
        <v>11</v>
      </c>
      <c r="E3282" s="4" t="s">
        <v>989</v>
      </c>
      <c r="F3282" s="4" t="s">
        <v>6944</v>
      </c>
    </row>
    <row r="3283" spans="1:6">
      <c r="A3283" s="4" t="s">
        <v>6945</v>
      </c>
      <c r="B3283" s="6" t="s">
        <v>6933</v>
      </c>
      <c r="C3283" s="4" t="s">
        <v>45</v>
      </c>
      <c r="D3283" s="4">
        <v>10</v>
      </c>
      <c r="E3283" s="4" t="s">
        <v>989</v>
      </c>
    </row>
    <row r="3284" spans="1:6">
      <c r="A3284" s="4" t="s">
        <v>6946</v>
      </c>
      <c r="B3284" s="6" t="s">
        <v>6947</v>
      </c>
      <c r="C3284" s="4" t="s">
        <v>45</v>
      </c>
      <c r="D3284" s="4">
        <v>15</v>
      </c>
      <c r="E3284" s="4" t="s">
        <v>989</v>
      </c>
      <c r="F3284" s="4" t="s">
        <v>6948</v>
      </c>
    </row>
    <row r="3285" spans="1:6">
      <c r="A3285" s="4" t="s">
        <v>6949</v>
      </c>
      <c r="B3285" s="6" t="s">
        <v>6950</v>
      </c>
      <c r="C3285" s="4" t="s">
        <v>23</v>
      </c>
      <c r="D3285" s="4">
        <v>9</v>
      </c>
      <c r="E3285" s="4" t="s">
        <v>989</v>
      </c>
    </row>
    <row r="3286" spans="1:6">
      <c r="A3286" s="4" t="s">
        <v>6951</v>
      </c>
      <c r="B3286" s="6" t="s">
        <v>6952</v>
      </c>
      <c r="C3286" s="4" t="s">
        <v>729</v>
      </c>
      <c r="D3286" s="4">
        <v>9</v>
      </c>
      <c r="E3286" s="4" t="s">
        <v>5223</v>
      </c>
      <c r="F3286" s="4" t="s">
        <v>6953</v>
      </c>
    </row>
    <row r="3287" spans="1:6">
      <c r="A3287" s="4" t="s">
        <v>6954</v>
      </c>
      <c r="B3287" s="6" t="s">
        <v>6955</v>
      </c>
      <c r="C3287" s="4" t="s">
        <v>81</v>
      </c>
      <c r="D3287" s="4">
        <v>13</v>
      </c>
      <c r="E3287" s="4" t="s">
        <v>989</v>
      </c>
      <c r="F3287" s="4" t="s">
        <v>952</v>
      </c>
    </row>
    <row r="3288" spans="1:6">
      <c r="A3288" s="4" t="s">
        <v>6956</v>
      </c>
      <c r="B3288" s="6" t="s">
        <v>6955</v>
      </c>
      <c r="C3288" s="4" t="s">
        <v>81</v>
      </c>
      <c r="D3288" s="4">
        <v>13</v>
      </c>
      <c r="E3288" s="4" t="s">
        <v>989</v>
      </c>
      <c r="F3288" s="4" t="s">
        <v>952</v>
      </c>
    </row>
    <row r="3289" spans="1:6">
      <c r="A3289" s="4" t="s">
        <v>6957</v>
      </c>
      <c r="B3289" s="6" t="s">
        <v>6955</v>
      </c>
      <c r="C3289" s="4" t="s">
        <v>860</v>
      </c>
      <c r="D3289" s="4">
        <v>13</v>
      </c>
      <c r="E3289" s="4" t="s">
        <v>6640</v>
      </c>
    </row>
    <row r="3290" spans="1:6">
      <c r="A3290" s="4" t="s">
        <v>263</v>
      </c>
      <c r="B3290" s="6" t="s">
        <v>6958</v>
      </c>
      <c r="C3290" s="4" t="s">
        <v>263</v>
      </c>
      <c r="D3290" s="4">
        <v>2</v>
      </c>
      <c r="E3290" s="4" t="s">
        <v>6959</v>
      </c>
      <c r="F3290" s="4" t="s">
        <v>6960</v>
      </c>
    </row>
    <row r="3291" spans="1:6">
      <c r="A3291" s="4" t="s">
        <v>6961</v>
      </c>
      <c r="B3291" s="6" t="s">
        <v>6958</v>
      </c>
      <c r="C3291" s="4" t="s">
        <v>34</v>
      </c>
      <c r="D3291" s="4">
        <v>9</v>
      </c>
      <c r="E3291" s="4" t="s">
        <v>752</v>
      </c>
      <c r="F3291" s="4" t="s">
        <v>6962</v>
      </c>
    </row>
    <row r="3292" spans="1:6">
      <c r="A3292" s="4" t="s">
        <v>6963</v>
      </c>
      <c r="B3292" s="6" t="s">
        <v>6958</v>
      </c>
      <c r="C3292" s="4" t="s">
        <v>254</v>
      </c>
      <c r="D3292" s="4">
        <v>4</v>
      </c>
      <c r="E3292" s="4" t="s">
        <v>6964</v>
      </c>
    </row>
    <row r="3293" spans="1:6">
      <c r="A3293" s="4" t="s">
        <v>6965</v>
      </c>
      <c r="B3293" s="6" t="s">
        <v>6966</v>
      </c>
      <c r="C3293" s="4" t="s">
        <v>263</v>
      </c>
      <c r="D3293" s="4">
        <v>4</v>
      </c>
      <c r="E3293" s="4" t="s">
        <v>1069</v>
      </c>
      <c r="F3293" s="4" t="s">
        <v>6967</v>
      </c>
    </row>
    <row r="3294" spans="1:6">
      <c r="A3294" s="4" t="s">
        <v>6968</v>
      </c>
      <c r="B3294" s="6" t="s">
        <v>6966</v>
      </c>
      <c r="C3294" s="4" t="s">
        <v>104</v>
      </c>
      <c r="D3294" s="4">
        <v>8</v>
      </c>
      <c r="E3294" s="4" t="s">
        <v>1069</v>
      </c>
      <c r="F3294" s="4" t="s">
        <v>2093</v>
      </c>
    </row>
    <row r="3295" spans="1:6">
      <c r="A3295" s="4" t="s">
        <v>6969</v>
      </c>
      <c r="B3295" s="6" t="s">
        <v>6970</v>
      </c>
      <c r="C3295" s="4" t="s">
        <v>705</v>
      </c>
      <c r="D3295" s="4">
        <v>12</v>
      </c>
      <c r="E3295" s="4" t="s">
        <v>1069</v>
      </c>
      <c r="F3295" s="4" t="s">
        <v>6971</v>
      </c>
    </row>
    <row r="3296" spans="1:6">
      <c r="A3296" s="4" t="s">
        <v>6972</v>
      </c>
      <c r="B3296" s="6" t="s">
        <v>6973</v>
      </c>
      <c r="C3296" s="4" t="s">
        <v>301</v>
      </c>
      <c r="D3296" s="4">
        <v>15</v>
      </c>
      <c r="E3296" s="4" t="s">
        <v>1253</v>
      </c>
      <c r="F3296" s="4" t="s">
        <v>6974</v>
      </c>
    </row>
    <row r="3297" spans="1:6">
      <c r="A3297" s="4" t="s">
        <v>6975</v>
      </c>
      <c r="B3297" s="6" t="s">
        <v>6976</v>
      </c>
      <c r="C3297" s="4" t="s">
        <v>271</v>
      </c>
      <c r="D3297" s="4">
        <v>11</v>
      </c>
      <c r="E3297" s="4" t="s">
        <v>1253</v>
      </c>
    </row>
    <row r="3298" spans="1:6">
      <c r="A3298" s="4" t="s">
        <v>6977</v>
      </c>
      <c r="B3298" s="6" t="s">
        <v>6976</v>
      </c>
      <c r="C3298" s="4" t="s">
        <v>271</v>
      </c>
      <c r="D3298" s="4">
        <v>12</v>
      </c>
      <c r="E3298" s="4" t="s">
        <v>1253</v>
      </c>
    </row>
    <row r="3299" spans="1:6">
      <c r="A3299" s="4" t="s">
        <v>6978</v>
      </c>
      <c r="B3299" s="6" t="s">
        <v>6979</v>
      </c>
      <c r="C3299" s="4" t="s">
        <v>14</v>
      </c>
      <c r="D3299" s="4">
        <v>8</v>
      </c>
      <c r="E3299" s="4" t="s">
        <v>6636</v>
      </c>
      <c r="F3299" s="4" t="s">
        <v>6980</v>
      </c>
    </row>
    <row r="3300" spans="1:6">
      <c r="A3300" s="4" t="s">
        <v>6981</v>
      </c>
      <c r="B3300" s="6" t="s">
        <v>6979</v>
      </c>
      <c r="C3300" s="4" t="s">
        <v>81</v>
      </c>
      <c r="D3300" s="4">
        <v>11</v>
      </c>
      <c r="E3300" s="4" t="s">
        <v>1043</v>
      </c>
    </row>
    <row r="3301" spans="1:6">
      <c r="A3301" s="4" t="s">
        <v>6982</v>
      </c>
      <c r="B3301" s="6" t="s">
        <v>6979</v>
      </c>
      <c r="C3301" s="4" t="s">
        <v>53</v>
      </c>
      <c r="D3301" s="4">
        <v>12</v>
      </c>
      <c r="E3301" s="4" t="s">
        <v>1043</v>
      </c>
      <c r="F3301" s="4" t="s">
        <v>6759</v>
      </c>
    </row>
    <row r="3302" spans="1:6">
      <c r="A3302" s="4" t="s">
        <v>6983</v>
      </c>
      <c r="B3302" s="6" t="s">
        <v>6979</v>
      </c>
      <c r="C3302" s="4" t="s">
        <v>53</v>
      </c>
      <c r="D3302" s="4">
        <v>10</v>
      </c>
      <c r="E3302" s="4" t="s">
        <v>1043</v>
      </c>
    </row>
    <row r="3303" spans="1:6">
      <c r="A3303" s="4" t="s">
        <v>6984</v>
      </c>
      <c r="B3303" s="6" t="s">
        <v>6979</v>
      </c>
      <c r="C3303" s="4" t="s">
        <v>53</v>
      </c>
      <c r="D3303" s="4">
        <v>11</v>
      </c>
      <c r="E3303" s="4" t="s">
        <v>2122</v>
      </c>
    </row>
    <row r="3304" spans="1:6">
      <c r="A3304" s="4" t="s">
        <v>6985</v>
      </c>
      <c r="B3304" s="6" t="s">
        <v>6979</v>
      </c>
      <c r="C3304" s="4" t="s">
        <v>470</v>
      </c>
      <c r="D3304" s="4">
        <v>10</v>
      </c>
      <c r="E3304" s="4" t="s">
        <v>1043</v>
      </c>
      <c r="F3304" s="4" t="s">
        <v>6986</v>
      </c>
    </row>
    <row r="3305" spans="1:6">
      <c r="A3305" s="4" t="s">
        <v>6987</v>
      </c>
      <c r="B3305" s="6" t="s">
        <v>6979</v>
      </c>
      <c r="C3305" s="4" t="s">
        <v>87</v>
      </c>
      <c r="D3305" s="4">
        <v>11</v>
      </c>
      <c r="E3305" s="4" t="s">
        <v>1043</v>
      </c>
      <c r="F3305" s="4" t="s">
        <v>6986</v>
      </c>
    </row>
    <row r="3306" spans="1:6">
      <c r="A3306" s="4" t="s">
        <v>6988</v>
      </c>
      <c r="B3306" s="6" t="s">
        <v>6989</v>
      </c>
      <c r="C3306" s="4" t="s">
        <v>705</v>
      </c>
      <c r="D3306" s="4">
        <v>13</v>
      </c>
      <c r="E3306" s="4" t="s">
        <v>1043</v>
      </c>
      <c r="F3306" s="4" t="s">
        <v>6990</v>
      </c>
    </row>
    <row r="3307" spans="1:6">
      <c r="A3307" s="4" t="s">
        <v>6991</v>
      </c>
      <c r="B3307" s="6" t="s">
        <v>6989</v>
      </c>
      <c r="C3307" s="4" t="s">
        <v>448</v>
      </c>
      <c r="D3307" s="4">
        <v>5</v>
      </c>
      <c r="E3307" s="4" t="s">
        <v>6992</v>
      </c>
      <c r="F3307" s="4" t="s">
        <v>6993</v>
      </c>
    </row>
    <row r="3308" spans="1:6">
      <c r="A3308" s="4" t="s">
        <v>6994</v>
      </c>
      <c r="B3308" s="6" t="s">
        <v>6989</v>
      </c>
      <c r="C3308" s="4" t="s">
        <v>766</v>
      </c>
      <c r="D3308" s="4">
        <v>12</v>
      </c>
      <c r="E3308" s="4" t="s">
        <v>1922</v>
      </c>
      <c r="F3308" s="4" t="s">
        <v>6995</v>
      </c>
    </row>
    <row r="3309" spans="1:6">
      <c r="A3309" s="4" t="s">
        <v>6996</v>
      </c>
      <c r="B3309" s="6" t="s">
        <v>6989</v>
      </c>
      <c r="C3309" s="4" t="s">
        <v>87</v>
      </c>
      <c r="D3309" s="4">
        <v>10</v>
      </c>
      <c r="E3309" s="4" t="s">
        <v>2122</v>
      </c>
    </row>
    <row r="3310" spans="1:6">
      <c r="A3310" s="4" t="s">
        <v>6997</v>
      </c>
      <c r="B3310" s="6" t="s">
        <v>6998</v>
      </c>
      <c r="C3310" s="4" t="s">
        <v>254</v>
      </c>
      <c r="D3310" s="4">
        <v>7</v>
      </c>
      <c r="E3310" s="4" t="s">
        <v>2018</v>
      </c>
      <c r="F3310" s="4" t="s">
        <v>6999</v>
      </c>
    </row>
    <row r="3311" spans="1:6">
      <c r="A3311" s="4" t="s">
        <v>7000</v>
      </c>
      <c r="B3311" s="6" t="s">
        <v>6998</v>
      </c>
      <c r="C3311" s="4" t="s">
        <v>1403</v>
      </c>
      <c r="D3311" s="4">
        <v>12</v>
      </c>
      <c r="E3311" s="4" t="s">
        <v>2018</v>
      </c>
      <c r="F3311" s="4" t="s">
        <v>6999</v>
      </c>
    </row>
    <row r="3312" spans="1:6">
      <c r="A3312" s="4" t="s">
        <v>7001</v>
      </c>
      <c r="B3312" s="6" t="s">
        <v>7002</v>
      </c>
      <c r="C3312" s="4" t="s">
        <v>37</v>
      </c>
      <c r="D3312" s="4">
        <v>14</v>
      </c>
      <c r="E3312" s="4" t="s">
        <v>1043</v>
      </c>
      <c r="F3312" s="4" t="s">
        <v>7003</v>
      </c>
    </row>
    <row r="3313" spans="1:6">
      <c r="A3313" s="4" t="s">
        <v>7004</v>
      </c>
      <c r="B3313" s="6" t="s">
        <v>7002</v>
      </c>
      <c r="C3313" s="4" t="s">
        <v>275</v>
      </c>
      <c r="D3313" s="4">
        <v>10</v>
      </c>
      <c r="E3313" s="4" t="s">
        <v>1043</v>
      </c>
      <c r="F3313" s="4" t="s">
        <v>7005</v>
      </c>
    </row>
    <row r="3314" spans="1:6">
      <c r="A3314" s="4" t="s">
        <v>7006</v>
      </c>
      <c r="B3314" s="6" t="s">
        <v>7007</v>
      </c>
      <c r="C3314" s="4" t="s">
        <v>37</v>
      </c>
      <c r="D3314" s="4">
        <v>13</v>
      </c>
      <c r="E3314" s="4" t="s">
        <v>1047</v>
      </c>
    </row>
    <row r="3315" spans="1:6">
      <c r="A3315" s="4" t="s">
        <v>7008</v>
      </c>
      <c r="B3315" s="6" t="s">
        <v>7007</v>
      </c>
      <c r="C3315" s="4" t="s">
        <v>605</v>
      </c>
      <c r="D3315" s="4">
        <v>9</v>
      </c>
      <c r="E3315" s="4" t="s">
        <v>1047</v>
      </c>
      <c r="F3315" s="4" t="s">
        <v>7009</v>
      </c>
    </row>
    <row r="3316" spans="1:6">
      <c r="A3316" s="4" t="s">
        <v>7010</v>
      </c>
      <c r="B3316" s="6" t="s">
        <v>7011</v>
      </c>
      <c r="C3316" s="4" t="s">
        <v>296</v>
      </c>
      <c r="D3316" s="4">
        <v>9</v>
      </c>
      <c r="E3316" s="4" t="s">
        <v>7012</v>
      </c>
      <c r="F3316" s="4" t="s">
        <v>7013</v>
      </c>
    </row>
    <row r="3317" spans="1:6">
      <c r="A3317" s="4" t="s">
        <v>7014</v>
      </c>
      <c r="B3317" s="6" t="s">
        <v>7015</v>
      </c>
      <c r="C3317" s="4" t="s">
        <v>87</v>
      </c>
      <c r="D3317" s="4">
        <v>11</v>
      </c>
      <c r="E3317" s="4" t="s">
        <v>1183</v>
      </c>
      <c r="F3317" s="4" t="s">
        <v>7016</v>
      </c>
    </row>
    <row r="3318" spans="1:6">
      <c r="A3318" s="4" t="s">
        <v>7017</v>
      </c>
      <c r="B3318" s="6" t="s">
        <v>7015</v>
      </c>
      <c r="C3318" s="4" t="s">
        <v>403</v>
      </c>
      <c r="D3318" s="4">
        <v>23</v>
      </c>
      <c r="E3318" s="4" t="s">
        <v>1064</v>
      </c>
      <c r="F3318" s="4" t="s">
        <v>7018</v>
      </c>
    </row>
    <row r="3319" spans="1:6">
      <c r="A3319" s="4" t="s">
        <v>7019</v>
      </c>
      <c r="B3319" s="6" t="s">
        <v>7015</v>
      </c>
      <c r="C3319" s="4" t="s">
        <v>254</v>
      </c>
      <c r="D3319" s="4">
        <v>13</v>
      </c>
      <c r="E3319" s="4" t="s">
        <v>2887</v>
      </c>
    </row>
    <row r="3320" spans="1:6">
      <c r="A3320" s="4" t="s">
        <v>7020</v>
      </c>
      <c r="B3320" s="6" t="s">
        <v>7015</v>
      </c>
      <c r="C3320" s="4" t="s">
        <v>14</v>
      </c>
      <c r="D3320" s="4">
        <v>20</v>
      </c>
      <c r="E3320" s="4" t="s">
        <v>1064</v>
      </c>
    </row>
    <row r="3321" spans="1:6">
      <c r="A3321" s="4" t="s">
        <v>7021</v>
      </c>
      <c r="B3321" s="6" t="s">
        <v>7022</v>
      </c>
      <c r="C3321" s="4" t="s">
        <v>275</v>
      </c>
      <c r="D3321" s="4">
        <v>15</v>
      </c>
      <c r="E3321" s="4" t="s">
        <v>1064</v>
      </c>
    </row>
    <row r="3322" spans="1:6">
      <c r="A3322" s="4" t="s">
        <v>7023</v>
      </c>
      <c r="B3322" s="6" t="s">
        <v>7022</v>
      </c>
      <c r="C3322" s="4" t="s">
        <v>254</v>
      </c>
      <c r="D3322" s="4">
        <v>11</v>
      </c>
      <c r="E3322" s="4" t="s">
        <v>514</v>
      </c>
      <c r="F3322" s="4" t="s">
        <v>7024</v>
      </c>
    </row>
    <row r="3323" spans="1:6">
      <c r="A3323" s="4" t="s">
        <v>7025</v>
      </c>
      <c r="B3323" s="6" t="s">
        <v>7022</v>
      </c>
      <c r="C3323" s="4" t="s">
        <v>263</v>
      </c>
      <c r="D3323" s="4">
        <v>3</v>
      </c>
      <c r="E3323" s="4" t="s">
        <v>1064</v>
      </c>
      <c r="F3323" s="4" t="s">
        <v>3254</v>
      </c>
    </row>
    <row r="3324" spans="1:6">
      <c r="A3324" s="4" t="s">
        <v>7026</v>
      </c>
      <c r="B3324" s="6" t="s">
        <v>7022</v>
      </c>
      <c r="C3324" s="4" t="s">
        <v>121</v>
      </c>
      <c r="D3324" s="4">
        <v>4</v>
      </c>
      <c r="E3324" s="4" t="s">
        <v>1183</v>
      </c>
      <c r="F3324" s="4" t="s">
        <v>7027</v>
      </c>
    </row>
    <row r="3325" spans="1:6">
      <c r="A3325" s="4" t="s">
        <v>7028</v>
      </c>
      <c r="B3325" s="6" t="s">
        <v>7022</v>
      </c>
      <c r="C3325" s="4" t="s">
        <v>403</v>
      </c>
      <c r="D3325" s="4">
        <v>15</v>
      </c>
      <c r="E3325" s="4" t="s">
        <v>514</v>
      </c>
    </row>
    <row r="3326" spans="1:6">
      <c r="A3326" s="4" t="s">
        <v>7029</v>
      </c>
      <c r="B3326" s="6" t="s">
        <v>7022</v>
      </c>
      <c r="C3326" s="4" t="s">
        <v>254</v>
      </c>
      <c r="D3326" s="4">
        <v>5</v>
      </c>
      <c r="E3326" s="4" t="s">
        <v>1064</v>
      </c>
    </row>
    <row r="3327" spans="1:6">
      <c r="A3327" s="4" t="s">
        <v>7030</v>
      </c>
      <c r="B3327" s="6" t="s">
        <v>7031</v>
      </c>
      <c r="C3327" s="4" t="s">
        <v>686</v>
      </c>
      <c r="D3327" s="4">
        <v>12</v>
      </c>
      <c r="E3327" s="4" t="s">
        <v>1069</v>
      </c>
      <c r="F3327" s="4" t="s">
        <v>7032</v>
      </c>
    </row>
    <row r="3328" spans="1:6">
      <c r="A3328" s="4" t="s">
        <v>7033</v>
      </c>
      <c r="B3328" s="6" t="s">
        <v>7034</v>
      </c>
      <c r="C3328" s="4" t="s">
        <v>34</v>
      </c>
      <c r="D3328" s="4">
        <v>9</v>
      </c>
      <c r="E3328" s="4" t="s">
        <v>2234</v>
      </c>
      <c r="F3328" s="4" t="s">
        <v>7035</v>
      </c>
    </row>
    <row r="3329" spans="1:6">
      <c r="A3329" s="4" t="s">
        <v>7036</v>
      </c>
      <c r="B3329" s="6" t="s">
        <v>7037</v>
      </c>
      <c r="C3329" s="4" t="s">
        <v>49</v>
      </c>
      <c r="D3329" s="4">
        <v>9</v>
      </c>
      <c r="E3329" s="4" t="s">
        <v>1064</v>
      </c>
      <c r="F3329" s="4" t="s">
        <v>7038</v>
      </c>
    </row>
    <row r="3330" spans="1:6">
      <c r="A3330" s="4" t="s">
        <v>7039</v>
      </c>
      <c r="B3330" s="6" t="s">
        <v>7037</v>
      </c>
      <c r="C3330" s="4" t="s">
        <v>254</v>
      </c>
      <c r="D3330" s="4">
        <v>10</v>
      </c>
      <c r="E3330" s="4" t="s">
        <v>1064</v>
      </c>
    </row>
    <row r="3331" spans="1:6">
      <c r="A3331" s="4" t="s">
        <v>7040</v>
      </c>
      <c r="B3331" s="6" t="s">
        <v>7041</v>
      </c>
      <c r="C3331" s="4" t="s">
        <v>14</v>
      </c>
      <c r="D3331" s="4">
        <v>8</v>
      </c>
      <c r="E3331" s="4" t="s">
        <v>1069</v>
      </c>
      <c r="F3331" s="4" t="s">
        <v>7042</v>
      </c>
    </row>
    <row r="3332" spans="1:6">
      <c r="A3332" s="4" t="s">
        <v>7043</v>
      </c>
      <c r="B3332" s="6" t="s">
        <v>7041</v>
      </c>
      <c r="C3332" s="4" t="s">
        <v>238</v>
      </c>
      <c r="D3332" s="4">
        <v>8</v>
      </c>
      <c r="E3332" s="4" t="s">
        <v>2168</v>
      </c>
    </row>
    <row r="3333" spans="1:6">
      <c r="A3333" s="4" t="s">
        <v>7044</v>
      </c>
      <c r="B3333" s="6" t="s">
        <v>7045</v>
      </c>
      <c r="C3333" s="4" t="s">
        <v>1425</v>
      </c>
      <c r="D3333" s="4">
        <v>9</v>
      </c>
      <c r="E3333" s="4" t="s">
        <v>1187</v>
      </c>
    </row>
    <row r="3334" spans="1:6">
      <c r="A3334" s="4" t="s">
        <v>7046</v>
      </c>
      <c r="B3334" s="6" t="s">
        <v>7045</v>
      </c>
      <c r="C3334" s="4" t="s">
        <v>37</v>
      </c>
      <c r="D3334" s="4">
        <v>11</v>
      </c>
      <c r="E3334" s="4" t="s">
        <v>1187</v>
      </c>
      <c r="F3334" s="4" t="s">
        <v>7047</v>
      </c>
    </row>
    <row r="3335" spans="1:6">
      <c r="A3335" s="4" t="s">
        <v>7048</v>
      </c>
      <c r="B3335" s="6" t="s">
        <v>7045</v>
      </c>
      <c r="C3335" s="4" t="s">
        <v>315</v>
      </c>
      <c r="D3335" s="4">
        <v>13</v>
      </c>
      <c r="E3335" s="4" t="s">
        <v>1101</v>
      </c>
      <c r="F3335" s="4" t="s">
        <v>7049</v>
      </c>
    </row>
    <row r="3336" spans="1:6">
      <c r="A3336" s="4" t="s">
        <v>7050</v>
      </c>
      <c r="B3336" s="6" t="s">
        <v>7045</v>
      </c>
      <c r="C3336" s="4" t="s">
        <v>271</v>
      </c>
      <c r="D3336" s="4">
        <v>4</v>
      </c>
      <c r="E3336" s="4" t="s">
        <v>7051</v>
      </c>
      <c r="F3336" s="4" t="s">
        <v>7052</v>
      </c>
    </row>
    <row r="3337" spans="1:6">
      <c r="A3337" s="4" t="s">
        <v>7053</v>
      </c>
      <c r="B3337" s="6" t="s">
        <v>7054</v>
      </c>
      <c r="C3337" s="4" t="s">
        <v>995</v>
      </c>
      <c r="D3337" s="4">
        <v>11</v>
      </c>
      <c r="E3337" s="4" t="s">
        <v>2161</v>
      </c>
      <c r="F3337" s="4" t="s">
        <v>7055</v>
      </c>
    </row>
    <row r="3338" spans="1:6">
      <c r="A3338" s="4" t="s">
        <v>7056</v>
      </c>
      <c r="B3338" s="6" t="s">
        <v>7057</v>
      </c>
      <c r="C3338" s="4" t="s">
        <v>2474</v>
      </c>
      <c r="D3338" s="4">
        <v>4</v>
      </c>
      <c r="E3338" s="4" t="s">
        <v>1069</v>
      </c>
      <c r="F3338" s="4" t="s">
        <v>7058</v>
      </c>
    </row>
    <row r="3339" spans="1:6">
      <c r="A3339" s="4" t="s">
        <v>7059</v>
      </c>
      <c r="B3339" s="6" t="s">
        <v>7060</v>
      </c>
      <c r="C3339" s="4" t="s">
        <v>427</v>
      </c>
      <c r="D3339" s="4">
        <v>19</v>
      </c>
      <c r="E3339" s="4" t="s">
        <v>1064</v>
      </c>
    </row>
    <row r="3340" spans="1:6">
      <c r="A3340" s="4" t="s">
        <v>7061</v>
      </c>
      <c r="B3340" s="6" t="s">
        <v>7062</v>
      </c>
      <c r="C3340" s="4" t="s">
        <v>461</v>
      </c>
      <c r="D3340" s="4">
        <v>13</v>
      </c>
      <c r="E3340" s="4" t="s">
        <v>5301</v>
      </c>
    </row>
    <row r="3341" spans="1:6">
      <c r="A3341" s="4" t="s">
        <v>7063</v>
      </c>
      <c r="B3341" s="6" t="s">
        <v>7064</v>
      </c>
      <c r="C3341" s="4" t="s">
        <v>81</v>
      </c>
      <c r="D3341" s="4">
        <v>8</v>
      </c>
      <c r="E3341" s="4" t="s">
        <v>1183</v>
      </c>
      <c r="F3341" s="4" t="s">
        <v>7065</v>
      </c>
    </row>
    <row r="3342" spans="1:6">
      <c r="A3342" s="4" t="s">
        <v>7066</v>
      </c>
      <c r="B3342" s="6" t="s">
        <v>7067</v>
      </c>
      <c r="C3342" s="4" t="s">
        <v>87</v>
      </c>
      <c r="D3342" s="4">
        <v>9</v>
      </c>
      <c r="E3342" s="4" t="s">
        <v>1064</v>
      </c>
      <c r="F3342" s="4" t="s">
        <v>7068</v>
      </c>
    </row>
    <row r="3343" spans="1:6">
      <c r="A3343" s="4" t="s">
        <v>7069</v>
      </c>
      <c r="B3343" s="6" t="s">
        <v>7070</v>
      </c>
      <c r="C3343" s="4" t="s">
        <v>81</v>
      </c>
      <c r="D3343" s="4">
        <v>12</v>
      </c>
      <c r="E3343" s="4" t="s">
        <v>1004</v>
      </c>
    </row>
    <row r="3344" spans="1:6">
      <c r="A3344" s="4" t="s">
        <v>7071</v>
      </c>
      <c r="B3344" s="6" t="s">
        <v>7072</v>
      </c>
      <c r="C3344" s="4" t="s">
        <v>301</v>
      </c>
      <c r="D3344" s="4">
        <v>18</v>
      </c>
      <c r="E3344" s="4" t="s">
        <v>5301</v>
      </c>
      <c r="F3344" s="4" t="s">
        <v>7073</v>
      </c>
    </row>
    <row r="3345" spans="1:6">
      <c r="A3345" s="4" t="s">
        <v>7074</v>
      </c>
      <c r="B3345" s="6" t="s">
        <v>7072</v>
      </c>
      <c r="C3345" s="4" t="s">
        <v>23</v>
      </c>
      <c r="D3345" s="4">
        <v>12</v>
      </c>
      <c r="E3345" s="4" t="s">
        <v>5301</v>
      </c>
      <c r="F3345" s="4" t="s">
        <v>4343</v>
      </c>
    </row>
    <row r="3346" spans="1:6">
      <c r="A3346" s="4" t="s">
        <v>7075</v>
      </c>
      <c r="B3346" s="6" t="s">
        <v>7072</v>
      </c>
      <c r="C3346" s="4" t="s">
        <v>34</v>
      </c>
      <c r="D3346" s="4">
        <v>16</v>
      </c>
      <c r="E3346" s="4" t="s">
        <v>1064</v>
      </c>
    </row>
    <row r="3347" spans="1:6">
      <c r="A3347" s="4" t="s">
        <v>7076</v>
      </c>
      <c r="B3347" s="6" t="s">
        <v>7072</v>
      </c>
      <c r="C3347" s="4" t="s">
        <v>354</v>
      </c>
      <c r="D3347" s="4">
        <v>16</v>
      </c>
      <c r="E3347" s="4" t="s">
        <v>5301</v>
      </c>
    </row>
    <row r="3348" spans="1:6">
      <c r="A3348" s="4" t="s">
        <v>7077</v>
      </c>
      <c r="B3348" s="6" t="s">
        <v>7078</v>
      </c>
      <c r="C3348" s="4" t="s">
        <v>87</v>
      </c>
      <c r="D3348" s="4">
        <v>11</v>
      </c>
      <c r="E3348" s="4" t="s">
        <v>1069</v>
      </c>
      <c r="F3348" s="4" t="s">
        <v>2429</v>
      </c>
    </row>
    <row r="3349" spans="1:6">
      <c r="A3349" s="4" t="s">
        <v>6020</v>
      </c>
      <c r="B3349" s="6" t="s">
        <v>7079</v>
      </c>
      <c r="C3349" s="4" t="s">
        <v>6020</v>
      </c>
      <c r="D3349" s="4">
        <v>6</v>
      </c>
      <c r="E3349" s="4" t="s">
        <v>7080</v>
      </c>
      <c r="F3349" s="4" t="s">
        <v>7081</v>
      </c>
    </row>
    <row r="3350" spans="1:6">
      <c r="A3350" s="4" t="s">
        <v>7082</v>
      </c>
      <c r="B3350" s="6" t="s">
        <v>7083</v>
      </c>
      <c r="C3350" s="4" t="s">
        <v>301</v>
      </c>
      <c r="D3350" s="4">
        <v>11</v>
      </c>
      <c r="E3350" s="4" t="s">
        <v>1069</v>
      </c>
    </row>
    <row r="3351" spans="1:6">
      <c r="A3351" s="4" t="s">
        <v>7084</v>
      </c>
      <c r="B3351" s="6" t="s">
        <v>7083</v>
      </c>
      <c r="C3351" s="4" t="s">
        <v>705</v>
      </c>
      <c r="D3351" s="4">
        <v>7</v>
      </c>
      <c r="E3351" s="4" t="s">
        <v>1069</v>
      </c>
    </row>
    <row r="3352" spans="1:6">
      <c r="A3352" s="4" t="s">
        <v>7085</v>
      </c>
      <c r="B3352" s="6" t="s">
        <v>7086</v>
      </c>
      <c r="C3352" s="4" t="s">
        <v>37</v>
      </c>
      <c r="D3352" s="4">
        <v>13</v>
      </c>
      <c r="E3352" s="4" t="s">
        <v>1047</v>
      </c>
      <c r="F3352" s="4" t="s">
        <v>7087</v>
      </c>
    </row>
    <row r="3353" spans="1:6">
      <c r="A3353" s="4" t="s">
        <v>7088</v>
      </c>
      <c r="B3353" s="6" t="s">
        <v>7086</v>
      </c>
      <c r="C3353" s="4" t="s">
        <v>37</v>
      </c>
      <c r="D3353" s="4">
        <v>20</v>
      </c>
      <c r="E3353" s="4" t="s">
        <v>391</v>
      </c>
      <c r="F3353" s="4" t="s">
        <v>7089</v>
      </c>
    </row>
    <row r="3354" spans="1:6">
      <c r="A3354" s="4" t="s">
        <v>7090</v>
      </c>
      <c r="B3354" s="6" t="s">
        <v>7086</v>
      </c>
      <c r="C3354" s="4" t="s">
        <v>23</v>
      </c>
      <c r="D3354" s="4">
        <v>12</v>
      </c>
      <c r="E3354" s="4" t="s">
        <v>1047</v>
      </c>
      <c r="F3354" s="4" t="s">
        <v>1127</v>
      </c>
    </row>
    <row r="3355" spans="1:6">
      <c r="A3355" s="4" t="s">
        <v>7091</v>
      </c>
      <c r="B3355" s="6" t="s">
        <v>7092</v>
      </c>
      <c r="C3355" s="4" t="s">
        <v>271</v>
      </c>
      <c r="D3355" s="4">
        <v>9</v>
      </c>
      <c r="E3355" s="4" t="s">
        <v>2122</v>
      </c>
      <c r="F3355" s="4" t="s">
        <v>7093</v>
      </c>
    </row>
    <row r="3356" spans="1:6">
      <c r="A3356" s="4" t="s">
        <v>7094</v>
      </c>
      <c r="B3356" s="6" t="s">
        <v>7095</v>
      </c>
      <c r="C3356" s="4" t="s">
        <v>1603</v>
      </c>
      <c r="D3356" s="4">
        <v>12</v>
      </c>
      <c r="E3356" s="4" t="s">
        <v>7096</v>
      </c>
    </row>
    <row r="3357" spans="1:6">
      <c r="A3357" s="4" t="s">
        <v>7097</v>
      </c>
      <c r="B3357" s="6" t="s">
        <v>7098</v>
      </c>
      <c r="C3357" s="4" t="s">
        <v>275</v>
      </c>
      <c r="D3357" s="4">
        <v>14</v>
      </c>
      <c r="E3357" s="4" t="s">
        <v>1705</v>
      </c>
    </row>
    <row r="3358" spans="1:6">
      <c r="A3358" s="4" t="s">
        <v>7099</v>
      </c>
      <c r="B3358" s="6" t="s">
        <v>7098</v>
      </c>
      <c r="C3358" s="4" t="s">
        <v>7100</v>
      </c>
      <c r="D3358" s="4">
        <v>11</v>
      </c>
      <c r="E3358" s="4" t="s">
        <v>7101</v>
      </c>
    </row>
    <row r="3359" spans="1:6">
      <c r="A3359" s="4" t="s">
        <v>7102</v>
      </c>
      <c r="B3359" s="6" t="s">
        <v>7098</v>
      </c>
      <c r="C3359" s="4" t="s">
        <v>271</v>
      </c>
      <c r="D3359" s="4">
        <v>8</v>
      </c>
      <c r="E3359" s="4" t="s">
        <v>1047</v>
      </c>
      <c r="F3359" s="4" t="s">
        <v>7103</v>
      </c>
    </row>
    <row r="3360" spans="1:6">
      <c r="A3360" s="4" t="s">
        <v>7104</v>
      </c>
      <c r="B3360" s="6" t="s">
        <v>7098</v>
      </c>
      <c r="C3360" s="4" t="s">
        <v>1078</v>
      </c>
      <c r="D3360" s="4">
        <v>11</v>
      </c>
      <c r="E3360" s="4" t="s">
        <v>1107</v>
      </c>
    </row>
    <row r="3361" spans="1:6">
      <c r="A3361" s="4" t="s">
        <v>7105</v>
      </c>
      <c r="B3361" s="6" t="s">
        <v>7098</v>
      </c>
      <c r="C3361" s="4" t="s">
        <v>53</v>
      </c>
      <c r="D3361" s="4">
        <v>6</v>
      </c>
      <c r="E3361" s="4" t="s">
        <v>1047</v>
      </c>
    </row>
    <row r="3362" spans="1:6">
      <c r="A3362" s="4" t="s">
        <v>7106</v>
      </c>
      <c r="B3362" s="6" t="s">
        <v>7098</v>
      </c>
      <c r="C3362" s="4" t="s">
        <v>427</v>
      </c>
      <c r="D3362" s="4">
        <v>17</v>
      </c>
      <c r="E3362" s="4" t="s">
        <v>1107</v>
      </c>
    </row>
    <row r="3363" spans="1:6">
      <c r="A3363" s="4" t="s">
        <v>7107</v>
      </c>
      <c r="B3363" s="6" t="s">
        <v>7108</v>
      </c>
      <c r="C3363" s="4" t="s">
        <v>1282</v>
      </c>
      <c r="D3363" s="4">
        <v>17</v>
      </c>
      <c r="E3363" s="4" t="s">
        <v>2161</v>
      </c>
      <c r="F3363" s="4" t="s">
        <v>2952</v>
      </c>
    </row>
    <row r="3364" spans="1:6">
      <c r="A3364" s="4" t="s">
        <v>7109</v>
      </c>
      <c r="B3364" s="6" t="s">
        <v>7108</v>
      </c>
      <c r="C3364" s="4" t="s">
        <v>23</v>
      </c>
      <c r="D3364" s="4">
        <v>7</v>
      </c>
      <c r="E3364" s="4" t="s">
        <v>877</v>
      </c>
    </row>
    <row r="3365" spans="1:6">
      <c r="A3365" s="4" t="s">
        <v>7110</v>
      </c>
      <c r="B3365" s="6" t="s">
        <v>7111</v>
      </c>
      <c r="C3365" s="4" t="s">
        <v>27</v>
      </c>
      <c r="D3365" s="4">
        <v>13</v>
      </c>
      <c r="E3365" s="4" t="s">
        <v>7112</v>
      </c>
      <c r="F3365" s="4" t="s">
        <v>7113</v>
      </c>
    </row>
    <row r="3366" spans="1:6">
      <c r="A3366" s="4" t="s">
        <v>5370</v>
      </c>
      <c r="B3366" s="6" t="s">
        <v>7114</v>
      </c>
      <c r="C3366" s="4" t="s">
        <v>5370</v>
      </c>
      <c r="D3366" s="4">
        <v>7</v>
      </c>
      <c r="E3366" s="4" t="s">
        <v>989</v>
      </c>
      <c r="F3366" s="4" t="s">
        <v>7115</v>
      </c>
    </row>
    <row r="3367" spans="1:6">
      <c r="A3367" s="4" t="s">
        <v>1433</v>
      </c>
      <c r="B3367" s="6" t="s">
        <v>7116</v>
      </c>
      <c r="C3367" s="4" t="s">
        <v>1433</v>
      </c>
      <c r="D3367" s="4">
        <v>5</v>
      </c>
      <c r="E3367" s="4" t="s">
        <v>7117</v>
      </c>
    </row>
    <row r="3368" spans="1:6">
      <c r="A3368" s="4" t="s">
        <v>7118</v>
      </c>
      <c r="B3368" s="6" t="s">
        <v>7116</v>
      </c>
      <c r="C3368" s="4" t="s">
        <v>6020</v>
      </c>
      <c r="D3368" s="4">
        <v>10</v>
      </c>
      <c r="E3368" s="4" t="s">
        <v>6341</v>
      </c>
      <c r="F3368" s="4" t="s">
        <v>7119</v>
      </c>
    </row>
    <row r="3369" spans="1:6">
      <c r="A3369" s="4" t="s">
        <v>7120</v>
      </c>
      <c r="B3369" s="6" t="s">
        <v>7116</v>
      </c>
      <c r="C3369" s="4" t="s">
        <v>605</v>
      </c>
      <c r="D3369" s="4">
        <v>9</v>
      </c>
      <c r="E3369" s="4" t="s">
        <v>7121</v>
      </c>
    </row>
    <row r="3370" spans="1:6">
      <c r="A3370" s="4" t="s">
        <v>7122</v>
      </c>
      <c r="B3370" s="6" t="s">
        <v>7116</v>
      </c>
      <c r="C3370" s="4" t="s">
        <v>464</v>
      </c>
      <c r="D3370" s="4">
        <v>6</v>
      </c>
      <c r="E3370" s="4" t="s">
        <v>1047</v>
      </c>
      <c r="F3370" s="4" t="s">
        <v>7123</v>
      </c>
    </row>
    <row r="3371" spans="1:6">
      <c r="A3371" s="4" t="s">
        <v>7124</v>
      </c>
      <c r="B3371" s="6" t="s">
        <v>7125</v>
      </c>
      <c r="C3371" s="4" t="s">
        <v>37</v>
      </c>
      <c r="D3371" s="4">
        <v>15</v>
      </c>
      <c r="E3371" s="4" t="s">
        <v>1110</v>
      </c>
      <c r="F3371" s="4" t="s">
        <v>7126</v>
      </c>
    </row>
    <row r="3372" spans="1:6">
      <c r="A3372" s="4" t="s">
        <v>1581</v>
      </c>
      <c r="B3372" s="6" t="s">
        <v>7127</v>
      </c>
      <c r="C3372" s="4" t="s">
        <v>1581</v>
      </c>
      <c r="D3372" s="4">
        <v>4</v>
      </c>
      <c r="E3372" s="4" t="s">
        <v>1047</v>
      </c>
      <c r="F3372" s="4" t="s">
        <v>7128</v>
      </c>
    </row>
    <row r="3373" spans="1:6">
      <c r="A3373" s="4" t="s">
        <v>461</v>
      </c>
      <c r="B3373" s="6" t="s">
        <v>7127</v>
      </c>
      <c r="C3373" s="4" t="s">
        <v>461</v>
      </c>
      <c r="D3373" s="4">
        <v>5</v>
      </c>
      <c r="E3373" s="4" t="s">
        <v>6341</v>
      </c>
      <c r="F3373" s="4" t="s">
        <v>7129</v>
      </c>
    </row>
    <row r="3374" spans="1:6">
      <c r="A3374" s="4" t="s">
        <v>7130</v>
      </c>
      <c r="B3374" s="6" t="s">
        <v>7127</v>
      </c>
      <c r="C3374" s="4" t="s">
        <v>461</v>
      </c>
      <c r="D3374" s="4">
        <v>11</v>
      </c>
      <c r="E3374" s="4" t="s">
        <v>1047</v>
      </c>
    </row>
    <row r="3375" spans="1:6">
      <c r="A3375" s="4" t="s">
        <v>7131</v>
      </c>
      <c r="B3375" s="6" t="s">
        <v>7127</v>
      </c>
      <c r="C3375" s="4" t="s">
        <v>238</v>
      </c>
      <c r="D3375" s="4">
        <v>5</v>
      </c>
      <c r="E3375" s="4" t="s">
        <v>1047</v>
      </c>
      <c r="F3375" s="4" t="s">
        <v>7132</v>
      </c>
    </row>
    <row r="3376" spans="1:6">
      <c r="A3376" s="4" t="s">
        <v>7133</v>
      </c>
      <c r="B3376" s="6" t="s">
        <v>7127</v>
      </c>
      <c r="C3376" s="4" t="s">
        <v>254</v>
      </c>
      <c r="D3376" s="4">
        <v>8</v>
      </c>
      <c r="E3376" s="4" t="s">
        <v>7112</v>
      </c>
      <c r="F3376" s="4" t="s">
        <v>7134</v>
      </c>
    </row>
    <row r="3377" spans="1:6">
      <c r="A3377" s="4" t="s">
        <v>7135</v>
      </c>
      <c r="B3377" s="6" t="s">
        <v>7127</v>
      </c>
      <c r="C3377" s="4" t="s">
        <v>104</v>
      </c>
      <c r="D3377" s="4">
        <v>9</v>
      </c>
      <c r="E3377" s="4" t="s">
        <v>7136</v>
      </c>
      <c r="F3377" s="4" t="s">
        <v>7137</v>
      </c>
    </row>
    <row r="3378" spans="1:6">
      <c r="A3378" s="4" t="s">
        <v>7138</v>
      </c>
      <c r="B3378" s="6" t="s">
        <v>7127</v>
      </c>
      <c r="C3378" s="4" t="s">
        <v>81</v>
      </c>
      <c r="D3378" s="4">
        <v>9</v>
      </c>
      <c r="E3378" s="4" t="s">
        <v>5513</v>
      </c>
      <c r="F3378" s="4" t="s">
        <v>3990</v>
      </c>
    </row>
    <row r="3379" spans="1:6">
      <c r="A3379" s="4" t="s">
        <v>7139</v>
      </c>
      <c r="B3379" s="6" t="s">
        <v>7127</v>
      </c>
      <c r="C3379" s="4" t="s">
        <v>53</v>
      </c>
      <c r="D3379" s="4">
        <v>9</v>
      </c>
      <c r="E3379" s="4" t="s">
        <v>6341</v>
      </c>
      <c r="F3379" s="4" t="s">
        <v>7140</v>
      </c>
    </row>
    <row r="3380" spans="1:6">
      <c r="A3380" s="4" t="s">
        <v>7141</v>
      </c>
      <c r="B3380" s="6" t="s">
        <v>7127</v>
      </c>
      <c r="C3380" s="4" t="s">
        <v>23</v>
      </c>
      <c r="D3380" s="4">
        <v>13</v>
      </c>
      <c r="E3380" s="4" t="s">
        <v>6341</v>
      </c>
      <c r="F3380" s="4" t="s">
        <v>7142</v>
      </c>
    </row>
    <row r="3381" spans="1:6">
      <c r="A3381" s="4" t="s">
        <v>7143</v>
      </c>
      <c r="B3381" s="6" t="s">
        <v>7127</v>
      </c>
      <c r="C3381" s="4" t="s">
        <v>238</v>
      </c>
      <c r="D3381" s="4">
        <v>7</v>
      </c>
      <c r="E3381" s="4" t="s">
        <v>1047</v>
      </c>
      <c r="F3381" s="4" t="s">
        <v>1119</v>
      </c>
    </row>
    <row r="3382" spans="1:6">
      <c r="A3382" s="4" t="s">
        <v>7144</v>
      </c>
      <c r="B3382" s="6" t="s">
        <v>7145</v>
      </c>
    </row>
    <row r="3383" spans="1:6">
      <c r="A3383" s="4" t="s">
        <v>7146</v>
      </c>
      <c r="B3383" s="6" t="s">
        <v>7147</v>
      </c>
      <c r="C3383" s="4" t="s">
        <v>342</v>
      </c>
      <c r="D3383" s="4">
        <v>11</v>
      </c>
      <c r="E3383" s="4" t="s">
        <v>6863</v>
      </c>
      <c r="F3383" s="4" t="s">
        <v>7148</v>
      </c>
    </row>
    <row r="3384" spans="1:6">
      <c r="A3384" s="4" t="s">
        <v>7149</v>
      </c>
      <c r="B3384" s="6" t="s">
        <v>7150</v>
      </c>
      <c r="C3384" s="4" t="s">
        <v>49</v>
      </c>
      <c r="D3384" s="4">
        <v>12</v>
      </c>
      <c r="E3384" s="4" t="s">
        <v>1004</v>
      </c>
      <c r="F3384" s="4" t="s">
        <v>7151</v>
      </c>
    </row>
    <row r="3385" spans="1:6">
      <c r="A3385" s="4" t="s">
        <v>7152</v>
      </c>
      <c r="B3385" s="6" t="s">
        <v>7153</v>
      </c>
      <c r="C3385" s="4" t="s">
        <v>53</v>
      </c>
      <c r="D3385" s="4">
        <v>11</v>
      </c>
      <c r="E3385" s="4" t="s">
        <v>2769</v>
      </c>
    </row>
    <row r="3386" spans="1:6">
      <c r="A3386" s="4" t="s">
        <v>7154</v>
      </c>
      <c r="B3386" s="6" t="s">
        <v>7155</v>
      </c>
      <c r="C3386" s="4" t="s">
        <v>81</v>
      </c>
      <c r="D3386" s="4">
        <v>10</v>
      </c>
      <c r="E3386" s="4" t="s">
        <v>7156</v>
      </c>
    </row>
    <row r="3387" spans="1:6">
      <c r="A3387" s="4" t="s">
        <v>7157</v>
      </c>
      <c r="B3387" s="6" t="s">
        <v>7158</v>
      </c>
      <c r="C3387" s="4" t="s">
        <v>520</v>
      </c>
      <c r="D3387" s="4">
        <v>11</v>
      </c>
      <c r="E3387" s="4" t="s">
        <v>7159</v>
      </c>
    </row>
    <row r="3388" spans="1:6">
      <c r="A3388" s="4" t="s">
        <v>7160</v>
      </c>
      <c r="B3388" s="6" t="s">
        <v>7161</v>
      </c>
      <c r="C3388" s="4" t="s">
        <v>275</v>
      </c>
      <c r="D3388" s="4">
        <v>9</v>
      </c>
      <c r="E3388" s="4" t="s">
        <v>7162</v>
      </c>
      <c r="F3388" s="4" t="s">
        <v>7163</v>
      </c>
    </row>
    <row r="3389" spans="1:6">
      <c r="A3389" s="4" t="s">
        <v>7164</v>
      </c>
      <c r="B3389" s="6" t="s">
        <v>7165</v>
      </c>
      <c r="C3389" s="4" t="s">
        <v>1624</v>
      </c>
      <c r="D3389" s="4">
        <v>9</v>
      </c>
      <c r="E3389" s="4" t="s">
        <v>1908</v>
      </c>
    </row>
    <row r="3390" spans="1:6">
      <c r="A3390" s="4" t="s">
        <v>7166</v>
      </c>
      <c r="B3390" s="6" t="s">
        <v>7167</v>
      </c>
      <c r="C3390" s="4" t="s">
        <v>354</v>
      </c>
      <c r="D3390" s="4">
        <v>11</v>
      </c>
      <c r="E3390" s="4" t="s">
        <v>2313</v>
      </c>
      <c r="F3390" s="4" t="s">
        <v>7168</v>
      </c>
    </row>
    <row r="3391" spans="1:6">
      <c r="A3391" s="4" t="s">
        <v>7169</v>
      </c>
      <c r="B3391" s="6" t="s">
        <v>7170</v>
      </c>
      <c r="C3391" s="4" t="s">
        <v>37</v>
      </c>
      <c r="D3391" s="4">
        <v>13</v>
      </c>
      <c r="E3391" s="4" t="s">
        <v>7171</v>
      </c>
      <c r="F3391" s="4" t="s">
        <v>7172</v>
      </c>
    </row>
    <row r="3392" spans="1:6">
      <c r="A3392" s="4" t="s">
        <v>7173</v>
      </c>
      <c r="B3392" s="6" t="s">
        <v>7174</v>
      </c>
      <c r="C3392" s="4" t="s">
        <v>23</v>
      </c>
      <c r="D3392" s="4">
        <v>11</v>
      </c>
      <c r="E3392" s="4" t="s">
        <v>1989</v>
      </c>
      <c r="F3392" s="4" t="s">
        <v>7175</v>
      </c>
    </row>
    <row r="3393" spans="1:6">
      <c r="A3393" s="4" t="s">
        <v>7176</v>
      </c>
      <c r="B3393" s="6" t="s">
        <v>7177</v>
      </c>
      <c r="C3393" s="4" t="s">
        <v>14</v>
      </c>
      <c r="D3393" s="4">
        <v>7</v>
      </c>
      <c r="E3393" s="4" t="s">
        <v>1989</v>
      </c>
    </row>
    <row r="3394" spans="1:6">
      <c r="A3394" s="4" t="s">
        <v>7178</v>
      </c>
      <c r="B3394" s="6" t="s">
        <v>7177</v>
      </c>
      <c r="C3394" s="4" t="s">
        <v>53</v>
      </c>
      <c r="D3394" s="4">
        <v>16</v>
      </c>
      <c r="E3394" s="4" t="s">
        <v>1989</v>
      </c>
    </row>
    <row r="3395" spans="1:6">
      <c r="A3395" s="4" t="s">
        <v>7179</v>
      </c>
      <c r="B3395" s="6" t="s">
        <v>7180</v>
      </c>
      <c r="C3395" s="4" t="s">
        <v>1180</v>
      </c>
      <c r="D3395" s="4">
        <v>7</v>
      </c>
      <c r="E3395" s="4" t="s">
        <v>5332</v>
      </c>
      <c r="F3395" s="4" t="s">
        <v>7181</v>
      </c>
    </row>
    <row r="3396" spans="1:6">
      <c r="A3396" s="4" t="s">
        <v>7182</v>
      </c>
      <c r="B3396" s="6" t="s">
        <v>7180</v>
      </c>
      <c r="C3396" s="4" t="s">
        <v>254</v>
      </c>
      <c r="D3396" s="4">
        <v>16</v>
      </c>
      <c r="E3396" s="4" t="s">
        <v>1161</v>
      </c>
    </row>
    <row r="3397" spans="1:6">
      <c r="A3397" s="4" t="s">
        <v>7183</v>
      </c>
      <c r="B3397" s="6" t="s">
        <v>7180</v>
      </c>
      <c r="C3397" s="4" t="s">
        <v>2506</v>
      </c>
      <c r="D3397" s="4">
        <v>14</v>
      </c>
      <c r="E3397" s="4" t="s">
        <v>5332</v>
      </c>
      <c r="F3397" s="4" t="s">
        <v>7181</v>
      </c>
    </row>
    <row r="3398" spans="1:6">
      <c r="A3398" s="4" t="s">
        <v>7184</v>
      </c>
      <c r="B3398" s="6" t="s">
        <v>7185</v>
      </c>
      <c r="C3398" s="4" t="s">
        <v>1211</v>
      </c>
      <c r="D3398" s="4">
        <v>11</v>
      </c>
      <c r="E3398" s="4" t="s">
        <v>1148</v>
      </c>
      <c r="F3398" s="4" t="s">
        <v>7186</v>
      </c>
    </row>
    <row r="3399" spans="1:6">
      <c r="A3399" s="4" t="s">
        <v>7187</v>
      </c>
      <c r="B3399" s="6" t="s">
        <v>7188</v>
      </c>
      <c r="C3399" s="4" t="s">
        <v>254</v>
      </c>
      <c r="D3399" s="4">
        <v>13</v>
      </c>
      <c r="E3399" s="4" t="s">
        <v>6246</v>
      </c>
      <c r="F3399" s="4" t="s">
        <v>7189</v>
      </c>
    </row>
    <row r="3400" spans="1:6">
      <c r="A3400" s="4" t="s">
        <v>7190</v>
      </c>
      <c r="B3400" s="6" t="s">
        <v>7188</v>
      </c>
      <c r="C3400" s="4" t="s">
        <v>285</v>
      </c>
      <c r="D3400" s="4">
        <v>11</v>
      </c>
      <c r="E3400" s="4" t="s">
        <v>6246</v>
      </c>
    </row>
    <row r="3401" spans="1:6">
      <c r="A3401" s="4" t="s">
        <v>7191</v>
      </c>
      <c r="B3401" s="6" t="s">
        <v>7192</v>
      </c>
      <c r="C3401" s="4" t="s">
        <v>53</v>
      </c>
      <c r="D3401" s="4">
        <v>7</v>
      </c>
      <c r="E3401" s="4" t="s">
        <v>2387</v>
      </c>
      <c r="F3401" s="4" t="s">
        <v>181</v>
      </c>
    </row>
    <row r="3402" spans="1:6">
      <c r="A3402" s="4" t="s">
        <v>7193</v>
      </c>
      <c r="B3402" s="6" t="s">
        <v>7192</v>
      </c>
      <c r="C3402" s="4" t="s">
        <v>23</v>
      </c>
      <c r="D3402" s="4">
        <v>7</v>
      </c>
      <c r="E3402" s="4" t="s">
        <v>2446</v>
      </c>
      <c r="F3402" s="4" t="s">
        <v>196</v>
      </c>
    </row>
    <row r="3403" spans="1:6">
      <c r="A3403" s="4" t="s">
        <v>7194</v>
      </c>
      <c r="B3403" s="6" t="s">
        <v>7195</v>
      </c>
      <c r="C3403" s="4" t="s">
        <v>275</v>
      </c>
      <c r="D3403" s="4">
        <v>10</v>
      </c>
      <c r="E3403" s="4" t="s">
        <v>7196</v>
      </c>
      <c r="F3403" s="4" t="s">
        <v>7197</v>
      </c>
    </row>
    <row r="3404" spans="1:6">
      <c r="A3404" s="4" t="s">
        <v>7198</v>
      </c>
      <c r="B3404" s="6" t="s">
        <v>7195</v>
      </c>
      <c r="C3404" s="4" t="s">
        <v>1282</v>
      </c>
      <c r="D3404" s="4">
        <v>14</v>
      </c>
      <c r="E3404" s="4" t="s">
        <v>6193</v>
      </c>
      <c r="F3404" s="4" t="s">
        <v>4579</v>
      </c>
    </row>
    <row r="3405" spans="1:6">
      <c r="A3405" s="4" t="s">
        <v>7199</v>
      </c>
      <c r="B3405" s="6" t="s">
        <v>7195</v>
      </c>
      <c r="C3405" s="4" t="s">
        <v>81</v>
      </c>
      <c r="D3405" s="4">
        <v>12</v>
      </c>
      <c r="E3405" s="4" t="s">
        <v>6193</v>
      </c>
    </row>
    <row r="3406" spans="1:6">
      <c r="A3406" s="4" t="s">
        <v>7200</v>
      </c>
      <c r="B3406" s="6" t="s">
        <v>7195</v>
      </c>
      <c r="C3406" s="4" t="s">
        <v>49</v>
      </c>
      <c r="D3406" s="4">
        <v>12</v>
      </c>
      <c r="E3406" s="4" t="s">
        <v>6193</v>
      </c>
      <c r="F3406" s="4" t="s">
        <v>7201</v>
      </c>
    </row>
    <row r="3407" spans="1:6">
      <c r="A3407" s="4" t="s">
        <v>7202</v>
      </c>
      <c r="B3407" s="6" t="s">
        <v>7195</v>
      </c>
      <c r="C3407" s="4" t="s">
        <v>243</v>
      </c>
      <c r="D3407" s="4">
        <v>5</v>
      </c>
      <c r="E3407" s="4" t="s">
        <v>7203</v>
      </c>
    </row>
    <row r="3408" spans="1:6">
      <c r="A3408" s="4" t="s">
        <v>7204</v>
      </c>
      <c r="B3408" s="6" t="s">
        <v>7205</v>
      </c>
      <c r="C3408" s="4" t="s">
        <v>34</v>
      </c>
      <c r="D3408" s="4">
        <v>11</v>
      </c>
      <c r="E3408" s="4" t="s">
        <v>1148</v>
      </c>
      <c r="F3408" s="4" t="s">
        <v>793</v>
      </c>
    </row>
    <row r="3409" spans="1:6">
      <c r="A3409" s="4" t="s">
        <v>7206</v>
      </c>
      <c r="B3409" s="6" t="s">
        <v>7205</v>
      </c>
      <c r="C3409" s="4" t="s">
        <v>1262</v>
      </c>
      <c r="D3409" s="4">
        <v>15</v>
      </c>
      <c r="E3409" s="4" t="s">
        <v>7207</v>
      </c>
    </row>
    <row r="3410" spans="1:6">
      <c r="A3410" s="4" t="s">
        <v>7208</v>
      </c>
      <c r="B3410" s="6" t="s">
        <v>7205</v>
      </c>
      <c r="C3410" s="4" t="s">
        <v>963</v>
      </c>
      <c r="D3410" s="4">
        <v>7</v>
      </c>
      <c r="E3410" s="4" t="s">
        <v>2353</v>
      </c>
      <c r="F3410" s="4" t="s">
        <v>7209</v>
      </c>
    </row>
    <row r="3411" spans="1:6">
      <c r="A3411" s="4" t="s">
        <v>7210</v>
      </c>
      <c r="B3411" s="6" t="s">
        <v>7205</v>
      </c>
      <c r="C3411" s="4" t="s">
        <v>976</v>
      </c>
      <c r="D3411" s="4">
        <v>9</v>
      </c>
      <c r="E3411" s="4" t="s">
        <v>2353</v>
      </c>
      <c r="F3411" s="4" t="s">
        <v>7209</v>
      </c>
    </row>
    <row r="3412" spans="1:6">
      <c r="A3412" s="4" t="s">
        <v>7211</v>
      </c>
      <c r="B3412" s="6" t="s">
        <v>7212</v>
      </c>
      <c r="C3412" s="4" t="s">
        <v>254</v>
      </c>
      <c r="D3412" s="4">
        <v>6</v>
      </c>
      <c r="E3412" s="4" t="s">
        <v>6246</v>
      </c>
      <c r="F3412" s="4" t="s">
        <v>7213</v>
      </c>
    </row>
    <row r="3413" spans="1:6">
      <c r="A3413" s="4" t="s">
        <v>7214</v>
      </c>
      <c r="B3413" s="6" t="s">
        <v>7212</v>
      </c>
      <c r="C3413" s="4" t="s">
        <v>254</v>
      </c>
      <c r="D3413" s="4">
        <v>10</v>
      </c>
      <c r="E3413" s="4" t="s">
        <v>6246</v>
      </c>
      <c r="F3413" s="4" t="s">
        <v>7213</v>
      </c>
    </row>
    <row r="3414" spans="1:6">
      <c r="A3414" s="4" t="s">
        <v>1180</v>
      </c>
      <c r="B3414" s="6" t="s">
        <v>7215</v>
      </c>
      <c r="C3414" s="4" t="s">
        <v>1180</v>
      </c>
      <c r="D3414" s="4">
        <v>3</v>
      </c>
      <c r="E3414" s="4" t="s">
        <v>7216</v>
      </c>
    </row>
    <row r="3415" spans="1:6">
      <c r="A3415" s="4" t="s">
        <v>7217</v>
      </c>
      <c r="B3415" s="6" t="s">
        <v>7215</v>
      </c>
      <c r="C3415" s="4" t="s">
        <v>223</v>
      </c>
      <c r="D3415" s="4">
        <v>15</v>
      </c>
      <c r="E3415" s="4" t="s">
        <v>1922</v>
      </c>
      <c r="F3415" s="4" t="s">
        <v>7218</v>
      </c>
    </row>
    <row r="3416" spans="1:6">
      <c r="A3416" s="4" t="s">
        <v>7219</v>
      </c>
      <c r="B3416" s="6" t="s">
        <v>7215</v>
      </c>
      <c r="C3416" s="4" t="s">
        <v>23</v>
      </c>
      <c r="D3416" s="4">
        <v>6</v>
      </c>
      <c r="E3416" s="4" t="s">
        <v>979</v>
      </c>
    </row>
    <row r="3417" spans="1:6">
      <c r="A3417" s="4" t="s">
        <v>7220</v>
      </c>
      <c r="B3417" s="6" t="s">
        <v>7221</v>
      </c>
      <c r="C3417" s="4" t="s">
        <v>76</v>
      </c>
      <c r="D3417" s="4">
        <v>12</v>
      </c>
      <c r="E3417" s="4" t="s">
        <v>7222</v>
      </c>
      <c r="F3417" s="4" t="s">
        <v>7223</v>
      </c>
    </row>
    <row r="3418" spans="1:6">
      <c r="A3418" s="4" t="s">
        <v>7224</v>
      </c>
      <c r="B3418" s="6" t="s">
        <v>7221</v>
      </c>
      <c r="C3418" s="4" t="s">
        <v>301</v>
      </c>
      <c r="D3418" s="4">
        <v>11</v>
      </c>
      <c r="E3418" s="4" t="s">
        <v>979</v>
      </c>
      <c r="F3418" s="4" t="s">
        <v>7225</v>
      </c>
    </row>
    <row r="3419" spans="1:6">
      <c r="A3419" s="4" t="s">
        <v>7226</v>
      </c>
      <c r="B3419" s="6" t="s">
        <v>7221</v>
      </c>
      <c r="C3419" s="4" t="s">
        <v>254</v>
      </c>
      <c r="D3419" s="4">
        <v>11</v>
      </c>
      <c r="E3419" s="4" t="s">
        <v>6682</v>
      </c>
    </row>
    <row r="3420" spans="1:6">
      <c r="A3420" s="4" t="s">
        <v>7227</v>
      </c>
      <c r="B3420" s="6" t="s">
        <v>7228</v>
      </c>
      <c r="C3420" s="4" t="s">
        <v>23</v>
      </c>
      <c r="D3420" s="4">
        <v>6</v>
      </c>
      <c r="E3420" s="4" t="s">
        <v>2353</v>
      </c>
      <c r="F3420" s="4" t="s">
        <v>4419</v>
      </c>
    </row>
    <row r="3421" spans="1:6">
      <c r="A3421" s="4" t="s">
        <v>27</v>
      </c>
      <c r="B3421" s="6" t="s">
        <v>7228</v>
      </c>
      <c r="C3421" s="4" t="s">
        <v>27</v>
      </c>
      <c r="D3421" s="4">
        <v>3</v>
      </c>
      <c r="E3421" s="4" t="s">
        <v>7229</v>
      </c>
      <c r="F3421" s="4" t="s">
        <v>1224</v>
      </c>
    </row>
    <row r="3422" spans="1:6">
      <c r="A3422" s="4" t="s">
        <v>7230</v>
      </c>
      <c r="B3422" s="6" t="s">
        <v>7231</v>
      </c>
      <c r="C3422" s="4" t="s">
        <v>81</v>
      </c>
      <c r="D3422" s="4">
        <v>6</v>
      </c>
      <c r="E3422" s="4" t="s">
        <v>2387</v>
      </c>
    </row>
    <row r="3423" spans="1:6">
      <c r="A3423" s="4" t="s">
        <v>7232</v>
      </c>
      <c r="B3423" s="6" t="s">
        <v>7233</v>
      </c>
      <c r="C3423" s="4" t="s">
        <v>104</v>
      </c>
      <c r="D3423" s="4">
        <v>10</v>
      </c>
      <c r="E3423" s="4" t="s">
        <v>7112</v>
      </c>
      <c r="F3423" s="4" t="s">
        <v>7234</v>
      </c>
    </row>
    <row r="3424" spans="1:6">
      <c r="A3424" s="4" t="s">
        <v>7235</v>
      </c>
      <c r="B3424" s="6" t="s">
        <v>7236</v>
      </c>
      <c r="C3424" s="4" t="s">
        <v>458</v>
      </c>
      <c r="D3424" s="4">
        <v>9</v>
      </c>
      <c r="E3424" s="4" t="s">
        <v>1004</v>
      </c>
      <c r="F3424" s="4" t="s">
        <v>7237</v>
      </c>
    </row>
    <row r="3425" spans="1:6">
      <c r="A3425" s="4" t="s">
        <v>7238</v>
      </c>
      <c r="B3425" s="6" t="s">
        <v>7236</v>
      </c>
      <c r="C3425" s="4" t="s">
        <v>1328</v>
      </c>
      <c r="D3425" s="4">
        <v>6</v>
      </c>
      <c r="E3425" s="4" t="s">
        <v>1004</v>
      </c>
      <c r="F3425" s="4" t="s">
        <v>7239</v>
      </c>
    </row>
    <row r="3426" spans="1:6">
      <c r="A3426" s="4" t="s">
        <v>7240</v>
      </c>
      <c r="B3426" s="6" t="s">
        <v>7236</v>
      </c>
      <c r="C3426" s="4" t="s">
        <v>53</v>
      </c>
      <c r="D3426" s="4">
        <v>13</v>
      </c>
      <c r="E3426" s="4" t="s">
        <v>1004</v>
      </c>
      <c r="F3426" s="4" t="s">
        <v>7241</v>
      </c>
    </row>
    <row r="3427" spans="1:6">
      <c r="A3427" s="4" t="s">
        <v>7242</v>
      </c>
      <c r="B3427" s="6" t="s">
        <v>7236</v>
      </c>
      <c r="C3427" s="4" t="s">
        <v>23</v>
      </c>
      <c r="D3427" s="4">
        <v>12</v>
      </c>
      <c r="E3427" s="4" t="s">
        <v>1004</v>
      </c>
      <c r="F3427" s="4" t="s">
        <v>2141</v>
      </c>
    </row>
    <row r="3428" spans="1:6">
      <c r="A3428" s="4" t="s">
        <v>7243</v>
      </c>
      <c r="B3428" s="6" t="s">
        <v>7244</v>
      </c>
      <c r="C3428" s="4" t="s">
        <v>1756</v>
      </c>
      <c r="D3428" s="4">
        <v>5</v>
      </c>
      <c r="E3428" s="4" t="s">
        <v>1004</v>
      </c>
      <c r="F3428" s="4" t="s">
        <v>7239</v>
      </c>
    </row>
    <row r="3429" spans="1:6">
      <c r="A3429" s="4" t="s">
        <v>7245</v>
      </c>
      <c r="B3429" s="6" t="s">
        <v>7246</v>
      </c>
      <c r="C3429" s="4" t="s">
        <v>995</v>
      </c>
      <c r="D3429" s="4">
        <v>18</v>
      </c>
      <c r="E3429" s="4" t="s">
        <v>7159</v>
      </c>
      <c r="F3429" s="4" t="s">
        <v>7247</v>
      </c>
    </row>
    <row r="3430" spans="1:6">
      <c r="A3430" s="4" t="s">
        <v>7248</v>
      </c>
      <c r="B3430" s="6" t="s">
        <v>7249</v>
      </c>
      <c r="C3430" s="4" t="s">
        <v>301</v>
      </c>
      <c r="D3430" s="4">
        <v>10</v>
      </c>
      <c r="E3430" s="4" t="s">
        <v>1164</v>
      </c>
    </row>
    <row r="3431" spans="1:6">
      <c r="A3431" s="4" t="s">
        <v>7250</v>
      </c>
      <c r="B3431" s="6" t="s">
        <v>7249</v>
      </c>
      <c r="C3431" s="4" t="s">
        <v>87</v>
      </c>
      <c r="D3431" s="4">
        <v>11</v>
      </c>
      <c r="E3431" s="4" t="s">
        <v>1164</v>
      </c>
    </row>
    <row r="3432" spans="1:6">
      <c r="A3432" s="4" t="s">
        <v>7251</v>
      </c>
      <c r="B3432" s="6" t="s">
        <v>7249</v>
      </c>
      <c r="C3432" s="4" t="s">
        <v>132</v>
      </c>
      <c r="D3432" s="4">
        <v>19</v>
      </c>
      <c r="E3432" s="4" t="s">
        <v>7252</v>
      </c>
      <c r="F3432" s="4" t="s">
        <v>7253</v>
      </c>
    </row>
    <row r="3433" spans="1:6">
      <c r="A3433" s="4" t="s">
        <v>7254</v>
      </c>
      <c r="B3433" s="6" t="s">
        <v>7249</v>
      </c>
      <c r="C3433" s="4" t="s">
        <v>268</v>
      </c>
      <c r="D3433" s="4">
        <v>13</v>
      </c>
      <c r="E3433" s="4" t="s">
        <v>1164</v>
      </c>
      <c r="F3433" s="4" t="s">
        <v>7255</v>
      </c>
    </row>
    <row r="3434" spans="1:6">
      <c r="A3434" s="4" t="s">
        <v>7256</v>
      </c>
      <c r="B3434" s="6" t="s">
        <v>7249</v>
      </c>
      <c r="C3434" s="4" t="s">
        <v>1262</v>
      </c>
      <c r="D3434" s="4">
        <v>15</v>
      </c>
      <c r="E3434" s="4" t="s">
        <v>7257</v>
      </c>
    </row>
    <row r="3435" spans="1:6">
      <c r="A3435" s="4" t="s">
        <v>7258</v>
      </c>
      <c r="B3435" s="6" t="s">
        <v>7259</v>
      </c>
      <c r="C3435" s="4" t="s">
        <v>995</v>
      </c>
      <c r="D3435" s="4">
        <v>9</v>
      </c>
      <c r="E3435" s="4" t="s">
        <v>7260</v>
      </c>
      <c r="F3435" s="4" t="s">
        <v>7261</v>
      </c>
    </row>
    <row r="3436" spans="1:6">
      <c r="A3436" s="4" t="s">
        <v>7262</v>
      </c>
      <c r="B3436" s="6" t="s">
        <v>7259</v>
      </c>
      <c r="C3436" s="4" t="s">
        <v>53</v>
      </c>
      <c r="D3436" s="4">
        <v>13</v>
      </c>
      <c r="E3436" s="4" t="s">
        <v>1164</v>
      </c>
    </row>
    <row r="3437" spans="1:6">
      <c r="A3437" s="4" t="s">
        <v>7263</v>
      </c>
      <c r="B3437" s="6" t="s">
        <v>7264</v>
      </c>
      <c r="C3437" s="4" t="s">
        <v>221</v>
      </c>
      <c r="D3437" s="4">
        <v>12</v>
      </c>
      <c r="E3437" s="4" t="s">
        <v>1164</v>
      </c>
    </row>
    <row r="3438" spans="1:6">
      <c r="A3438" s="4" t="s">
        <v>7265</v>
      </c>
      <c r="B3438" s="6" t="s">
        <v>7266</v>
      </c>
      <c r="C3438" s="4" t="s">
        <v>275</v>
      </c>
      <c r="D3438" s="4">
        <v>8</v>
      </c>
      <c r="E3438" s="4" t="s">
        <v>7267</v>
      </c>
      <c r="F3438" s="4" t="s">
        <v>7268</v>
      </c>
    </row>
    <row r="3439" spans="1:6">
      <c r="A3439" s="4" t="s">
        <v>7269</v>
      </c>
      <c r="B3439" s="6" t="s">
        <v>7266</v>
      </c>
      <c r="C3439" s="4" t="s">
        <v>1420</v>
      </c>
      <c r="D3439" s="4">
        <v>11</v>
      </c>
      <c r="E3439" s="4" t="s">
        <v>7267</v>
      </c>
      <c r="F3439" s="4" t="s">
        <v>7270</v>
      </c>
    </row>
    <row r="3440" spans="1:6">
      <c r="A3440" s="4" t="s">
        <v>7271</v>
      </c>
      <c r="B3440" s="6" t="s">
        <v>7272</v>
      </c>
      <c r="C3440" s="4" t="s">
        <v>53</v>
      </c>
      <c r="D3440" s="4">
        <v>5</v>
      </c>
      <c r="E3440" s="4" t="s">
        <v>7267</v>
      </c>
      <c r="F3440" s="4" t="s">
        <v>7273</v>
      </c>
    </row>
    <row r="3441" spans="1:6">
      <c r="A3441" s="4" t="s">
        <v>7274</v>
      </c>
      <c r="B3441" s="6" t="s">
        <v>7275</v>
      </c>
      <c r="C3441" s="4" t="s">
        <v>458</v>
      </c>
      <c r="D3441" s="4">
        <v>12</v>
      </c>
      <c r="E3441" s="4" t="s">
        <v>7276</v>
      </c>
    </row>
    <row r="3442" spans="1:6">
      <c r="A3442" s="4" t="s">
        <v>7277</v>
      </c>
      <c r="B3442" s="6" t="s">
        <v>7278</v>
      </c>
      <c r="C3442" s="4" t="s">
        <v>945</v>
      </c>
      <c r="D3442" s="4">
        <v>12</v>
      </c>
      <c r="E3442" s="4" t="s">
        <v>5349</v>
      </c>
    </row>
    <row r="3443" spans="1:6">
      <c r="A3443" s="4" t="s">
        <v>7279</v>
      </c>
      <c r="B3443" s="6" t="s">
        <v>7280</v>
      </c>
      <c r="C3443" s="4" t="s">
        <v>605</v>
      </c>
      <c r="D3443" s="4">
        <v>12</v>
      </c>
      <c r="E3443" s="4" t="s">
        <v>6738</v>
      </c>
    </row>
    <row r="3444" spans="1:6">
      <c r="A3444" s="4" t="s">
        <v>7281</v>
      </c>
      <c r="B3444" s="6" t="s">
        <v>7280</v>
      </c>
      <c r="C3444" s="4" t="s">
        <v>605</v>
      </c>
      <c r="D3444" s="4">
        <v>21</v>
      </c>
      <c r="E3444" s="4" t="s">
        <v>6738</v>
      </c>
    </row>
    <row r="3445" spans="1:6">
      <c r="A3445" s="4" t="s">
        <v>7282</v>
      </c>
      <c r="B3445" s="6" t="s">
        <v>7283</v>
      </c>
      <c r="C3445" s="4" t="s">
        <v>76</v>
      </c>
      <c r="D3445" s="4">
        <v>11</v>
      </c>
      <c r="E3445" s="4" t="s">
        <v>1064</v>
      </c>
    </row>
    <row r="3446" spans="1:6">
      <c r="A3446" s="4" t="s">
        <v>7284</v>
      </c>
      <c r="B3446" s="6" t="s">
        <v>7283</v>
      </c>
      <c r="C3446" s="4" t="s">
        <v>315</v>
      </c>
      <c r="D3446" s="4">
        <v>14</v>
      </c>
      <c r="E3446" s="4" t="s">
        <v>1064</v>
      </c>
    </row>
    <row r="3447" spans="1:6">
      <c r="A3447" s="4" t="s">
        <v>7285</v>
      </c>
      <c r="B3447" s="6" t="s">
        <v>7286</v>
      </c>
      <c r="C3447" s="4" t="s">
        <v>37</v>
      </c>
      <c r="D3447" s="4">
        <v>14</v>
      </c>
      <c r="E3447" s="4" t="s">
        <v>7287</v>
      </c>
      <c r="F3447" s="4" t="s">
        <v>7288</v>
      </c>
    </row>
    <row r="3448" spans="1:6">
      <c r="A3448" s="4" t="s">
        <v>7289</v>
      </c>
      <c r="B3448" s="6" t="s">
        <v>7290</v>
      </c>
      <c r="C3448" s="4" t="s">
        <v>231</v>
      </c>
      <c r="D3448" s="4">
        <v>11</v>
      </c>
      <c r="E3448" s="4" t="s">
        <v>1064</v>
      </c>
      <c r="F3448" s="4" t="s">
        <v>7291</v>
      </c>
    </row>
    <row r="3449" spans="1:6">
      <c r="A3449" s="4" t="s">
        <v>7292</v>
      </c>
      <c r="B3449" s="6" t="s">
        <v>7293</v>
      </c>
      <c r="C3449" s="4" t="s">
        <v>14</v>
      </c>
      <c r="D3449" s="4">
        <v>15</v>
      </c>
      <c r="E3449" s="4" t="s">
        <v>1064</v>
      </c>
    </row>
    <row r="3450" spans="1:6">
      <c r="A3450" s="4" t="s">
        <v>7294</v>
      </c>
      <c r="B3450" s="6" t="s">
        <v>7295</v>
      </c>
      <c r="C3450" s="4" t="s">
        <v>1248</v>
      </c>
      <c r="D3450" s="4">
        <v>9</v>
      </c>
      <c r="E3450" s="4" t="s">
        <v>1157</v>
      </c>
      <c r="F3450" s="4" t="s">
        <v>7296</v>
      </c>
    </row>
    <row r="3451" spans="1:6">
      <c r="A3451" s="4" t="s">
        <v>7297</v>
      </c>
      <c r="B3451" s="6" t="s">
        <v>7295</v>
      </c>
      <c r="C3451" s="4" t="s">
        <v>1248</v>
      </c>
      <c r="D3451" s="4">
        <v>16</v>
      </c>
      <c r="E3451" s="4" t="s">
        <v>1019</v>
      </c>
      <c r="F3451" s="4" t="s">
        <v>7298</v>
      </c>
    </row>
    <row r="3452" spans="1:6">
      <c r="A3452" s="4" t="s">
        <v>7299</v>
      </c>
      <c r="B3452" s="6" t="s">
        <v>7295</v>
      </c>
      <c r="C3452" s="4" t="s">
        <v>1431</v>
      </c>
      <c r="D3452" s="4">
        <v>15</v>
      </c>
      <c r="E3452" s="4" t="s">
        <v>1157</v>
      </c>
      <c r="F3452" s="4" t="s">
        <v>7300</v>
      </c>
    </row>
    <row r="3453" spans="1:6">
      <c r="A3453" s="4" t="s">
        <v>7301</v>
      </c>
      <c r="B3453" s="6" t="s">
        <v>7295</v>
      </c>
      <c r="C3453" s="4" t="s">
        <v>1078</v>
      </c>
      <c r="D3453" s="4">
        <v>6</v>
      </c>
      <c r="E3453" s="4" t="s">
        <v>7302</v>
      </c>
    </row>
    <row r="3454" spans="1:6">
      <c r="A3454" s="4" t="s">
        <v>7303</v>
      </c>
      <c r="B3454" s="6" t="s">
        <v>7295</v>
      </c>
      <c r="C3454" s="4" t="s">
        <v>14</v>
      </c>
      <c r="D3454" s="4">
        <v>11</v>
      </c>
      <c r="E3454" s="4" t="s">
        <v>1227</v>
      </c>
    </row>
    <row r="3455" spans="1:6">
      <c r="A3455" s="4" t="s">
        <v>7304</v>
      </c>
      <c r="B3455" s="6" t="s">
        <v>7295</v>
      </c>
      <c r="C3455" s="4" t="s">
        <v>14</v>
      </c>
      <c r="D3455" s="4">
        <v>11</v>
      </c>
      <c r="E3455" s="4" t="s">
        <v>1007</v>
      </c>
      <c r="F3455" s="4" t="s">
        <v>7305</v>
      </c>
    </row>
    <row r="3456" spans="1:6">
      <c r="A3456" s="4" t="s">
        <v>7306</v>
      </c>
      <c r="B3456" s="6" t="s">
        <v>7307</v>
      </c>
      <c r="C3456" s="4" t="s">
        <v>53</v>
      </c>
      <c r="D3456" s="4">
        <v>7</v>
      </c>
      <c r="E3456" s="4" t="s">
        <v>6723</v>
      </c>
      <c r="F3456" s="4" t="s">
        <v>7308</v>
      </c>
    </row>
    <row r="3457" spans="1:6">
      <c r="A3457" s="4" t="s">
        <v>7309</v>
      </c>
      <c r="B3457" s="6" t="s">
        <v>7307</v>
      </c>
      <c r="C3457" s="4" t="s">
        <v>1756</v>
      </c>
      <c r="D3457" s="4">
        <v>8</v>
      </c>
      <c r="E3457" s="4" t="s">
        <v>1205</v>
      </c>
    </row>
    <row r="3458" spans="1:6">
      <c r="A3458" s="4" t="s">
        <v>7310</v>
      </c>
      <c r="B3458" s="6" t="s">
        <v>7311</v>
      </c>
      <c r="C3458" s="4" t="s">
        <v>1679</v>
      </c>
      <c r="D3458" s="4">
        <v>14</v>
      </c>
      <c r="E3458" s="4" t="s">
        <v>6398</v>
      </c>
      <c r="F3458" s="4" t="s">
        <v>4326</v>
      </c>
    </row>
    <row r="3459" spans="1:6">
      <c r="A3459" s="4" t="s">
        <v>7312</v>
      </c>
      <c r="B3459" s="6" t="s">
        <v>7313</v>
      </c>
      <c r="C3459" s="4" t="s">
        <v>1262</v>
      </c>
      <c r="D3459" s="4">
        <v>13</v>
      </c>
      <c r="E3459" s="4" t="s">
        <v>1004</v>
      </c>
      <c r="F3459" s="4" t="s">
        <v>7314</v>
      </c>
    </row>
    <row r="3460" spans="1:6">
      <c r="A3460" s="4" t="s">
        <v>7315</v>
      </c>
      <c r="B3460" s="6" t="s">
        <v>7313</v>
      </c>
      <c r="C3460" s="4" t="s">
        <v>544</v>
      </c>
      <c r="D3460" s="4">
        <v>10</v>
      </c>
      <c r="E3460" s="4" t="s">
        <v>1157</v>
      </c>
      <c r="F3460" s="4" t="s">
        <v>7316</v>
      </c>
    </row>
    <row r="3461" spans="1:6">
      <c r="A3461" s="4" t="s">
        <v>163</v>
      </c>
      <c r="B3461" s="6" t="s">
        <v>7313</v>
      </c>
      <c r="C3461" s="4" t="s">
        <v>163</v>
      </c>
      <c r="D3461" s="4">
        <v>4</v>
      </c>
      <c r="E3461" s="4" t="s">
        <v>7317</v>
      </c>
      <c r="F3461" s="4" t="s">
        <v>4572</v>
      </c>
    </row>
    <row r="3462" spans="1:6">
      <c r="A3462" s="4" t="s">
        <v>7318</v>
      </c>
      <c r="B3462" s="6" t="s">
        <v>7313</v>
      </c>
      <c r="C3462" s="4" t="s">
        <v>37</v>
      </c>
      <c r="D3462" s="4">
        <v>23</v>
      </c>
      <c r="E3462" s="4" t="s">
        <v>1004</v>
      </c>
    </row>
    <row r="3463" spans="1:6">
      <c r="A3463" s="4" t="s">
        <v>7319</v>
      </c>
      <c r="B3463" s="6" t="s">
        <v>7313</v>
      </c>
      <c r="C3463" s="4" t="s">
        <v>37</v>
      </c>
      <c r="D3463" s="4">
        <v>23</v>
      </c>
      <c r="E3463" s="4" t="s">
        <v>1004</v>
      </c>
    </row>
    <row r="3464" spans="1:6">
      <c r="A3464" s="4" t="s">
        <v>7320</v>
      </c>
      <c r="B3464" s="6" t="s">
        <v>7321</v>
      </c>
      <c r="C3464" s="4" t="s">
        <v>87</v>
      </c>
      <c r="D3464" s="4">
        <v>9</v>
      </c>
      <c r="E3464" s="4" t="s">
        <v>1157</v>
      </c>
    </row>
    <row r="3465" spans="1:6">
      <c r="A3465" s="4" t="s">
        <v>7322</v>
      </c>
      <c r="B3465" s="6" t="s">
        <v>7323</v>
      </c>
      <c r="C3465" s="4" t="s">
        <v>27</v>
      </c>
      <c r="D3465" s="4">
        <v>8</v>
      </c>
      <c r="E3465" s="4" t="s">
        <v>6398</v>
      </c>
      <c r="F3465" s="4" t="s">
        <v>7324</v>
      </c>
    </row>
    <row r="3466" spans="1:6">
      <c r="A3466" s="4" t="s">
        <v>7325</v>
      </c>
      <c r="B3466" s="6" t="s">
        <v>7323</v>
      </c>
      <c r="C3466" s="4" t="s">
        <v>37</v>
      </c>
      <c r="D3466" s="4">
        <v>15</v>
      </c>
      <c r="E3466" s="4" t="s">
        <v>6398</v>
      </c>
      <c r="F3466" s="4" t="s">
        <v>7326</v>
      </c>
    </row>
    <row r="3467" spans="1:6">
      <c r="A3467" s="4" t="s">
        <v>7327</v>
      </c>
      <c r="B3467" s="6" t="s">
        <v>7323</v>
      </c>
      <c r="C3467" s="4" t="s">
        <v>34</v>
      </c>
      <c r="D3467" s="4">
        <v>11</v>
      </c>
      <c r="E3467" s="4" t="s">
        <v>6398</v>
      </c>
    </row>
    <row r="3468" spans="1:6">
      <c r="A3468" s="4" t="s">
        <v>7328</v>
      </c>
      <c r="B3468" s="6" t="s">
        <v>7323</v>
      </c>
      <c r="C3468" s="4" t="s">
        <v>27</v>
      </c>
      <c r="D3468" s="4">
        <v>10</v>
      </c>
      <c r="E3468" s="4" t="s">
        <v>6398</v>
      </c>
      <c r="F3468" s="4" t="s">
        <v>7324</v>
      </c>
    </row>
    <row r="3469" spans="1:6">
      <c r="A3469" s="4" t="s">
        <v>7329</v>
      </c>
      <c r="B3469" s="6" t="s">
        <v>7330</v>
      </c>
      <c r="C3469" s="4" t="s">
        <v>1756</v>
      </c>
      <c r="D3469" s="4">
        <v>8</v>
      </c>
      <c r="E3469" s="4" t="s">
        <v>1157</v>
      </c>
      <c r="F3469" s="4" t="s">
        <v>1023</v>
      </c>
    </row>
    <row r="3470" spans="1:6">
      <c r="A3470" s="4" t="s">
        <v>7331</v>
      </c>
      <c r="B3470" s="6" t="s">
        <v>7330</v>
      </c>
      <c r="C3470" s="4" t="s">
        <v>7331</v>
      </c>
      <c r="D3470" s="4">
        <v>9</v>
      </c>
      <c r="E3470" s="4" t="s">
        <v>1157</v>
      </c>
      <c r="F3470" s="4" t="s">
        <v>7332</v>
      </c>
    </row>
    <row r="3471" spans="1:6">
      <c r="A3471" s="4" t="s">
        <v>7333</v>
      </c>
      <c r="B3471" s="6" t="s">
        <v>7330</v>
      </c>
      <c r="C3471" s="4" t="s">
        <v>45</v>
      </c>
      <c r="D3471" s="4">
        <v>6</v>
      </c>
      <c r="E3471" s="4" t="s">
        <v>1227</v>
      </c>
      <c r="F3471" s="4" t="s">
        <v>3190</v>
      </c>
    </row>
    <row r="3472" spans="1:6">
      <c r="A3472" s="4" t="s">
        <v>34</v>
      </c>
      <c r="B3472" s="6" t="s">
        <v>7330</v>
      </c>
      <c r="C3472" s="4" t="s">
        <v>34</v>
      </c>
      <c r="D3472" s="4">
        <v>4</v>
      </c>
      <c r="E3472" s="4" t="s">
        <v>1157</v>
      </c>
      <c r="F3472" s="4" t="s">
        <v>7334</v>
      </c>
    </row>
    <row r="3473" spans="1:6">
      <c r="A3473" s="4" t="s">
        <v>87</v>
      </c>
      <c r="B3473" s="6" t="s">
        <v>7335</v>
      </c>
      <c r="C3473" s="4" t="s">
        <v>87</v>
      </c>
      <c r="D3473" s="4">
        <v>4</v>
      </c>
      <c r="E3473" s="4" t="s">
        <v>6398</v>
      </c>
      <c r="F3473" s="4" t="s">
        <v>7336</v>
      </c>
    </row>
    <row r="3474" spans="1:6">
      <c r="A3474" s="4" t="s">
        <v>7337</v>
      </c>
      <c r="B3474" s="6" t="s">
        <v>7335</v>
      </c>
      <c r="C3474" s="4" t="s">
        <v>14</v>
      </c>
      <c r="D3474" s="4">
        <v>8</v>
      </c>
      <c r="E3474" s="4" t="s">
        <v>1047</v>
      </c>
      <c r="F3474" s="4" t="s">
        <v>7338</v>
      </c>
    </row>
    <row r="3475" spans="1:6">
      <c r="A3475" s="4" t="s">
        <v>7339</v>
      </c>
      <c r="B3475" s="6" t="s">
        <v>7340</v>
      </c>
      <c r="C3475" s="4" t="s">
        <v>354</v>
      </c>
      <c r="D3475" s="4">
        <v>13</v>
      </c>
      <c r="E3475" s="4" t="s">
        <v>1234</v>
      </c>
      <c r="F3475" s="4" t="s">
        <v>7341</v>
      </c>
    </row>
    <row r="3476" spans="1:6">
      <c r="A3476" s="4" t="s">
        <v>7342</v>
      </c>
      <c r="B3476" s="6" t="s">
        <v>7343</v>
      </c>
      <c r="C3476" s="4" t="s">
        <v>53</v>
      </c>
      <c r="D3476" s="4">
        <v>16</v>
      </c>
      <c r="E3476" s="4" t="s">
        <v>5332</v>
      </c>
      <c r="F3476" s="4" t="s">
        <v>3036</v>
      </c>
    </row>
    <row r="3477" spans="1:6">
      <c r="A3477" s="4" t="s">
        <v>7344</v>
      </c>
      <c r="B3477" s="6" t="s">
        <v>7343</v>
      </c>
      <c r="C3477" s="4" t="s">
        <v>301</v>
      </c>
      <c r="D3477" s="4">
        <v>14</v>
      </c>
      <c r="E3477" s="4" t="s">
        <v>5332</v>
      </c>
    </row>
    <row r="3478" spans="1:6">
      <c r="A3478" s="4" t="s">
        <v>7345</v>
      </c>
      <c r="B3478" s="6" t="s">
        <v>7343</v>
      </c>
      <c r="C3478" s="4" t="s">
        <v>23</v>
      </c>
      <c r="D3478" s="4">
        <v>11</v>
      </c>
      <c r="E3478" s="4" t="s">
        <v>1004</v>
      </c>
    </row>
    <row r="3479" spans="1:6">
      <c r="A3479" s="4" t="s">
        <v>7346</v>
      </c>
      <c r="B3479" s="6" t="s">
        <v>7343</v>
      </c>
      <c r="C3479" s="4" t="s">
        <v>41</v>
      </c>
      <c r="D3479" s="4">
        <v>15</v>
      </c>
      <c r="E3479" s="4" t="s">
        <v>1161</v>
      </c>
      <c r="F3479" s="4" t="s">
        <v>7347</v>
      </c>
    </row>
    <row r="3480" spans="1:6">
      <c r="A3480" s="4" t="s">
        <v>7348</v>
      </c>
      <c r="B3480" s="6" t="s">
        <v>7349</v>
      </c>
      <c r="C3480" s="4" t="s">
        <v>1756</v>
      </c>
      <c r="D3480" s="4">
        <v>8</v>
      </c>
      <c r="E3480" s="4" t="s">
        <v>5332</v>
      </c>
      <c r="F3480" s="4" t="s">
        <v>7350</v>
      </c>
    </row>
    <row r="3481" spans="1:6">
      <c r="A3481" s="4" t="s">
        <v>7351</v>
      </c>
      <c r="B3481" s="6" t="s">
        <v>7349</v>
      </c>
      <c r="C3481" s="4" t="s">
        <v>34</v>
      </c>
      <c r="D3481" s="4">
        <v>11</v>
      </c>
      <c r="E3481" s="4" t="s">
        <v>5332</v>
      </c>
      <c r="F3481" s="4" t="s">
        <v>7352</v>
      </c>
    </row>
    <row r="3482" spans="1:6">
      <c r="A3482" s="4" t="s">
        <v>7353</v>
      </c>
      <c r="B3482" s="6" t="s">
        <v>7354</v>
      </c>
      <c r="C3482" s="4" t="s">
        <v>87</v>
      </c>
      <c r="D3482" s="4">
        <v>11</v>
      </c>
      <c r="E3482" s="4" t="s">
        <v>1205</v>
      </c>
    </row>
    <row r="3483" spans="1:6">
      <c r="A3483" s="4" t="s">
        <v>7355</v>
      </c>
      <c r="B3483" s="6" t="s">
        <v>7354</v>
      </c>
      <c r="C3483" s="4" t="s">
        <v>686</v>
      </c>
      <c r="D3483" s="4">
        <v>15</v>
      </c>
      <c r="E3483" s="4" t="s">
        <v>7356</v>
      </c>
      <c r="F3483" s="4" t="s">
        <v>7357</v>
      </c>
    </row>
    <row r="3484" spans="1:6">
      <c r="A3484" s="4" t="s">
        <v>7358</v>
      </c>
      <c r="B3484" s="6" t="s">
        <v>7354</v>
      </c>
      <c r="C3484" s="4" t="s">
        <v>27</v>
      </c>
      <c r="D3484" s="4">
        <v>14</v>
      </c>
      <c r="E3484" s="4" t="s">
        <v>7356</v>
      </c>
    </row>
    <row r="3485" spans="1:6">
      <c r="A3485" s="4" t="s">
        <v>7359</v>
      </c>
      <c r="B3485" s="6" t="s">
        <v>7354</v>
      </c>
      <c r="C3485" s="4" t="s">
        <v>427</v>
      </c>
      <c r="D3485" s="4">
        <v>13</v>
      </c>
      <c r="E3485" s="4" t="s">
        <v>7360</v>
      </c>
    </row>
    <row r="3486" spans="1:6">
      <c r="A3486" s="4" t="s">
        <v>7361</v>
      </c>
      <c r="B3486" s="6" t="s">
        <v>7354</v>
      </c>
      <c r="C3486" s="4" t="s">
        <v>453</v>
      </c>
      <c r="D3486" s="4">
        <v>22</v>
      </c>
      <c r="E3486" s="4" t="s">
        <v>1208</v>
      </c>
      <c r="F3486" s="4" t="s">
        <v>912</v>
      </c>
    </row>
    <row r="3487" spans="1:6">
      <c r="A3487" s="4" t="s">
        <v>7362</v>
      </c>
      <c r="B3487" s="6" t="s">
        <v>7354</v>
      </c>
      <c r="C3487" s="4" t="s">
        <v>708</v>
      </c>
      <c r="D3487" s="4">
        <v>11</v>
      </c>
      <c r="E3487" s="4" t="s">
        <v>7356</v>
      </c>
    </row>
    <row r="3488" spans="1:6">
      <c r="A3488" s="4" t="s">
        <v>7363</v>
      </c>
      <c r="B3488" s="6" t="s">
        <v>7354</v>
      </c>
      <c r="C3488" s="4" t="s">
        <v>254</v>
      </c>
      <c r="D3488" s="4">
        <v>10</v>
      </c>
      <c r="E3488" s="4" t="s">
        <v>1205</v>
      </c>
    </row>
    <row r="3489" spans="1:6">
      <c r="A3489" s="4" t="s">
        <v>7364</v>
      </c>
      <c r="B3489" s="6" t="s">
        <v>7365</v>
      </c>
      <c r="C3489" s="4" t="s">
        <v>995</v>
      </c>
      <c r="D3489" s="4">
        <v>13</v>
      </c>
      <c r="E3489" s="4" t="s">
        <v>6398</v>
      </c>
    </row>
    <row r="3490" spans="1:6">
      <c r="A3490" s="4" t="s">
        <v>7366</v>
      </c>
      <c r="B3490" s="6" t="s">
        <v>7365</v>
      </c>
      <c r="C3490" s="4" t="s">
        <v>57</v>
      </c>
      <c r="D3490" s="4">
        <v>13</v>
      </c>
      <c r="E3490" s="4" t="s">
        <v>1220</v>
      </c>
    </row>
    <row r="3491" spans="1:6">
      <c r="A3491" s="4" t="s">
        <v>7367</v>
      </c>
      <c r="B3491" s="6" t="s">
        <v>7368</v>
      </c>
      <c r="C3491" s="4" t="s">
        <v>7369</v>
      </c>
      <c r="D3491" s="4">
        <v>10</v>
      </c>
      <c r="E3491" s="4" t="s">
        <v>1244</v>
      </c>
      <c r="F3491" s="4" t="s">
        <v>6489</v>
      </c>
    </row>
    <row r="3492" spans="1:6">
      <c r="A3492" s="4" t="s">
        <v>7370</v>
      </c>
      <c r="B3492" s="6" t="s">
        <v>7368</v>
      </c>
      <c r="C3492" s="4" t="s">
        <v>1106</v>
      </c>
      <c r="D3492" s="4">
        <v>14</v>
      </c>
      <c r="E3492" s="4" t="s">
        <v>1047</v>
      </c>
      <c r="F3492" s="4" t="s">
        <v>6694</v>
      </c>
    </row>
    <row r="3493" spans="1:6">
      <c r="A3493" s="4" t="s">
        <v>7371</v>
      </c>
      <c r="B3493" s="6" t="s">
        <v>7368</v>
      </c>
      <c r="C3493" s="4" t="s">
        <v>1248</v>
      </c>
      <c r="D3493" s="4">
        <v>8</v>
      </c>
      <c r="E3493" s="4" t="s">
        <v>7372</v>
      </c>
      <c r="F3493" s="4" t="s">
        <v>7373</v>
      </c>
    </row>
    <row r="3494" spans="1:6">
      <c r="A3494" s="4" t="s">
        <v>7374</v>
      </c>
      <c r="B3494" s="6" t="s">
        <v>7368</v>
      </c>
      <c r="C3494" s="4" t="s">
        <v>81</v>
      </c>
      <c r="D3494" s="4">
        <v>10</v>
      </c>
      <c r="E3494" s="4" t="s">
        <v>7375</v>
      </c>
    </row>
    <row r="3495" spans="1:6">
      <c r="A3495" s="4" t="s">
        <v>7376</v>
      </c>
      <c r="B3495" s="6" t="s">
        <v>7368</v>
      </c>
      <c r="C3495" s="4" t="s">
        <v>427</v>
      </c>
      <c r="D3495" s="4">
        <v>11</v>
      </c>
      <c r="E3495" s="4" t="s">
        <v>6376</v>
      </c>
      <c r="F3495" s="4" t="s">
        <v>7128</v>
      </c>
    </row>
    <row r="3496" spans="1:6">
      <c r="A3496" s="4" t="s">
        <v>7377</v>
      </c>
      <c r="B3496" s="6" t="s">
        <v>7368</v>
      </c>
      <c r="C3496" s="4" t="s">
        <v>76</v>
      </c>
      <c r="D3496" s="4">
        <v>10</v>
      </c>
      <c r="E3496" s="4" t="s">
        <v>1148</v>
      </c>
    </row>
    <row r="3497" spans="1:6">
      <c r="A3497" s="4" t="s">
        <v>7378</v>
      </c>
      <c r="B3497" s="6" t="s">
        <v>7368</v>
      </c>
      <c r="C3497" s="4" t="s">
        <v>14</v>
      </c>
      <c r="D3497" s="4">
        <v>8</v>
      </c>
      <c r="E3497" s="4" t="s">
        <v>7379</v>
      </c>
      <c r="F3497" s="4" t="s">
        <v>7380</v>
      </c>
    </row>
    <row r="3498" spans="1:6">
      <c r="A3498" s="4" t="s">
        <v>7381</v>
      </c>
      <c r="B3498" s="6" t="s">
        <v>7382</v>
      </c>
      <c r="C3498" s="4" t="s">
        <v>405</v>
      </c>
      <c r="D3498" s="4">
        <v>9</v>
      </c>
      <c r="E3498" s="4" t="s">
        <v>1069</v>
      </c>
      <c r="F3498" s="4" t="s">
        <v>7383</v>
      </c>
    </row>
    <row r="3499" spans="1:6">
      <c r="A3499" s="4" t="s">
        <v>7384</v>
      </c>
      <c r="B3499" s="6" t="s">
        <v>7382</v>
      </c>
      <c r="C3499" s="4" t="s">
        <v>254</v>
      </c>
      <c r="D3499" s="4">
        <v>10</v>
      </c>
      <c r="E3499" s="4" t="s">
        <v>6193</v>
      </c>
      <c r="F3499" s="4" t="s">
        <v>3632</v>
      </c>
    </row>
    <row r="3500" spans="1:6">
      <c r="A3500" s="4" t="s">
        <v>7385</v>
      </c>
      <c r="B3500" s="6" t="s">
        <v>7382</v>
      </c>
      <c r="C3500" s="4" t="s">
        <v>254</v>
      </c>
      <c r="D3500" s="4">
        <v>13</v>
      </c>
      <c r="E3500" s="4" t="s">
        <v>1069</v>
      </c>
      <c r="F3500" s="4" t="s">
        <v>7386</v>
      </c>
    </row>
    <row r="3501" spans="1:6">
      <c r="A3501" s="4" t="s">
        <v>7387</v>
      </c>
      <c r="B3501" s="6" t="s">
        <v>7382</v>
      </c>
      <c r="C3501" s="4" t="s">
        <v>81</v>
      </c>
      <c r="D3501" s="4">
        <v>13</v>
      </c>
      <c r="E3501" s="4" t="s">
        <v>6193</v>
      </c>
    </row>
    <row r="3502" spans="1:6">
      <c r="A3502" s="4" t="s">
        <v>7388</v>
      </c>
      <c r="B3502" s="6" t="s">
        <v>7382</v>
      </c>
      <c r="C3502" s="4" t="s">
        <v>81</v>
      </c>
      <c r="D3502" s="4">
        <v>14</v>
      </c>
      <c r="E3502" s="4" t="s">
        <v>1069</v>
      </c>
    </row>
    <row r="3503" spans="1:6">
      <c r="A3503" s="4" t="s">
        <v>7389</v>
      </c>
      <c r="B3503" s="6" t="s">
        <v>7382</v>
      </c>
      <c r="C3503" s="4" t="s">
        <v>49</v>
      </c>
      <c r="D3503" s="4">
        <v>13</v>
      </c>
      <c r="E3503" s="4" t="s">
        <v>6193</v>
      </c>
      <c r="F3503" s="4" t="s">
        <v>7390</v>
      </c>
    </row>
    <row r="3504" spans="1:6">
      <c r="A3504" s="4" t="s">
        <v>7391</v>
      </c>
      <c r="B3504" s="6" t="s">
        <v>7382</v>
      </c>
      <c r="C3504" s="4" t="s">
        <v>53</v>
      </c>
      <c r="D3504" s="4">
        <v>14</v>
      </c>
      <c r="E3504" s="4" t="s">
        <v>6193</v>
      </c>
      <c r="F3504" s="4" t="s">
        <v>7392</v>
      </c>
    </row>
    <row r="3505" spans="1:6">
      <c r="A3505" s="4" t="s">
        <v>7393</v>
      </c>
      <c r="B3505" s="6" t="s">
        <v>7382</v>
      </c>
      <c r="C3505" s="4" t="s">
        <v>544</v>
      </c>
      <c r="D3505" s="4">
        <v>15</v>
      </c>
      <c r="E3505" s="4" t="s">
        <v>1069</v>
      </c>
    </row>
    <row r="3506" spans="1:6">
      <c r="A3506" s="4" t="s">
        <v>7394</v>
      </c>
      <c r="B3506" s="6" t="s">
        <v>7395</v>
      </c>
      <c r="C3506" s="4" t="s">
        <v>315</v>
      </c>
      <c r="D3506" s="4">
        <v>23</v>
      </c>
      <c r="E3506" s="4" t="s">
        <v>1263</v>
      </c>
    </row>
    <row r="3507" spans="1:6">
      <c r="A3507" s="4" t="s">
        <v>7396</v>
      </c>
      <c r="B3507" s="6" t="s">
        <v>7397</v>
      </c>
      <c r="C3507" s="4" t="s">
        <v>238</v>
      </c>
      <c r="D3507" s="4">
        <v>11</v>
      </c>
      <c r="E3507" s="4" t="s">
        <v>1253</v>
      </c>
      <c r="F3507" s="4" t="s">
        <v>7398</v>
      </c>
    </row>
    <row r="3508" spans="1:6">
      <c r="A3508" s="4" t="s">
        <v>7399</v>
      </c>
      <c r="B3508" s="6" t="s">
        <v>7397</v>
      </c>
      <c r="C3508" s="4" t="s">
        <v>223</v>
      </c>
      <c r="D3508" s="4">
        <v>14</v>
      </c>
      <c r="E3508" s="4" t="s">
        <v>1069</v>
      </c>
      <c r="F3508" s="4" t="s">
        <v>6576</v>
      </c>
    </row>
    <row r="3509" spans="1:6">
      <c r="A3509" s="4" t="s">
        <v>7400</v>
      </c>
      <c r="B3509" s="6" t="s">
        <v>7397</v>
      </c>
      <c r="C3509" s="4" t="s">
        <v>14</v>
      </c>
      <c r="D3509" s="4">
        <v>14</v>
      </c>
      <c r="E3509" s="4" t="s">
        <v>7401</v>
      </c>
    </row>
    <row r="3510" spans="1:6">
      <c r="A3510" s="4" t="s">
        <v>7402</v>
      </c>
      <c r="B3510" s="6" t="s">
        <v>7403</v>
      </c>
      <c r="C3510" s="4" t="s">
        <v>23</v>
      </c>
      <c r="D3510" s="4">
        <v>11</v>
      </c>
      <c r="E3510" s="4" t="s">
        <v>1069</v>
      </c>
      <c r="F3510" s="4" t="s">
        <v>7404</v>
      </c>
    </row>
    <row r="3511" spans="1:6">
      <c r="A3511" s="4" t="s">
        <v>7405</v>
      </c>
      <c r="B3511" s="6" t="s">
        <v>7406</v>
      </c>
      <c r="C3511" s="4" t="s">
        <v>254</v>
      </c>
      <c r="D3511" s="4">
        <v>17</v>
      </c>
      <c r="E3511" s="4" t="s">
        <v>1069</v>
      </c>
      <c r="F3511" s="4" t="s">
        <v>7407</v>
      </c>
    </row>
    <row r="3512" spans="1:6">
      <c r="A3512" s="4" t="s">
        <v>7408</v>
      </c>
      <c r="B3512" s="6" t="s">
        <v>7406</v>
      </c>
      <c r="C3512" s="4" t="s">
        <v>453</v>
      </c>
      <c r="D3512" s="4">
        <v>15</v>
      </c>
      <c r="E3512" s="4" t="s">
        <v>1069</v>
      </c>
    </row>
    <row r="3513" spans="1:6">
      <c r="A3513" s="4" t="s">
        <v>7409</v>
      </c>
      <c r="B3513" s="6" t="s">
        <v>7410</v>
      </c>
      <c r="C3513" s="4" t="s">
        <v>448</v>
      </c>
      <c r="D3513" s="4">
        <v>3</v>
      </c>
      <c r="E3513" s="4" t="s">
        <v>1302</v>
      </c>
      <c r="F3513" s="4" t="s">
        <v>7411</v>
      </c>
    </row>
    <row r="3514" spans="1:6">
      <c r="A3514" s="4" t="s">
        <v>7412</v>
      </c>
      <c r="B3514" s="6" t="s">
        <v>7410</v>
      </c>
      <c r="C3514" s="4" t="s">
        <v>2474</v>
      </c>
      <c r="D3514" s="4">
        <v>8</v>
      </c>
      <c r="E3514" s="4" t="s">
        <v>1069</v>
      </c>
      <c r="F3514" s="4" t="s">
        <v>1717</v>
      </c>
    </row>
    <row r="3515" spans="1:6">
      <c r="A3515" s="4" t="s">
        <v>7413</v>
      </c>
      <c r="B3515" s="6" t="s">
        <v>7414</v>
      </c>
      <c r="C3515" s="4" t="s">
        <v>31</v>
      </c>
      <c r="D3515" s="4">
        <v>6</v>
      </c>
      <c r="E3515" s="4" t="s">
        <v>7112</v>
      </c>
      <c r="F3515" s="4" t="s">
        <v>7415</v>
      </c>
    </row>
    <row r="3516" spans="1:6">
      <c r="A3516" s="4" t="s">
        <v>7416</v>
      </c>
      <c r="B3516" s="6" t="s">
        <v>7414</v>
      </c>
      <c r="C3516" s="4" t="s">
        <v>41</v>
      </c>
      <c r="D3516" s="4">
        <v>11</v>
      </c>
      <c r="E3516" s="4" t="s">
        <v>1244</v>
      </c>
    </row>
    <row r="3517" spans="1:6">
      <c r="A3517" s="4" t="s">
        <v>7417</v>
      </c>
      <c r="B3517" s="6" t="s">
        <v>7414</v>
      </c>
      <c r="C3517" s="4" t="s">
        <v>23</v>
      </c>
      <c r="D3517" s="4">
        <v>9</v>
      </c>
      <c r="E3517" s="4" t="s">
        <v>1047</v>
      </c>
    </row>
    <row r="3518" spans="1:6">
      <c r="A3518" s="4" t="s">
        <v>7418</v>
      </c>
      <c r="B3518" s="6" t="s">
        <v>7419</v>
      </c>
      <c r="C3518" s="4" t="s">
        <v>37</v>
      </c>
      <c r="D3518" s="4">
        <v>19</v>
      </c>
      <c r="E3518" s="4" t="s">
        <v>1279</v>
      </c>
    </row>
    <row r="3519" spans="1:6">
      <c r="A3519" s="4" t="s">
        <v>7420</v>
      </c>
      <c r="B3519" s="6" t="s">
        <v>7419</v>
      </c>
      <c r="C3519" s="4" t="s">
        <v>1603</v>
      </c>
      <c r="D3519" s="4">
        <v>6</v>
      </c>
      <c r="E3519" s="4" t="s">
        <v>1279</v>
      </c>
    </row>
    <row r="3520" spans="1:6">
      <c r="A3520" s="4" t="s">
        <v>7421</v>
      </c>
      <c r="B3520" s="6" t="s">
        <v>7419</v>
      </c>
      <c r="C3520" s="4" t="s">
        <v>34</v>
      </c>
      <c r="D3520" s="4">
        <v>9</v>
      </c>
      <c r="E3520" s="4" t="s">
        <v>1279</v>
      </c>
      <c r="F3520" s="4" t="s">
        <v>7422</v>
      </c>
    </row>
    <row r="3521" spans="1:6">
      <c r="A3521" s="4" t="s">
        <v>7423</v>
      </c>
      <c r="B3521" s="6" t="s">
        <v>7424</v>
      </c>
      <c r="C3521" s="4" t="s">
        <v>132</v>
      </c>
      <c r="D3521" s="4">
        <v>23</v>
      </c>
      <c r="E3521" s="4" t="s">
        <v>1004</v>
      </c>
      <c r="F3521" s="4" t="s">
        <v>7425</v>
      </c>
    </row>
    <row r="3522" spans="1:6">
      <c r="A3522" s="4" t="s">
        <v>7426</v>
      </c>
      <c r="B3522" s="6" t="s">
        <v>7427</v>
      </c>
      <c r="C3522" s="4" t="s">
        <v>427</v>
      </c>
      <c r="D3522" s="4">
        <v>13</v>
      </c>
      <c r="E3522" s="4" t="s">
        <v>7428</v>
      </c>
    </row>
    <row r="3523" spans="1:6">
      <c r="A3523" s="4" t="s">
        <v>7429</v>
      </c>
      <c r="B3523" s="6" t="s">
        <v>7430</v>
      </c>
      <c r="C3523" s="4" t="s">
        <v>34</v>
      </c>
      <c r="D3523" s="4">
        <v>8</v>
      </c>
      <c r="E3523" s="4" t="s">
        <v>1069</v>
      </c>
      <c r="F3523" s="4" t="s">
        <v>7431</v>
      </c>
    </row>
    <row r="3524" spans="1:6">
      <c r="A3524" s="4" t="s">
        <v>7432</v>
      </c>
      <c r="B3524" s="6" t="s">
        <v>7430</v>
      </c>
      <c r="C3524" s="4" t="s">
        <v>963</v>
      </c>
      <c r="D3524" s="4">
        <v>9</v>
      </c>
      <c r="E3524" s="4" t="s">
        <v>1253</v>
      </c>
      <c r="F3524" s="4" t="s">
        <v>7433</v>
      </c>
    </row>
    <row r="3525" spans="1:6">
      <c r="A3525" s="4" t="s">
        <v>7434</v>
      </c>
      <c r="B3525" s="6" t="s">
        <v>7430</v>
      </c>
      <c r="C3525" s="4" t="s">
        <v>448</v>
      </c>
      <c r="D3525" s="4">
        <v>6</v>
      </c>
      <c r="E3525" s="4" t="s">
        <v>1302</v>
      </c>
    </row>
    <row r="3526" spans="1:6">
      <c r="A3526" s="4" t="s">
        <v>7435</v>
      </c>
      <c r="B3526" s="6" t="s">
        <v>7430</v>
      </c>
      <c r="C3526" s="4" t="s">
        <v>963</v>
      </c>
      <c r="D3526" s="4">
        <v>10</v>
      </c>
      <c r="E3526" s="4" t="s">
        <v>1253</v>
      </c>
      <c r="F3526" s="4" t="s">
        <v>7433</v>
      </c>
    </row>
    <row r="3527" spans="1:6">
      <c r="A3527" s="4" t="s">
        <v>7436</v>
      </c>
      <c r="B3527" s="6" t="s">
        <v>7437</v>
      </c>
      <c r="C3527" s="4" t="s">
        <v>104</v>
      </c>
      <c r="D3527" s="4">
        <v>12</v>
      </c>
      <c r="E3527" s="4" t="s">
        <v>1244</v>
      </c>
      <c r="F3527" s="4" t="s">
        <v>2359</v>
      </c>
    </row>
    <row r="3528" spans="1:6">
      <c r="A3528" s="4" t="s">
        <v>4083</v>
      </c>
      <c r="B3528" s="6" t="s">
        <v>7437</v>
      </c>
      <c r="C3528" s="4" t="s">
        <v>4083</v>
      </c>
      <c r="D3528" s="4">
        <v>12</v>
      </c>
      <c r="E3528" s="4" t="s">
        <v>1244</v>
      </c>
      <c r="F3528" s="4" t="s">
        <v>7438</v>
      </c>
    </row>
    <row r="3529" spans="1:6">
      <c r="A3529" s="4" t="s">
        <v>7439</v>
      </c>
      <c r="B3529" s="6" t="s">
        <v>7437</v>
      </c>
      <c r="C3529" s="4" t="s">
        <v>675</v>
      </c>
      <c r="D3529" s="4">
        <v>6</v>
      </c>
      <c r="E3529" s="4" t="s">
        <v>1047</v>
      </c>
      <c r="F3529" s="4" t="s">
        <v>7440</v>
      </c>
    </row>
    <row r="3530" spans="1:6">
      <c r="A3530" s="4" t="s">
        <v>1876</v>
      </c>
      <c r="B3530" s="6" t="s">
        <v>7437</v>
      </c>
      <c r="C3530" s="4" t="s">
        <v>1876</v>
      </c>
      <c r="D3530" s="4">
        <v>13</v>
      </c>
      <c r="E3530" s="4" t="s">
        <v>1148</v>
      </c>
      <c r="F3530" s="4" t="s">
        <v>7441</v>
      </c>
    </row>
    <row r="3531" spans="1:6">
      <c r="A3531" s="4" t="s">
        <v>7442</v>
      </c>
      <c r="B3531" s="6" t="s">
        <v>7443</v>
      </c>
      <c r="C3531" s="4" t="s">
        <v>390</v>
      </c>
      <c r="D3531" s="4">
        <v>13</v>
      </c>
      <c r="E3531" s="4" t="s">
        <v>1244</v>
      </c>
    </row>
    <row r="3532" spans="1:6">
      <c r="A3532" s="4" t="s">
        <v>7444</v>
      </c>
      <c r="B3532" s="6" t="s">
        <v>7443</v>
      </c>
      <c r="C3532" s="4" t="s">
        <v>104</v>
      </c>
      <c r="D3532" s="4">
        <v>17</v>
      </c>
      <c r="E3532" s="4" t="s">
        <v>1244</v>
      </c>
      <c r="F3532" s="4" t="s">
        <v>7445</v>
      </c>
    </row>
    <row r="3533" spans="1:6">
      <c r="A3533" s="4" t="s">
        <v>7446</v>
      </c>
      <c r="B3533" s="6" t="s">
        <v>7443</v>
      </c>
      <c r="C3533" s="4" t="s">
        <v>27</v>
      </c>
      <c r="D3533" s="4">
        <v>14</v>
      </c>
      <c r="E3533" s="4" t="s">
        <v>1244</v>
      </c>
    </row>
    <row r="3534" spans="1:6">
      <c r="A3534" s="4" t="s">
        <v>195</v>
      </c>
      <c r="B3534" s="6" t="s">
        <v>7447</v>
      </c>
      <c r="C3534" s="4" t="s">
        <v>195</v>
      </c>
      <c r="D3534" s="4">
        <v>9</v>
      </c>
      <c r="E3534" s="4" t="s">
        <v>1283</v>
      </c>
      <c r="F3534" s="4" t="s">
        <v>7448</v>
      </c>
    </row>
    <row r="3535" spans="1:6">
      <c r="A3535" s="4" t="s">
        <v>7449</v>
      </c>
      <c r="B3535" s="6" t="s">
        <v>7447</v>
      </c>
      <c r="C3535" s="4" t="s">
        <v>45</v>
      </c>
      <c r="D3535" s="4">
        <v>8</v>
      </c>
      <c r="E3535" s="4" t="s">
        <v>4872</v>
      </c>
      <c r="F3535" s="4" t="s">
        <v>7450</v>
      </c>
    </row>
    <row r="3536" spans="1:6">
      <c r="A3536" s="4" t="s">
        <v>7451</v>
      </c>
      <c r="B3536" s="6" t="s">
        <v>7447</v>
      </c>
      <c r="C3536" s="4" t="s">
        <v>53</v>
      </c>
      <c r="D3536" s="4">
        <v>12</v>
      </c>
      <c r="E3536" s="4" t="s">
        <v>1208</v>
      </c>
      <c r="F3536" s="4" t="s">
        <v>1381</v>
      </c>
    </row>
    <row r="3537" spans="1:6">
      <c r="A3537" s="4" t="s">
        <v>7452</v>
      </c>
      <c r="B3537" s="6" t="s">
        <v>7447</v>
      </c>
      <c r="C3537" s="4" t="s">
        <v>544</v>
      </c>
      <c r="D3537" s="4">
        <v>12</v>
      </c>
      <c r="E3537" s="4" t="s">
        <v>1208</v>
      </c>
      <c r="F3537" s="4" t="s">
        <v>7453</v>
      </c>
    </row>
    <row r="3538" spans="1:6">
      <c r="A3538" s="4" t="s">
        <v>7454</v>
      </c>
      <c r="B3538" s="6" t="s">
        <v>7447</v>
      </c>
      <c r="C3538" s="4" t="s">
        <v>427</v>
      </c>
      <c r="D3538" s="4">
        <v>15</v>
      </c>
      <c r="E3538" s="4" t="s">
        <v>1208</v>
      </c>
      <c r="F3538" s="4" t="s">
        <v>7455</v>
      </c>
    </row>
    <row r="3539" spans="1:6">
      <c r="A3539" s="4" t="s">
        <v>7456</v>
      </c>
      <c r="B3539" s="6" t="s">
        <v>7447</v>
      </c>
      <c r="C3539" s="4" t="s">
        <v>45</v>
      </c>
      <c r="D3539" s="4">
        <v>12</v>
      </c>
      <c r="E3539" s="4" t="s">
        <v>1208</v>
      </c>
    </row>
    <row r="3540" spans="1:6">
      <c r="A3540" s="4" t="s">
        <v>7457</v>
      </c>
      <c r="B3540" s="6" t="s">
        <v>7447</v>
      </c>
      <c r="C3540" s="4" t="s">
        <v>45</v>
      </c>
      <c r="D3540" s="4">
        <v>14</v>
      </c>
      <c r="E3540" s="4" t="s">
        <v>4872</v>
      </c>
      <c r="F3540" s="4" t="s">
        <v>7450</v>
      </c>
    </row>
    <row r="3541" spans="1:6">
      <c r="A3541" s="4" t="s">
        <v>7458</v>
      </c>
      <c r="B3541" s="6" t="s">
        <v>7459</v>
      </c>
      <c r="C3541" s="4" t="s">
        <v>544</v>
      </c>
      <c r="D3541" s="4">
        <v>19</v>
      </c>
      <c r="E3541" s="4" t="s">
        <v>1064</v>
      </c>
    </row>
    <row r="3542" spans="1:6">
      <c r="A3542" s="4" t="s">
        <v>7460</v>
      </c>
      <c r="B3542" s="6" t="s">
        <v>7459</v>
      </c>
      <c r="C3542" s="4" t="s">
        <v>544</v>
      </c>
      <c r="D3542" s="4">
        <v>21</v>
      </c>
      <c r="E3542" s="4" t="s">
        <v>1064</v>
      </c>
    </row>
    <row r="3543" spans="1:6">
      <c r="A3543" s="4" t="s">
        <v>7461</v>
      </c>
      <c r="B3543" s="6" t="s">
        <v>7459</v>
      </c>
      <c r="C3543" s="4" t="s">
        <v>2474</v>
      </c>
      <c r="D3543" s="4">
        <v>6</v>
      </c>
      <c r="E3543" s="4" t="s">
        <v>1064</v>
      </c>
      <c r="F3543" s="4" t="s">
        <v>7462</v>
      </c>
    </row>
    <row r="3544" spans="1:6">
      <c r="A3544" s="4" t="s">
        <v>7463</v>
      </c>
      <c r="B3544" s="6" t="s">
        <v>7464</v>
      </c>
      <c r="C3544" s="4" t="s">
        <v>254</v>
      </c>
      <c r="D3544" s="4">
        <v>5</v>
      </c>
      <c r="E3544" s="4" t="s">
        <v>1064</v>
      </c>
    </row>
    <row r="3545" spans="1:6">
      <c r="A3545" s="4" t="s">
        <v>7465</v>
      </c>
      <c r="B3545" s="6" t="s">
        <v>7464</v>
      </c>
      <c r="C3545" s="4" t="s">
        <v>1129</v>
      </c>
      <c r="D3545" s="4">
        <v>17</v>
      </c>
      <c r="E3545" s="4" t="s">
        <v>1064</v>
      </c>
      <c r="F3545" s="4" t="s">
        <v>7466</v>
      </c>
    </row>
    <row r="3546" spans="1:6">
      <c r="A3546" s="4" t="s">
        <v>7467</v>
      </c>
      <c r="B3546" s="6" t="s">
        <v>7464</v>
      </c>
      <c r="C3546" s="4" t="s">
        <v>976</v>
      </c>
      <c r="D3546" s="4">
        <v>6</v>
      </c>
      <c r="E3546" s="4" t="s">
        <v>1064</v>
      </c>
      <c r="F3546" s="4" t="s">
        <v>3864</v>
      </c>
    </row>
    <row r="3547" spans="1:6">
      <c r="A3547" s="4" t="s">
        <v>7468</v>
      </c>
      <c r="B3547" s="6" t="s">
        <v>7464</v>
      </c>
      <c r="C3547" s="4" t="s">
        <v>1078</v>
      </c>
      <c r="D3547" s="4">
        <v>8</v>
      </c>
      <c r="E3547" s="4" t="s">
        <v>6252</v>
      </c>
    </row>
    <row r="3548" spans="1:6">
      <c r="A3548" s="4" t="s">
        <v>7469</v>
      </c>
      <c r="B3548" s="6" t="s">
        <v>7464</v>
      </c>
      <c r="C3548" s="4" t="s">
        <v>254</v>
      </c>
      <c r="D3548" s="4">
        <v>14</v>
      </c>
      <c r="E3548" s="4" t="s">
        <v>1064</v>
      </c>
    </row>
    <row r="3549" spans="1:6">
      <c r="A3549" s="4" t="s">
        <v>7470</v>
      </c>
      <c r="B3549" s="6" t="s">
        <v>7471</v>
      </c>
      <c r="C3549" s="4" t="s">
        <v>87</v>
      </c>
      <c r="D3549" s="4">
        <v>10</v>
      </c>
      <c r="E3549" s="4" t="s">
        <v>1064</v>
      </c>
      <c r="F3549" s="4" t="s">
        <v>7472</v>
      </c>
    </row>
    <row r="3550" spans="1:6">
      <c r="A3550" s="4" t="s">
        <v>7473</v>
      </c>
      <c r="B3550" s="6" t="s">
        <v>7474</v>
      </c>
      <c r="C3550" s="4" t="s">
        <v>686</v>
      </c>
      <c r="D3550" s="4">
        <v>13</v>
      </c>
      <c r="E3550" s="4" t="s">
        <v>1064</v>
      </c>
      <c r="F3550" s="4" t="s">
        <v>1198</v>
      </c>
    </row>
    <row r="3551" spans="1:6">
      <c r="A3551" s="4" t="s">
        <v>7475</v>
      </c>
      <c r="B3551" s="6" t="s">
        <v>7476</v>
      </c>
      <c r="C3551" s="4" t="s">
        <v>87</v>
      </c>
      <c r="D3551" s="4">
        <v>10</v>
      </c>
      <c r="E3551" s="4" t="s">
        <v>1069</v>
      </c>
      <c r="F3551" s="4" t="s">
        <v>7477</v>
      </c>
    </row>
    <row r="3552" spans="1:6">
      <c r="A3552" s="4" t="s">
        <v>7478</v>
      </c>
      <c r="B3552" s="6" t="s">
        <v>7476</v>
      </c>
      <c r="C3552" s="4" t="s">
        <v>485</v>
      </c>
      <c r="D3552" s="4">
        <v>12</v>
      </c>
      <c r="E3552" s="4" t="s">
        <v>1069</v>
      </c>
    </row>
    <row r="3553" spans="1:6">
      <c r="A3553" s="4" t="s">
        <v>7479</v>
      </c>
      <c r="B3553" s="6" t="s">
        <v>7476</v>
      </c>
      <c r="C3553" s="4" t="s">
        <v>686</v>
      </c>
      <c r="D3553" s="4">
        <v>12</v>
      </c>
      <c r="E3553" s="4" t="s">
        <v>1069</v>
      </c>
      <c r="F3553" s="4" t="s">
        <v>7480</v>
      </c>
    </row>
    <row r="3554" spans="1:6">
      <c r="A3554" s="4" t="s">
        <v>7481</v>
      </c>
      <c r="B3554" s="6" t="s">
        <v>7476</v>
      </c>
      <c r="C3554" s="4" t="s">
        <v>45</v>
      </c>
      <c r="D3554" s="4">
        <v>10</v>
      </c>
      <c r="E3554" s="4" t="s">
        <v>1069</v>
      </c>
      <c r="F3554" s="4" t="s">
        <v>7482</v>
      </c>
    </row>
    <row r="3555" spans="1:6">
      <c r="A3555" s="4" t="s">
        <v>7483</v>
      </c>
      <c r="B3555" s="6" t="s">
        <v>7476</v>
      </c>
      <c r="C3555" s="4" t="s">
        <v>354</v>
      </c>
      <c r="D3555" s="4">
        <v>7</v>
      </c>
      <c r="E3555" s="4" t="s">
        <v>1069</v>
      </c>
    </row>
    <row r="3556" spans="1:6">
      <c r="A3556" s="4" t="s">
        <v>5785</v>
      </c>
      <c r="B3556" s="6" t="s">
        <v>7476</v>
      </c>
    </row>
    <row r="3557" spans="1:6">
      <c r="A3557" s="4" t="s">
        <v>7484</v>
      </c>
      <c r="B3557" s="6" t="s">
        <v>7476</v>
      </c>
      <c r="C3557" s="4" t="s">
        <v>81</v>
      </c>
      <c r="D3557" s="4">
        <v>10</v>
      </c>
      <c r="E3557" s="4" t="s">
        <v>1069</v>
      </c>
    </row>
    <row r="3558" spans="1:6">
      <c r="A3558" s="4" t="s">
        <v>7485</v>
      </c>
      <c r="B3558" s="6" t="s">
        <v>7476</v>
      </c>
      <c r="C3558" s="4" t="s">
        <v>53</v>
      </c>
      <c r="D3558" s="4">
        <v>12</v>
      </c>
      <c r="E3558" s="4" t="s">
        <v>1069</v>
      </c>
    </row>
    <row r="3559" spans="1:6">
      <c r="A3559" s="4" t="s">
        <v>7486</v>
      </c>
      <c r="B3559" s="6" t="s">
        <v>7476</v>
      </c>
      <c r="C3559" s="4" t="s">
        <v>315</v>
      </c>
      <c r="D3559" s="4">
        <v>15</v>
      </c>
      <c r="E3559" s="4" t="s">
        <v>1069</v>
      </c>
    </row>
    <row r="3560" spans="1:6">
      <c r="A3560" s="4" t="s">
        <v>7487</v>
      </c>
      <c r="B3560" s="6" t="s">
        <v>7476</v>
      </c>
      <c r="C3560" s="4" t="s">
        <v>1129</v>
      </c>
      <c r="D3560" s="4">
        <v>18</v>
      </c>
      <c r="E3560" s="4" t="s">
        <v>1069</v>
      </c>
      <c r="F3560" s="4" t="s">
        <v>1652</v>
      </c>
    </row>
    <row r="3561" spans="1:6">
      <c r="A3561" s="4" t="s">
        <v>7488</v>
      </c>
      <c r="B3561" s="6" t="s">
        <v>7476</v>
      </c>
      <c r="C3561" s="4" t="s">
        <v>23</v>
      </c>
      <c r="D3561" s="4">
        <v>10</v>
      </c>
      <c r="E3561" s="4" t="s">
        <v>6198</v>
      </c>
    </row>
    <row r="3562" spans="1:6">
      <c r="A3562" s="4" t="s">
        <v>7489</v>
      </c>
      <c r="B3562" s="6" t="s">
        <v>7476</v>
      </c>
      <c r="C3562" s="4" t="s">
        <v>63</v>
      </c>
      <c r="D3562" s="4">
        <v>15</v>
      </c>
      <c r="E3562" s="4" t="s">
        <v>1069</v>
      </c>
    </row>
    <row r="3563" spans="1:6">
      <c r="A3563" s="4" t="s">
        <v>7490</v>
      </c>
      <c r="B3563" s="6" t="s">
        <v>7476</v>
      </c>
      <c r="C3563" s="4" t="s">
        <v>520</v>
      </c>
      <c r="D3563" s="4">
        <v>11</v>
      </c>
      <c r="E3563" s="4" t="s">
        <v>1069</v>
      </c>
    </row>
    <row r="3564" spans="1:6">
      <c r="A3564" s="4" t="s">
        <v>7491</v>
      </c>
      <c r="B3564" s="6" t="s">
        <v>7492</v>
      </c>
      <c r="C3564" s="4" t="s">
        <v>254</v>
      </c>
      <c r="D3564" s="4">
        <v>14</v>
      </c>
      <c r="E3564" s="4" t="s">
        <v>1064</v>
      </c>
    </row>
    <row r="3565" spans="1:6">
      <c r="A3565" s="4" t="s">
        <v>7493</v>
      </c>
      <c r="B3565" s="6" t="s">
        <v>7492</v>
      </c>
      <c r="C3565" s="4" t="s">
        <v>254</v>
      </c>
      <c r="D3565" s="4">
        <v>14</v>
      </c>
      <c r="E3565" s="4" t="s">
        <v>1064</v>
      </c>
    </row>
    <row r="3566" spans="1:6">
      <c r="A3566" s="4" t="s">
        <v>7494</v>
      </c>
      <c r="B3566" s="6" t="s">
        <v>7495</v>
      </c>
      <c r="C3566" s="4" t="s">
        <v>49</v>
      </c>
      <c r="D3566" s="4">
        <v>16</v>
      </c>
      <c r="E3566" s="4" t="s">
        <v>1064</v>
      </c>
      <c r="F3566" s="4" t="s">
        <v>7496</v>
      </c>
    </row>
    <row r="3567" spans="1:6">
      <c r="A3567" s="4" t="s">
        <v>7497</v>
      </c>
      <c r="B3567" s="6" t="s">
        <v>7498</v>
      </c>
      <c r="C3567" s="4" t="s">
        <v>275</v>
      </c>
      <c r="D3567" s="4">
        <v>11</v>
      </c>
      <c r="E3567" s="4" t="s">
        <v>989</v>
      </c>
      <c r="F3567" s="4" t="s">
        <v>7499</v>
      </c>
    </row>
    <row r="3568" spans="1:6">
      <c r="A3568" s="4" t="s">
        <v>7500</v>
      </c>
      <c r="B3568" s="6" t="s">
        <v>7501</v>
      </c>
      <c r="C3568" s="4" t="s">
        <v>34</v>
      </c>
      <c r="D3568" s="4">
        <v>11</v>
      </c>
      <c r="E3568" s="4" t="s">
        <v>1187</v>
      </c>
      <c r="F3568" s="4" t="s">
        <v>3376</v>
      </c>
    </row>
    <row r="3569" spans="1:6">
      <c r="A3569" s="4" t="s">
        <v>7502</v>
      </c>
      <c r="B3569" s="6" t="s">
        <v>7501</v>
      </c>
      <c r="C3569" s="4" t="s">
        <v>53</v>
      </c>
      <c r="D3569" s="4">
        <v>13</v>
      </c>
      <c r="E3569" s="4" t="s">
        <v>7503</v>
      </c>
      <c r="F3569" s="4" t="s">
        <v>7504</v>
      </c>
    </row>
    <row r="3570" spans="1:6">
      <c r="A3570" s="4" t="s">
        <v>7505</v>
      </c>
      <c r="B3570" s="6" t="s">
        <v>7501</v>
      </c>
      <c r="C3570" s="4" t="s">
        <v>53</v>
      </c>
      <c r="D3570" s="4">
        <v>12</v>
      </c>
      <c r="E3570" s="4" t="s">
        <v>1187</v>
      </c>
    </row>
    <row r="3571" spans="1:6">
      <c r="A3571" s="4" t="s">
        <v>7506</v>
      </c>
      <c r="B3571" s="6" t="s">
        <v>7501</v>
      </c>
      <c r="C3571" s="4" t="s">
        <v>87</v>
      </c>
      <c r="D3571" s="4">
        <v>10</v>
      </c>
      <c r="E3571" s="4" t="s">
        <v>1483</v>
      </c>
    </row>
    <row r="3572" spans="1:6">
      <c r="A3572" s="4" t="s">
        <v>7507</v>
      </c>
      <c r="B3572" s="6" t="s">
        <v>7508</v>
      </c>
      <c r="C3572" s="4" t="s">
        <v>708</v>
      </c>
      <c r="D3572" s="4">
        <v>8</v>
      </c>
      <c r="E3572" s="4" t="s">
        <v>1378</v>
      </c>
      <c r="F3572" s="4" t="s">
        <v>1979</v>
      </c>
    </row>
    <row r="3573" spans="1:6">
      <c r="A3573" s="4" t="s">
        <v>7509</v>
      </c>
      <c r="B3573" s="6" t="s">
        <v>7508</v>
      </c>
      <c r="C3573" s="4" t="s">
        <v>403</v>
      </c>
      <c r="D3573" s="4">
        <v>13</v>
      </c>
      <c r="E3573" s="4" t="s">
        <v>7510</v>
      </c>
      <c r="F3573" s="4" t="s">
        <v>7511</v>
      </c>
    </row>
    <row r="3574" spans="1:6">
      <c r="A3574" s="4" t="s">
        <v>7512</v>
      </c>
      <c r="B3574" s="6" t="s">
        <v>7508</v>
      </c>
      <c r="C3574" s="4" t="s">
        <v>53</v>
      </c>
      <c r="D3574" s="4">
        <v>13</v>
      </c>
      <c r="E3574" s="4" t="s">
        <v>1187</v>
      </c>
      <c r="F3574" s="4" t="s">
        <v>7513</v>
      </c>
    </row>
    <row r="3575" spans="1:6">
      <c r="A3575" s="4" t="s">
        <v>7514</v>
      </c>
      <c r="B3575" s="6" t="s">
        <v>7508</v>
      </c>
      <c r="C3575" s="4" t="s">
        <v>223</v>
      </c>
      <c r="D3575" s="4">
        <v>17</v>
      </c>
      <c r="E3575" s="4" t="s">
        <v>1187</v>
      </c>
    </row>
    <row r="3576" spans="1:6">
      <c r="A3576" s="4" t="s">
        <v>173</v>
      </c>
      <c r="B3576" s="6" t="s">
        <v>7508</v>
      </c>
      <c r="C3576" s="4" t="s">
        <v>173</v>
      </c>
      <c r="D3576" s="4">
        <v>2</v>
      </c>
      <c r="E3576" s="4" t="s">
        <v>7510</v>
      </c>
    </row>
    <row r="3577" spans="1:6">
      <c r="A3577" s="4" t="s">
        <v>7515</v>
      </c>
      <c r="B3577" s="6" t="s">
        <v>7508</v>
      </c>
      <c r="C3577" s="4" t="s">
        <v>87</v>
      </c>
      <c r="D3577" s="4">
        <v>9</v>
      </c>
      <c r="E3577" s="4" t="s">
        <v>7516</v>
      </c>
      <c r="F3577" s="4" t="s">
        <v>7517</v>
      </c>
    </row>
    <row r="3578" spans="1:6">
      <c r="A3578" s="4" t="s">
        <v>7518</v>
      </c>
      <c r="B3578" s="6" t="s">
        <v>7508</v>
      </c>
      <c r="C3578" s="4" t="s">
        <v>605</v>
      </c>
      <c r="D3578" s="4">
        <v>10</v>
      </c>
      <c r="E3578" s="4" t="s">
        <v>1187</v>
      </c>
      <c r="F3578" s="4" t="s">
        <v>7519</v>
      </c>
    </row>
    <row r="3579" spans="1:6">
      <c r="A3579" s="4" t="s">
        <v>7520</v>
      </c>
      <c r="B3579" s="6" t="s">
        <v>7521</v>
      </c>
      <c r="C3579" s="4" t="s">
        <v>87</v>
      </c>
      <c r="D3579" s="4">
        <v>8</v>
      </c>
      <c r="E3579" s="4" t="s">
        <v>465</v>
      </c>
    </row>
    <row r="3580" spans="1:6">
      <c r="A3580" s="4" t="s">
        <v>7522</v>
      </c>
      <c r="B3580" s="6" t="s">
        <v>7523</v>
      </c>
      <c r="C3580" s="4" t="s">
        <v>87</v>
      </c>
      <c r="D3580" s="4">
        <v>8</v>
      </c>
      <c r="E3580" s="4" t="s">
        <v>7524</v>
      </c>
    </row>
    <row r="3581" spans="1:6">
      <c r="A3581" s="4" t="s">
        <v>7525</v>
      </c>
      <c r="B3581" s="6" t="s">
        <v>7526</v>
      </c>
      <c r="C3581" s="4" t="s">
        <v>403</v>
      </c>
      <c r="D3581" s="4">
        <v>10</v>
      </c>
      <c r="E3581" s="4" t="s">
        <v>1069</v>
      </c>
      <c r="F3581" s="4" t="s">
        <v>7527</v>
      </c>
    </row>
    <row r="3582" spans="1:6">
      <c r="A3582" s="4" t="s">
        <v>7528</v>
      </c>
      <c r="B3582" s="6" t="s">
        <v>7526</v>
      </c>
      <c r="C3582" s="4" t="s">
        <v>23</v>
      </c>
      <c r="D3582" s="4">
        <v>9</v>
      </c>
      <c r="E3582" s="4" t="s">
        <v>1069</v>
      </c>
      <c r="F3582" s="4" t="s">
        <v>7529</v>
      </c>
    </row>
    <row r="3583" spans="1:6">
      <c r="A3583" s="4" t="s">
        <v>7530</v>
      </c>
      <c r="B3583" s="6" t="s">
        <v>7531</v>
      </c>
      <c r="C3583" s="4" t="s">
        <v>285</v>
      </c>
      <c r="D3583" s="4">
        <v>10</v>
      </c>
      <c r="E3583" s="4" t="s">
        <v>1069</v>
      </c>
    </row>
    <row r="3584" spans="1:6">
      <c r="A3584" s="4" t="s">
        <v>7532</v>
      </c>
      <c r="B3584" s="6" t="s">
        <v>7533</v>
      </c>
      <c r="C3584" s="4" t="s">
        <v>87</v>
      </c>
      <c r="D3584" s="4">
        <v>15</v>
      </c>
      <c r="E3584" s="4" t="s">
        <v>1064</v>
      </c>
      <c r="F3584" s="4" t="s">
        <v>7534</v>
      </c>
    </row>
    <row r="3585" spans="1:6">
      <c r="A3585" s="4" t="s">
        <v>7535</v>
      </c>
      <c r="B3585" s="6" t="s">
        <v>7536</v>
      </c>
      <c r="C3585" s="4" t="s">
        <v>315</v>
      </c>
      <c r="D3585" s="4">
        <v>14</v>
      </c>
      <c r="E3585" s="4" t="s">
        <v>1064</v>
      </c>
      <c r="F3585" s="4" t="s">
        <v>7537</v>
      </c>
    </row>
    <row r="3586" spans="1:6">
      <c r="A3586" s="4" t="s">
        <v>7538</v>
      </c>
      <c r="B3586" s="6" t="s">
        <v>7536</v>
      </c>
      <c r="C3586" s="4" t="s">
        <v>271</v>
      </c>
      <c r="D3586" s="4">
        <v>9</v>
      </c>
      <c r="E3586" s="4" t="s">
        <v>5301</v>
      </c>
      <c r="F3586" s="4" t="s">
        <v>7539</v>
      </c>
    </row>
    <row r="3587" spans="1:6">
      <c r="A3587" s="4" t="s">
        <v>7540</v>
      </c>
      <c r="B3587" s="6" t="s">
        <v>7541</v>
      </c>
      <c r="C3587" s="4" t="s">
        <v>485</v>
      </c>
      <c r="D3587" s="4">
        <v>17</v>
      </c>
      <c r="E3587" s="4" t="s">
        <v>1069</v>
      </c>
    </row>
    <row r="3588" spans="1:6">
      <c r="A3588" s="4" t="s">
        <v>7542</v>
      </c>
      <c r="B3588" s="6" t="s">
        <v>7541</v>
      </c>
      <c r="C3588" s="4" t="s">
        <v>81</v>
      </c>
      <c r="D3588" s="4">
        <v>15</v>
      </c>
      <c r="E3588" s="4" t="s">
        <v>1069</v>
      </c>
    </row>
    <row r="3589" spans="1:6">
      <c r="A3589" s="4" t="s">
        <v>7543</v>
      </c>
      <c r="B3589" s="6" t="s">
        <v>7541</v>
      </c>
      <c r="C3589" s="4" t="s">
        <v>53</v>
      </c>
      <c r="D3589" s="4">
        <v>16</v>
      </c>
      <c r="E3589" s="4" t="s">
        <v>1069</v>
      </c>
      <c r="F3589" s="4" t="s">
        <v>7544</v>
      </c>
    </row>
    <row r="3590" spans="1:6">
      <c r="A3590" s="4" t="s">
        <v>7545</v>
      </c>
      <c r="B3590" s="6" t="s">
        <v>7541</v>
      </c>
      <c r="C3590" s="4" t="s">
        <v>104</v>
      </c>
      <c r="D3590" s="4">
        <v>10</v>
      </c>
      <c r="E3590" s="4" t="s">
        <v>2161</v>
      </c>
    </row>
    <row r="3591" spans="1:6">
      <c r="A3591" s="4" t="s">
        <v>7546</v>
      </c>
      <c r="B3591" s="6" t="s">
        <v>7547</v>
      </c>
      <c r="C3591" s="4" t="s">
        <v>315</v>
      </c>
      <c r="D3591" s="4">
        <v>14</v>
      </c>
      <c r="E3591" s="4" t="s">
        <v>1064</v>
      </c>
    </row>
    <row r="3592" spans="1:6">
      <c r="A3592" s="4" t="s">
        <v>7548</v>
      </c>
      <c r="B3592" s="6" t="s">
        <v>7547</v>
      </c>
      <c r="C3592" s="4" t="s">
        <v>76</v>
      </c>
      <c r="D3592" s="4">
        <v>22</v>
      </c>
      <c r="E3592" s="4" t="s">
        <v>1064</v>
      </c>
    </row>
    <row r="3593" spans="1:6">
      <c r="A3593" s="4" t="s">
        <v>7549</v>
      </c>
      <c r="B3593" s="6" t="s">
        <v>7547</v>
      </c>
      <c r="C3593" s="4" t="s">
        <v>49</v>
      </c>
      <c r="D3593" s="4">
        <v>20</v>
      </c>
      <c r="E3593" s="4" t="s">
        <v>1064</v>
      </c>
    </row>
    <row r="3594" spans="1:6">
      <c r="A3594" s="4" t="s">
        <v>2474</v>
      </c>
      <c r="B3594" s="6" t="s">
        <v>7550</v>
      </c>
      <c r="C3594" s="4" t="s">
        <v>2474</v>
      </c>
      <c r="D3594" s="4">
        <v>3</v>
      </c>
      <c r="E3594" s="4" t="s">
        <v>1069</v>
      </c>
      <c r="F3594" s="4" t="s">
        <v>7551</v>
      </c>
    </row>
    <row r="3595" spans="1:6">
      <c r="A3595" s="4" t="s">
        <v>7552</v>
      </c>
      <c r="B3595" s="6" t="s">
        <v>7553</v>
      </c>
      <c r="C3595" s="4" t="s">
        <v>439</v>
      </c>
      <c r="D3595" s="4">
        <v>13</v>
      </c>
      <c r="E3595" s="4" t="s">
        <v>1064</v>
      </c>
    </row>
    <row r="3596" spans="1:6">
      <c r="A3596" s="4" t="s">
        <v>7554</v>
      </c>
      <c r="B3596" s="6" t="s">
        <v>7553</v>
      </c>
      <c r="C3596" s="4" t="s">
        <v>34</v>
      </c>
      <c r="D3596" s="4">
        <v>12</v>
      </c>
      <c r="E3596" s="4" t="s">
        <v>1064</v>
      </c>
      <c r="F3596" s="4" t="s">
        <v>7555</v>
      </c>
    </row>
    <row r="3597" spans="1:6">
      <c r="A3597" s="4" t="s">
        <v>7556</v>
      </c>
      <c r="B3597" s="6" t="s">
        <v>7553</v>
      </c>
      <c r="C3597" s="4" t="s">
        <v>34</v>
      </c>
      <c r="D3597" s="4">
        <v>18</v>
      </c>
      <c r="E3597" s="4" t="s">
        <v>1064</v>
      </c>
    </row>
    <row r="3598" spans="1:6">
      <c r="A3598" s="4" t="s">
        <v>7557</v>
      </c>
      <c r="B3598" s="6" t="s">
        <v>7553</v>
      </c>
      <c r="C3598" s="4" t="s">
        <v>1679</v>
      </c>
      <c r="D3598" s="4">
        <v>15</v>
      </c>
      <c r="E3598" s="4" t="s">
        <v>1064</v>
      </c>
    </row>
    <row r="3599" spans="1:6">
      <c r="A3599" s="4" t="s">
        <v>7558</v>
      </c>
      <c r="B3599" s="6" t="s">
        <v>7559</v>
      </c>
      <c r="C3599" s="4" t="s">
        <v>271</v>
      </c>
      <c r="D3599" s="4">
        <v>13</v>
      </c>
      <c r="E3599" s="4" t="s">
        <v>6233</v>
      </c>
    </row>
    <row r="3600" spans="1:6">
      <c r="A3600" s="4" t="s">
        <v>7560</v>
      </c>
      <c r="B3600" s="6" t="s">
        <v>7559</v>
      </c>
      <c r="C3600" s="4" t="s">
        <v>705</v>
      </c>
      <c r="D3600" s="4">
        <v>13</v>
      </c>
      <c r="E3600" s="4" t="s">
        <v>6193</v>
      </c>
    </row>
    <row r="3601" spans="1:6">
      <c r="A3601" s="4" t="s">
        <v>7561</v>
      </c>
      <c r="B3601" s="6" t="s">
        <v>7562</v>
      </c>
      <c r="C3601" s="4" t="s">
        <v>301</v>
      </c>
      <c r="D3601" s="4">
        <v>17</v>
      </c>
      <c r="E3601" s="4" t="s">
        <v>5298</v>
      </c>
    </row>
    <row r="3602" spans="1:6">
      <c r="A3602" s="4" t="s">
        <v>7563</v>
      </c>
      <c r="B3602" s="6" t="s">
        <v>7564</v>
      </c>
      <c r="C3602" s="4" t="s">
        <v>87</v>
      </c>
      <c r="D3602" s="4">
        <v>14</v>
      </c>
      <c r="E3602" s="4" t="s">
        <v>7565</v>
      </c>
      <c r="F3602" s="4" t="s">
        <v>7566</v>
      </c>
    </row>
    <row r="3603" spans="1:6">
      <c r="A3603" s="4" t="s">
        <v>7567</v>
      </c>
      <c r="B3603" s="6" t="s">
        <v>7568</v>
      </c>
      <c r="C3603" s="4" t="s">
        <v>254</v>
      </c>
      <c r="D3603" s="4">
        <v>9</v>
      </c>
      <c r="E3603" s="4" t="s">
        <v>7569</v>
      </c>
      <c r="F3603" s="4" t="s">
        <v>7570</v>
      </c>
    </row>
    <row r="3604" spans="1:6">
      <c r="A3604" s="4" t="s">
        <v>7571</v>
      </c>
      <c r="B3604" s="6" t="s">
        <v>7568</v>
      </c>
      <c r="C3604" s="4" t="s">
        <v>271</v>
      </c>
      <c r="D3604" s="4">
        <v>12</v>
      </c>
      <c r="E3604" s="4" t="s">
        <v>1064</v>
      </c>
    </row>
    <row r="3605" spans="1:6">
      <c r="A3605" s="4" t="s">
        <v>7572</v>
      </c>
      <c r="B3605" s="6" t="s">
        <v>7573</v>
      </c>
      <c r="C3605" s="4" t="s">
        <v>34</v>
      </c>
      <c r="D3605" s="4">
        <v>11</v>
      </c>
      <c r="E3605" s="4" t="s">
        <v>1069</v>
      </c>
    </row>
    <row r="3606" spans="1:6">
      <c r="A3606" s="4" t="s">
        <v>7574</v>
      </c>
      <c r="B3606" s="6" t="s">
        <v>7575</v>
      </c>
      <c r="C3606" s="4" t="s">
        <v>1211</v>
      </c>
      <c r="D3606" s="4">
        <v>14</v>
      </c>
      <c r="E3606" s="4" t="s">
        <v>1043</v>
      </c>
    </row>
    <row r="3607" spans="1:6">
      <c r="A3607" s="4" t="s">
        <v>7576</v>
      </c>
      <c r="B3607" s="6" t="s">
        <v>7575</v>
      </c>
      <c r="C3607" s="4" t="s">
        <v>104</v>
      </c>
      <c r="D3607" s="4">
        <v>9</v>
      </c>
      <c r="E3607" s="4" t="s">
        <v>1110</v>
      </c>
      <c r="F3607" s="4" t="s">
        <v>7577</v>
      </c>
    </row>
    <row r="3608" spans="1:6">
      <c r="A3608" s="4" t="s">
        <v>7578</v>
      </c>
      <c r="B3608" s="6" t="s">
        <v>7575</v>
      </c>
      <c r="C3608" s="4" t="s">
        <v>104</v>
      </c>
      <c r="D3608" s="4">
        <v>12</v>
      </c>
      <c r="E3608" s="4" t="s">
        <v>1069</v>
      </c>
    </row>
    <row r="3609" spans="1:6">
      <c r="A3609" s="4" t="s">
        <v>7579</v>
      </c>
      <c r="B3609" s="6" t="s">
        <v>7575</v>
      </c>
      <c r="C3609" s="4" t="s">
        <v>81</v>
      </c>
      <c r="D3609" s="4">
        <v>12</v>
      </c>
      <c r="E3609" s="4" t="s">
        <v>1114</v>
      </c>
    </row>
    <row r="3610" spans="1:6">
      <c r="A3610" s="4" t="s">
        <v>7580</v>
      </c>
      <c r="B3610" s="6" t="s">
        <v>7575</v>
      </c>
      <c r="C3610" s="4" t="s">
        <v>296</v>
      </c>
      <c r="D3610" s="4">
        <v>11</v>
      </c>
      <c r="E3610" s="4" t="s">
        <v>1043</v>
      </c>
    </row>
    <row r="3611" spans="1:6">
      <c r="A3611" s="4" t="s">
        <v>7581</v>
      </c>
      <c r="B3611" s="6" t="s">
        <v>7575</v>
      </c>
      <c r="C3611" s="4" t="s">
        <v>427</v>
      </c>
      <c r="D3611" s="4">
        <v>14</v>
      </c>
      <c r="E3611" s="4" t="s">
        <v>1043</v>
      </c>
    </row>
    <row r="3612" spans="1:6">
      <c r="A3612" s="4" t="s">
        <v>7582</v>
      </c>
      <c r="B3612" s="6" t="s">
        <v>7583</v>
      </c>
      <c r="C3612" s="4" t="s">
        <v>87</v>
      </c>
      <c r="D3612" s="4">
        <v>15</v>
      </c>
      <c r="E3612" s="4" t="s">
        <v>1107</v>
      </c>
      <c r="F3612" s="4" t="s">
        <v>2972</v>
      </c>
    </row>
    <row r="3613" spans="1:6">
      <c r="A3613" s="4" t="s">
        <v>7584</v>
      </c>
      <c r="B3613" s="6" t="s">
        <v>7583</v>
      </c>
      <c r="C3613" s="4" t="s">
        <v>458</v>
      </c>
      <c r="D3613" s="4">
        <v>16</v>
      </c>
      <c r="E3613" s="4" t="s">
        <v>1107</v>
      </c>
      <c r="F3613" s="4" t="s">
        <v>7585</v>
      </c>
    </row>
    <row r="3614" spans="1:6">
      <c r="A3614" s="4" t="s">
        <v>7586</v>
      </c>
      <c r="B3614" s="6" t="s">
        <v>7583</v>
      </c>
      <c r="C3614" s="4" t="s">
        <v>301</v>
      </c>
      <c r="D3614" s="4">
        <v>17</v>
      </c>
      <c r="E3614" s="4" t="s">
        <v>1107</v>
      </c>
    </row>
    <row r="3615" spans="1:6">
      <c r="A3615" s="4" t="s">
        <v>7587</v>
      </c>
      <c r="B3615" s="6" t="s">
        <v>7583</v>
      </c>
      <c r="C3615" s="4" t="s">
        <v>439</v>
      </c>
      <c r="D3615" s="4">
        <v>13</v>
      </c>
      <c r="E3615" s="4" t="s">
        <v>7588</v>
      </c>
      <c r="F3615" s="4" t="s">
        <v>1142</v>
      </c>
    </row>
    <row r="3616" spans="1:6">
      <c r="A3616" s="4" t="s">
        <v>7589</v>
      </c>
      <c r="B3616" s="6" t="s">
        <v>7583</v>
      </c>
      <c r="C3616" s="4" t="s">
        <v>81</v>
      </c>
      <c r="D3616" s="4">
        <v>11</v>
      </c>
      <c r="E3616" s="4" t="s">
        <v>1107</v>
      </c>
      <c r="F3616" s="4" t="s">
        <v>7590</v>
      </c>
    </row>
    <row r="3617" spans="1:6">
      <c r="A3617" s="4" t="s">
        <v>7591</v>
      </c>
      <c r="B3617" s="6" t="s">
        <v>7583</v>
      </c>
      <c r="C3617" s="4" t="s">
        <v>104</v>
      </c>
      <c r="D3617" s="4">
        <v>8</v>
      </c>
      <c r="E3617" s="4" t="s">
        <v>7101</v>
      </c>
      <c r="F3617" s="4" t="s">
        <v>7592</v>
      </c>
    </row>
    <row r="3618" spans="1:6">
      <c r="A3618" s="4" t="s">
        <v>7593</v>
      </c>
      <c r="B3618" s="6" t="s">
        <v>7583</v>
      </c>
      <c r="C3618" s="4" t="s">
        <v>53</v>
      </c>
      <c r="D3618" s="4">
        <v>8</v>
      </c>
      <c r="E3618" s="4" t="s">
        <v>1107</v>
      </c>
    </row>
    <row r="3619" spans="1:6">
      <c r="A3619" s="4" t="s">
        <v>7594</v>
      </c>
      <c r="B3619" s="6" t="s">
        <v>7583</v>
      </c>
      <c r="C3619" s="4" t="s">
        <v>315</v>
      </c>
      <c r="D3619" s="4">
        <v>16</v>
      </c>
      <c r="E3619" s="4" t="s">
        <v>7101</v>
      </c>
      <c r="F3619" s="4" t="s">
        <v>4174</v>
      </c>
    </row>
    <row r="3620" spans="1:6">
      <c r="A3620" s="4" t="s">
        <v>7595</v>
      </c>
      <c r="B3620" s="6" t="s">
        <v>7583</v>
      </c>
      <c r="C3620" s="4" t="s">
        <v>104</v>
      </c>
      <c r="D3620" s="4">
        <v>12</v>
      </c>
      <c r="E3620" s="4" t="s">
        <v>1107</v>
      </c>
    </row>
    <row r="3621" spans="1:6">
      <c r="A3621" s="4" t="s">
        <v>7596</v>
      </c>
      <c r="B3621" s="6" t="s">
        <v>7583</v>
      </c>
      <c r="C3621" s="4" t="s">
        <v>76</v>
      </c>
      <c r="D3621" s="4">
        <v>21</v>
      </c>
      <c r="F3621" s="4" t="s">
        <v>7597</v>
      </c>
    </row>
    <row r="3622" spans="1:6">
      <c r="A3622" s="4" t="s">
        <v>7598</v>
      </c>
      <c r="B3622" s="6" t="s">
        <v>7583</v>
      </c>
      <c r="C3622" s="4" t="s">
        <v>76</v>
      </c>
      <c r="D3622" s="4">
        <v>15</v>
      </c>
      <c r="E3622" s="4" t="s">
        <v>7599</v>
      </c>
    </row>
    <row r="3623" spans="1:6">
      <c r="A3623" s="4" t="s">
        <v>7600</v>
      </c>
      <c r="B3623" s="6" t="s">
        <v>7583</v>
      </c>
      <c r="C3623" s="4" t="s">
        <v>427</v>
      </c>
      <c r="D3623" s="4">
        <v>14</v>
      </c>
      <c r="E3623" s="4" t="s">
        <v>3992</v>
      </c>
    </row>
    <row r="3624" spans="1:6">
      <c r="A3624" s="4" t="s">
        <v>7601</v>
      </c>
      <c r="B3624" s="6" t="s">
        <v>7583</v>
      </c>
      <c r="C3624" s="4" t="s">
        <v>705</v>
      </c>
      <c r="D3624" s="4">
        <v>13</v>
      </c>
      <c r="E3624" s="4" t="s">
        <v>7602</v>
      </c>
    </row>
    <row r="3625" spans="1:6">
      <c r="A3625" s="4" t="s">
        <v>7603</v>
      </c>
      <c r="B3625" s="6" t="s">
        <v>7604</v>
      </c>
      <c r="C3625" s="4" t="s">
        <v>254</v>
      </c>
      <c r="D3625" s="4">
        <v>9</v>
      </c>
      <c r="E3625" s="4" t="s">
        <v>989</v>
      </c>
      <c r="F3625" s="4" t="s">
        <v>6861</v>
      </c>
    </row>
    <row r="3626" spans="1:6">
      <c r="A3626" s="4" t="s">
        <v>7605</v>
      </c>
      <c r="B3626" s="6" t="s">
        <v>7606</v>
      </c>
      <c r="C3626" s="4" t="s">
        <v>254</v>
      </c>
      <c r="D3626" s="4">
        <v>8</v>
      </c>
      <c r="E3626" s="4" t="s">
        <v>566</v>
      </c>
      <c r="F3626" s="4" t="s">
        <v>7607</v>
      </c>
    </row>
    <row r="3627" spans="1:6">
      <c r="A3627" s="4" t="s">
        <v>7608</v>
      </c>
      <c r="B3627" s="6" t="s">
        <v>7606</v>
      </c>
      <c r="C3627" s="4" t="s">
        <v>598</v>
      </c>
      <c r="D3627" s="4">
        <v>6</v>
      </c>
      <c r="E3627" s="4" t="s">
        <v>566</v>
      </c>
    </row>
    <row r="3628" spans="1:6">
      <c r="A3628" s="4" t="s">
        <v>7609</v>
      </c>
      <c r="B3628" s="6" t="s">
        <v>7610</v>
      </c>
      <c r="C3628" s="4" t="s">
        <v>14</v>
      </c>
      <c r="D3628" s="4">
        <v>8</v>
      </c>
      <c r="E3628" s="4" t="s">
        <v>1114</v>
      </c>
    </row>
    <row r="3629" spans="1:6">
      <c r="A3629" s="4" t="s">
        <v>7611</v>
      </c>
      <c r="B3629" s="6" t="s">
        <v>7610</v>
      </c>
      <c r="C3629" s="4" t="s">
        <v>81</v>
      </c>
      <c r="D3629" s="4">
        <v>8</v>
      </c>
      <c r="E3629" s="4" t="s">
        <v>1114</v>
      </c>
      <c r="F3629" s="4" t="s">
        <v>7612</v>
      </c>
    </row>
    <row r="3630" spans="1:6">
      <c r="A3630" s="4" t="s">
        <v>7613</v>
      </c>
      <c r="B3630" s="6" t="s">
        <v>7614</v>
      </c>
      <c r="C3630" s="4" t="s">
        <v>81</v>
      </c>
      <c r="D3630" s="4">
        <v>11</v>
      </c>
      <c r="E3630" s="4" t="s">
        <v>1253</v>
      </c>
      <c r="F3630" s="4" t="s">
        <v>7615</v>
      </c>
    </row>
    <row r="3631" spans="1:6">
      <c r="A3631" s="4" t="s">
        <v>7616</v>
      </c>
      <c r="B3631" s="6" t="s">
        <v>7614</v>
      </c>
      <c r="C3631" s="4" t="s">
        <v>104</v>
      </c>
      <c r="D3631" s="4">
        <v>12</v>
      </c>
      <c r="E3631" s="4" t="s">
        <v>1043</v>
      </c>
      <c r="F3631" s="4" t="s">
        <v>7341</v>
      </c>
    </row>
    <row r="3632" spans="1:6">
      <c r="A3632" s="4" t="s">
        <v>7617</v>
      </c>
      <c r="B3632" s="6" t="s">
        <v>7614</v>
      </c>
      <c r="C3632" s="4" t="s">
        <v>995</v>
      </c>
      <c r="D3632" s="4">
        <v>13</v>
      </c>
      <c r="E3632" s="4" t="s">
        <v>1043</v>
      </c>
    </row>
    <row r="3633" spans="1:6">
      <c r="A3633" s="4" t="s">
        <v>7618</v>
      </c>
      <c r="B3633" s="6" t="s">
        <v>7619</v>
      </c>
      <c r="C3633" s="4" t="s">
        <v>995</v>
      </c>
      <c r="D3633" s="4">
        <v>9</v>
      </c>
      <c r="E3633" s="4" t="s">
        <v>1114</v>
      </c>
      <c r="F3633" s="4" t="s">
        <v>7620</v>
      </c>
    </row>
    <row r="3634" spans="1:6">
      <c r="A3634" s="4" t="s">
        <v>7621</v>
      </c>
      <c r="B3634" s="6" t="s">
        <v>7619</v>
      </c>
      <c r="C3634" s="4" t="s">
        <v>74</v>
      </c>
      <c r="D3634" s="4">
        <v>4</v>
      </c>
      <c r="E3634" s="4" t="s">
        <v>1609</v>
      </c>
    </row>
    <row r="3635" spans="1:6">
      <c r="A3635" s="4" t="s">
        <v>7622</v>
      </c>
      <c r="B3635" s="6" t="s">
        <v>7623</v>
      </c>
      <c r="C3635" s="4" t="s">
        <v>6812</v>
      </c>
      <c r="D3635" s="4">
        <v>14</v>
      </c>
      <c r="E3635" s="4" t="s">
        <v>1110</v>
      </c>
      <c r="F3635" s="4" t="s">
        <v>7624</v>
      </c>
    </row>
    <row r="3636" spans="1:6">
      <c r="A3636" s="4" t="s">
        <v>7625</v>
      </c>
      <c r="B3636" s="6" t="s">
        <v>7623</v>
      </c>
      <c r="C3636" s="4" t="s">
        <v>6812</v>
      </c>
      <c r="D3636" s="4">
        <v>13</v>
      </c>
      <c r="E3636" s="4" t="s">
        <v>7626</v>
      </c>
      <c r="F3636" s="4" t="s">
        <v>7627</v>
      </c>
    </row>
    <row r="3637" spans="1:6">
      <c r="A3637" s="4" t="s">
        <v>7628</v>
      </c>
      <c r="B3637" s="6" t="s">
        <v>7629</v>
      </c>
      <c r="C3637" s="4" t="s">
        <v>403</v>
      </c>
      <c r="D3637" s="4">
        <v>20</v>
      </c>
      <c r="E3637" s="4" t="s">
        <v>7630</v>
      </c>
    </row>
    <row r="3638" spans="1:6">
      <c r="A3638" s="4" t="s">
        <v>1569</v>
      </c>
      <c r="B3638" s="6" t="s">
        <v>7629</v>
      </c>
      <c r="C3638" s="4" t="s">
        <v>1569</v>
      </c>
      <c r="D3638" s="4">
        <v>3</v>
      </c>
      <c r="E3638" s="4" t="s">
        <v>1107</v>
      </c>
      <c r="F3638" s="4" t="s">
        <v>7631</v>
      </c>
    </row>
    <row r="3639" spans="1:6">
      <c r="A3639" s="4" t="s">
        <v>7632</v>
      </c>
      <c r="B3639" s="6" t="s">
        <v>7629</v>
      </c>
      <c r="C3639" s="4" t="s">
        <v>45</v>
      </c>
      <c r="D3639" s="4">
        <v>11</v>
      </c>
      <c r="E3639" s="4" t="s">
        <v>7599</v>
      </c>
      <c r="F3639" s="4" t="s">
        <v>4023</v>
      </c>
    </row>
    <row r="3640" spans="1:6">
      <c r="A3640" s="4" t="s">
        <v>7633</v>
      </c>
      <c r="B3640" s="6" t="s">
        <v>7629</v>
      </c>
      <c r="C3640" s="4" t="s">
        <v>238</v>
      </c>
      <c r="D3640" s="4">
        <v>10</v>
      </c>
      <c r="E3640" s="4" t="s">
        <v>1107</v>
      </c>
    </row>
    <row r="3641" spans="1:6">
      <c r="A3641" s="4" t="s">
        <v>7634</v>
      </c>
      <c r="B3641" s="6" t="s">
        <v>7629</v>
      </c>
      <c r="C3641" s="4" t="s">
        <v>87</v>
      </c>
      <c r="D3641" s="4">
        <v>6</v>
      </c>
      <c r="E3641" s="4" t="s">
        <v>1107</v>
      </c>
      <c r="F3641" s="4" t="s">
        <v>7635</v>
      </c>
    </row>
    <row r="3642" spans="1:6">
      <c r="A3642" s="4" t="s">
        <v>7636</v>
      </c>
      <c r="B3642" s="6" t="s">
        <v>7629</v>
      </c>
      <c r="C3642" s="4" t="s">
        <v>254</v>
      </c>
      <c r="D3642" s="4">
        <v>15</v>
      </c>
      <c r="E3642" s="4" t="s">
        <v>578</v>
      </c>
      <c r="F3642" s="4" t="s">
        <v>7637</v>
      </c>
    </row>
    <row r="3643" spans="1:6">
      <c r="A3643" s="4" t="s">
        <v>7638</v>
      </c>
      <c r="B3643" s="6" t="s">
        <v>7639</v>
      </c>
      <c r="C3643" s="4" t="s">
        <v>87</v>
      </c>
      <c r="D3643" s="4">
        <v>9</v>
      </c>
      <c r="E3643" s="4" t="s">
        <v>1253</v>
      </c>
    </row>
    <row r="3644" spans="1:6">
      <c r="A3644" s="4" t="s">
        <v>7640</v>
      </c>
      <c r="B3644" s="6" t="s">
        <v>7639</v>
      </c>
      <c r="C3644" s="4" t="s">
        <v>448</v>
      </c>
      <c r="D3644" s="4">
        <v>8</v>
      </c>
      <c r="E3644" s="4" t="s">
        <v>498</v>
      </c>
      <c r="F3644" s="4" t="s">
        <v>7641</v>
      </c>
    </row>
    <row r="3645" spans="1:6">
      <c r="A3645" s="4" t="s">
        <v>7642</v>
      </c>
      <c r="B3645" s="6" t="s">
        <v>7643</v>
      </c>
      <c r="C3645" s="4" t="s">
        <v>23</v>
      </c>
      <c r="D3645" s="4">
        <v>10</v>
      </c>
      <c r="E3645" s="4" t="s">
        <v>2769</v>
      </c>
      <c r="F3645" s="4" t="s">
        <v>7644</v>
      </c>
    </row>
    <row r="3646" spans="1:6">
      <c r="A3646" s="4" t="s">
        <v>7645</v>
      </c>
      <c r="B3646" s="6" t="s">
        <v>7646</v>
      </c>
      <c r="C3646" s="4" t="s">
        <v>1262</v>
      </c>
      <c r="D3646" s="4">
        <v>14</v>
      </c>
      <c r="E3646" s="4" t="s">
        <v>6184</v>
      </c>
      <c r="F3646" s="4" t="s">
        <v>7647</v>
      </c>
    </row>
    <row r="3647" spans="1:6">
      <c r="A3647" s="4" t="s">
        <v>7648</v>
      </c>
      <c r="B3647" s="6" t="s">
        <v>7649</v>
      </c>
      <c r="C3647" s="4" t="s">
        <v>485</v>
      </c>
      <c r="D3647" s="4">
        <v>9</v>
      </c>
      <c r="E3647" s="4" t="s">
        <v>6246</v>
      </c>
      <c r="F3647" s="4" t="s">
        <v>7650</v>
      </c>
    </row>
    <row r="3648" spans="1:6">
      <c r="A3648" s="4" t="s">
        <v>7651</v>
      </c>
      <c r="B3648" s="6" t="s">
        <v>7652</v>
      </c>
      <c r="C3648" s="4" t="s">
        <v>403</v>
      </c>
      <c r="D3648" s="4">
        <v>14</v>
      </c>
      <c r="E3648" s="4" t="s">
        <v>6184</v>
      </c>
    </row>
    <row r="3649" spans="1:6">
      <c r="A3649" s="4" t="s">
        <v>7653</v>
      </c>
      <c r="B3649" s="6" t="s">
        <v>7654</v>
      </c>
      <c r="C3649" s="4" t="s">
        <v>34</v>
      </c>
      <c r="D3649" s="4">
        <v>15</v>
      </c>
      <c r="E3649" s="4" t="s">
        <v>4213</v>
      </c>
      <c r="F3649" s="4" t="s">
        <v>7655</v>
      </c>
    </row>
    <row r="3650" spans="1:6">
      <c r="A3650" s="4" t="s">
        <v>7656</v>
      </c>
      <c r="B3650" s="6" t="s">
        <v>7657</v>
      </c>
      <c r="C3650" s="4" t="s">
        <v>254</v>
      </c>
      <c r="D3650" s="4">
        <v>6</v>
      </c>
      <c r="E3650" s="4" t="s">
        <v>7658</v>
      </c>
      <c r="F3650" s="4" t="s">
        <v>7659</v>
      </c>
    </row>
    <row r="3651" spans="1:6">
      <c r="A3651" s="4" t="s">
        <v>7660</v>
      </c>
      <c r="B3651" s="6" t="s">
        <v>7657</v>
      </c>
      <c r="C3651" s="4" t="s">
        <v>296</v>
      </c>
      <c r="D3651" s="4">
        <v>11</v>
      </c>
      <c r="E3651" s="4" t="s">
        <v>1064</v>
      </c>
    </row>
    <row r="3652" spans="1:6">
      <c r="A3652" s="4" t="s">
        <v>7661</v>
      </c>
      <c r="B3652" s="6" t="s">
        <v>7662</v>
      </c>
      <c r="C3652" s="4" t="s">
        <v>275</v>
      </c>
      <c r="D3652" s="4">
        <v>12</v>
      </c>
      <c r="E3652" s="4" t="s">
        <v>6398</v>
      </c>
      <c r="F3652" s="4" t="s">
        <v>7663</v>
      </c>
    </row>
    <row r="3653" spans="1:6">
      <c r="A3653" s="4" t="s">
        <v>7664</v>
      </c>
      <c r="B3653" s="6" t="s">
        <v>7665</v>
      </c>
      <c r="C3653" s="4" t="s">
        <v>315</v>
      </c>
      <c r="D3653" s="4">
        <v>18</v>
      </c>
      <c r="E3653" s="4" t="s">
        <v>2769</v>
      </c>
      <c r="F3653" s="4" t="s">
        <v>7666</v>
      </c>
    </row>
    <row r="3654" spans="1:6">
      <c r="A3654" s="4" t="s">
        <v>7667</v>
      </c>
      <c r="B3654" s="6" t="s">
        <v>7665</v>
      </c>
      <c r="C3654" s="4" t="s">
        <v>34</v>
      </c>
      <c r="D3654" s="4">
        <v>10</v>
      </c>
      <c r="E3654" s="4" t="s">
        <v>7668</v>
      </c>
      <c r="F3654" s="4" t="s">
        <v>7669</v>
      </c>
    </row>
    <row r="3655" spans="1:6">
      <c r="A3655" s="4" t="s">
        <v>7670</v>
      </c>
      <c r="B3655" s="6" t="s">
        <v>7671</v>
      </c>
      <c r="C3655" s="4" t="s">
        <v>41</v>
      </c>
      <c r="D3655" s="4">
        <v>10</v>
      </c>
      <c r="E3655" s="4" t="s">
        <v>7672</v>
      </c>
      <c r="F3655" s="4" t="s">
        <v>7673</v>
      </c>
    </row>
    <row r="3656" spans="1:6">
      <c r="A3656" s="4" t="s">
        <v>7674</v>
      </c>
      <c r="B3656" s="6" t="s">
        <v>7671</v>
      </c>
      <c r="C3656" s="4" t="s">
        <v>27</v>
      </c>
      <c r="D3656" s="4">
        <v>7</v>
      </c>
      <c r="E3656" s="4" t="s">
        <v>7668</v>
      </c>
    </row>
    <row r="3657" spans="1:6">
      <c r="A3657" s="4" t="s">
        <v>7675</v>
      </c>
      <c r="B3657" s="6" t="s">
        <v>7676</v>
      </c>
      <c r="C3657" s="4" t="s">
        <v>458</v>
      </c>
      <c r="D3657" s="4">
        <v>10</v>
      </c>
      <c r="E3657" s="4" t="s">
        <v>1148</v>
      </c>
    </row>
    <row r="3658" spans="1:6">
      <c r="A3658" s="4" t="s">
        <v>7677</v>
      </c>
      <c r="B3658" s="6" t="s">
        <v>7676</v>
      </c>
      <c r="C3658" s="4" t="s">
        <v>49</v>
      </c>
      <c r="D3658" s="4">
        <v>19</v>
      </c>
      <c r="E3658" s="4" t="s">
        <v>1148</v>
      </c>
      <c r="F3658" s="4" t="s">
        <v>763</v>
      </c>
    </row>
    <row r="3659" spans="1:6">
      <c r="A3659" s="4" t="s">
        <v>7678</v>
      </c>
      <c r="B3659" s="6" t="s">
        <v>7679</v>
      </c>
      <c r="C3659" s="4" t="s">
        <v>1180</v>
      </c>
      <c r="D3659" s="4">
        <v>12</v>
      </c>
      <c r="E3659" s="4" t="s">
        <v>2387</v>
      </c>
      <c r="F3659" s="4" t="s">
        <v>7680</v>
      </c>
    </row>
    <row r="3660" spans="1:6">
      <c r="A3660" s="4" t="s">
        <v>7681</v>
      </c>
      <c r="B3660" s="6" t="s">
        <v>7679</v>
      </c>
      <c r="C3660" s="4" t="s">
        <v>708</v>
      </c>
      <c r="D3660" s="4">
        <v>10</v>
      </c>
      <c r="E3660" s="4" t="s">
        <v>2387</v>
      </c>
      <c r="F3660" s="4" t="s">
        <v>7682</v>
      </c>
    </row>
    <row r="3661" spans="1:6">
      <c r="A3661" s="4" t="s">
        <v>7683</v>
      </c>
      <c r="B3661" s="6" t="s">
        <v>7679</v>
      </c>
      <c r="C3661" s="4" t="s">
        <v>45</v>
      </c>
      <c r="D3661" s="4">
        <v>8</v>
      </c>
      <c r="E3661" s="4" t="s">
        <v>7684</v>
      </c>
      <c r="F3661" s="4" t="s">
        <v>1121</v>
      </c>
    </row>
    <row r="3662" spans="1:6">
      <c r="A3662" s="4" t="s">
        <v>7685</v>
      </c>
      <c r="B3662" s="6" t="s">
        <v>7679</v>
      </c>
      <c r="C3662" s="4" t="s">
        <v>53</v>
      </c>
      <c r="D3662" s="4">
        <v>16</v>
      </c>
      <c r="E3662" s="4" t="s">
        <v>2387</v>
      </c>
      <c r="F3662" s="4" t="s">
        <v>7686</v>
      </c>
    </row>
    <row r="3663" spans="1:6">
      <c r="A3663" s="4" t="s">
        <v>7687</v>
      </c>
      <c r="B3663" s="6" t="s">
        <v>7688</v>
      </c>
      <c r="C3663" s="4" t="s">
        <v>53</v>
      </c>
      <c r="D3663" s="4">
        <v>12</v>
      </c>
      <c r="E3663" s="4" t="s">
        <v>7689</v>
      </c>
    </row>
    <row r="3664" spans="1:6">
      <c r="A3664" s="4" t="s">
        <v>7690</v>
      </c>
      <c r="B3664" s="6" t="s">
        <v>7688</v>
      </c>
      <c r="C3664" s="4" t="s">
        <v>53</v>
      </c>
      <c r="D3664" s="4">
        <v>13</v>
      </c>
      <c r="E3664" s="4" t="s">
        <v>7689</v>
      </c>
    </row>
    <row r="3665" spans="1:6">
      <c r="A3665" s="4" t="s">
        <v>7691</v>
      </c>
      <c r="B3665" s="6" t="s">
        <v>7692</v>
      </c>
      <c r="C3665" s="4" t="s">
        <v>301</v>
      </c>
      <c r="D3665" s="4">
        <v>10</v>
      </c>
      <c r="E3665" s="4" t="s">
        <v>7693</v>
      </c>
    </row>
    <row r="3666" spans="1:6">
      <c r="A3666" s="4" t="s">
        <v>7694</v>
      </c>
      <c r="B3666" s="6" t="s">
        <v>7692</v>
      </c>
      <c r="C3666" s="4" t="s">
        <v>37</v>
      </c>
      <c r="D3666" s="4">
        <v>12</v>
      </c>
      <c r="E3666" s="4" t="s">
        <v>1148</v>
      </c>
      <c r="F3666" s="4" t="s">
        <v>7695</v>
      </c>
    </row>
    <row r="3667" spans="1:6">
      <c r="A3667" s="4" t="s">
        <v>7696</v>
      </c>
      <c r="B3667" s="6" t="s">
        <v>7692</v>
      </c>
      <c r="C3667" s="4" t="s">
        <v>27</v>
      </c>
      <c r="D3667" s="4">
        <v>13</v>
      </c>
      <c r="E3667" s="4" t="s">
        <v>1148</v>
      </c>
    </row>
    <row r="3668" spans="1:6">
      <c r="A3668" s="4" t="s">
        <v>7697</v>
      </c>
      <c r="B3668" s="6" t="s">
        <v>7692</v>
      </c>
      <c r="C3668" s="4" t="s">
        <v>81</v>
      </c>
      <c r="D3668" s="4">
        <v>14</v>
      </c>
      <c r="E3668" s="4" t="s">
        <v>7698</v>
      </c>
    </row>
    <row r="3669" spans="1:6">
      <c r="A3669" s="4" t="s">
        <v>7699</v>
      </c>
      <c r="B3669" s="6" t="s">
        <v>7692</v>
      </c>
      <c r="C3669" s="4" t="s">
        <v>87</v>
      </c>
      <c r="D3669" s="4">
        <v>8</v>
      </c>
      <c r="E3669" s="4" t="s">
        <v>1148</v>
      </c>
    </row>
    <row r="3670" spans="1:6">
      <c r="A3670" s="4" t="s">
        <v>7700</v>
      </c>
      <c r="B3670" s="6" t="s">
        <v>7692</v>
      </c>
      <c r="C3670" s="4" t="s">
        <v>87</v>
      </c>
      <c r="D3670" s="4">
        <v>13</v>
      </c>
      <c r="E3670" s="4" t="s">
        <v>7701</v>
      </c>
      <c r="F3670" s="4" t="s">
        <v>7702</v>
      </c>
    </row>
    <row r="3671" spans="1:6">
      <c r="A3671" s="4" t="s">
        <v>7703</v>
      </c>
      <c r="B3671" s="6" t="s">
        <v>7692</v>
      </c>
      <c r="C3671" s="4" t="s">
        <v>275</v>
      </c>
      <c r="D3671" s="4">
        <v>13</v>
      </c>
      <c r="E3671" s="4" t="s">
        <v>7701</v>
      </c>
      <c r="F3671" s="4" t="s">
        <v>7702</v>
      </c>
    </row>
    <row r="3672" spans="1:6">
      <c r="A3672" s="4" t="s">
        <v>7704</v>
      </c>
      <c r="B3672" s="6" t="s">
        <v>7692</v>
      </c>
      <c r="C3672" s="4" t="s">
        <v>254</v>
      </c>
      <c r="D3672" s="4">
        <v>11</v>
      </c>
      <c r="E3672" s="4" t="s">
        <v>2769</v>
      </c>
    </row>
    <row r="3673" spans="1:6">
      <c r="A3673" s="4" t="s">
        <v>7705</v>
      </c>
      <c r="B3673" s="6" t="s">
        <v>7706</v>
      </c>
      <c r="C3673" s="4" t="s">
        <v>275</v>
      </c>
      <c r="D3673" s="4">
        <v>11</v>
      </c>
      <c r="E3673" s="4" t="s">
        <v>6723</v>
      </c>
      <c r="F3673" s="4" t="s">
        <v>6579</v>
      </c>
    </row>
    <row r="3674" spans="1:6">
      <c r="A3674" s="4" t="s">
        <v>7707</v>
      </c>
      <c r="B3674" s="6" t="s">
        <v>7708</v>
      </c>
      <c r="C3674" s="4" t="s">
        <v>104</v>
      </c>
      <c r="D3674" s="4">
        <v>12</v>
      </c>
      <c r="E3674" s="4" t="s">
        <v>6246</v>
      </c>
      <c r="F3674" s="4" t="s">
        <v>7709</v>
      </c>
    </row>
    <row r="3675" spans="1:6">
      <c r="A3675" s="4" t="s">
        <v>7710</v>
      </c>
      <c r="B3675" s="6" t="s">
        <v>7711</v>
      </c>
      <c r="C3675" s="4" t="s">
        <v>214</v>
      </c>
      <c r="D3675" s="4">
        <v>12</v>
      </c>
      <c r="E3675" s="4" t="s">
        <v>2387</v>
      </c>
      <c r="F3675" s="4" t="s">
        <v>7712</v>
      </c>
    </row>
    <row r="3676" spans="1:6">
      <c r="A3676" s="4" t="s">
        <v>7713</v>
      </c>
      <c r="B3676" s="6" t="s">
        <v>7711</v>
      </c>
      <c r="C3676" s="4" t="s">
        <v>275</v>
      </c>
      <c r="D3676" s="4">
        <v>14</v>
      </c>
      <c r="E3676" s="4" t="s">
        <v>2387</v>
      </c>
    </row>
    <row r="3677" spans="1:6">
      <c r="A3677" s="4" t="s">
        <v>7714</v>
      </c>
      <c r="B3677" s="6" t="s">
        <v>7715</v>
      </c>
      <c r="C3677" s="4" t="s">
        <v>275</v>
      </c>
      <c r="D3677" s="4">
        <v>9</v>
      </c>
      <c r="E3677" s="4" t="s">
        <v>6193</v>
      </c>
      <c r="F3677" s="4" t="s">
        <v>6741</v>
      </c>
    </row>
    <row r="3678" spans="1:6">
      <c r="A3678" s="4" t="s">
        <v>7716</v>
      </c>
      <c r="B3678" s="6" t="s">
        <v>7715</v>
      </c>
      <c r="C3678" s="4" t="s">
        <v>45</v>
      </c>
      <c r="D3678" s="4">
        <v>7</v>
      </c>
      <c r="E3678" s="4" t="s">
        <v>6193</v>
      </c>
    </row>
    <row r="3679" spans="1:6">
      <c r="A3679" s="4" t="s">
        <v>7717</v>
      </c>
      <c r="B3679" s="6" t="s">
        <v>7718</v>
      </c>
      <c r="C3679" s="4" t="s">
        <v>263</v>
      </c>
      <c r="D3679" s="4">
        <v>8</v>
      </c>
      <c r="E3679" s="4" t="s">
        <v>7719</v>
      </c>
    </row>
    <row r="3680" spans="1:6">
      <c r="A3680" s="4" t="s">
        <v>7720</v>
      </c>
      <c r="B3680" s="6" t="s">
        <v>7718</v>
      </c>
      <c r="C3680" s="4" t="s">
        <v>27</v>
      </c>
      <c r="D3680" s="4">
        <v>11</v>
      </c>
      <c r="E3680" s="4" t="s">
        <v>6690</v>
      </c>
    </row>
    <row r="3681" spans="1:6">
      <c r="A3681" s="4" t="s">
        <v>7721</v>
      </c>
      <c r="B3681" s="6" t="s">
        <v>7722</v>
      </c>
      <c r="C3681" s="4" t="s">
        <v>351</v>
      </c>
      <c r="D3681" s="4">
        <v>8</v>
      </c>
      <c r="E3681" s="4" t="s">
        <v>1148</v>
      </c>
    </row>
    <row r="3682" spans="1:6">
      <c r="A3682" s="4" t="s">
        <v>7723</v>
      </c>
      <c r="B3682" s="6" t="s">
        <v>7724</v>
      </c>
      <c r="C3682" s="4" t="s">
        <v>34</v>
      </c>
      <c r="D3682" s="4">
        <v>14</v>
      </c>
      <c r="E3682" s="4" t="s">
        <v>7725</v>
      </c>
    </row>
    <row r="3683" spans="1:6">
      <c r="A3683" s="4" t="s">
        <v>7726</v>
      </c>
      <c r="B3683" s="6" t="s">
        <v>7727</v>
      </c>
      <c r="C3683" s="4" t="s">
        <v>708</v>
      </c>
      <c r="D3683" s="4">
        <v>6</v>
      </c>
      <c r="E3683" s="4" t="s">
        <v>7728</v>
      </c>
    </row>
    <row r="3684" spans="1:6">
      <c r="A3684" s="4" t="s">
        <v>7729</v>
      </c>
      <c r="B3684" s="6" t="s">
        <v>7727</v>
      </c>
      <c r="C3684" s="4" t="s">
        <v>34</v>
      </c>
      <c r="D3684" s="4">
        <v>9</v>
      </c>
      <c r="E3684" s="4" t="s">
        <v>2387</v>
      </c>
      <c r="F3684" s="4" t="s">
        <v>7730</v>
      </c>
    </row>
    <row r="3685" spans="1:6">
      <c r="A3685" s="4" t="s">
        <v>7731</v>
      </c>
      <c r="B3685" s="6" t="s">
        <v>7732</v>
      </c>
      <c r="C3685" s="4" t="s">
        <v>461</v>
      </c>
      <c r="D3685" s="4">
        <v>9</v>
      </c>
      <c r="E3685" s="4" t="s">
        <v>1148</v>
      </c>
    </row>
    <row r="3686" spans="1:6">
      <c r="A3686" s="4" t="s">
        <v>7733</v>
      </c>
      <c r="B3686" s="6" t="s">
        <v>7732</v>
      </c>
      <c r="C3686" s="4" t="s">
        <v>301</v>
      </c>
      <c r="D3686" s="4">
        <v>11</v>
      </c>
      <c r="E3686" s="4" t="s">
        <v>1148</v>
      </c>
      <c r="F3686" s="4" t="s">
        <v>7734</v>
      </c>
    </row>
    <row r="3687" spans="1:6">
      <c r="A3687" s="4" t="s">
        <v>7735</v>
      </c>
      <c r="B3687" s="6" t="s">
        <v>7732</v>
      </c>
      <c r="C3687" s="4" t="s">
        <v>254</v>
      </c>
      <c r="D3687" s="4">
        <v>9</v>
      </c>
      <c r="E3687" s="4" t="s">
        <v>7372</v>
      </c>
      <c r="F3687" s="4" t="s">
        <v>7736</v>
      </c>
    </row>
    <row r="3688" spans="1:6">
      <c r="A3688" s="4" t="s">
        <v>7737</v>
      </c>
      <c r="B3688" s="6" t="s">
        <v>7732</v>
      </c>
      <c r="C3688" s="4" t="s">
        <v>285</v>
      </c>
      <c r="D3688" s="4">
        <v>8</v>
      </c>
      <c r="E3688" s="4" t="s">
        <v>1148</v>
      </c>
    </row>
    <row r="3689" spans="1:6">
      <c r="A3689" s="4" t="s">
        <v>7738</v>
      </c>
      <c r="B3689" s="6" t="s">
        <v>7739</v>
      </c>
      <c r="C3689" s="4" t="s">
        <v>34</v>
      </c>
      <c r="D3689" s="4">
        <v>13</v>
      </c>
      <c r="E3689" s="4" t="s">
        <v>2387</v>
      </c>
      <c r="F3689" s="4" t="s">
        <v>7740</v>
      </c>
    </row>
    <row r="3690" spans="1:6">
      <c r="A3690" s="4" t="s">
        <v>7741</v>
      </c>
      <c r="B3690" s="6" t="s">
        <v>7742</v>
      </c>
      <c r="C3690" s="4" t="s">
        <v>301</v>
      </c>
      <c r="D3690" s="4">
        <v>14</v>
      </c>
      <c r="E3690" s="4" t="s">
        <v>6193</v>
      </c>
      <c r="F3690" s="4" t="s">
        <v>7743</v>
      </c>
    </row>
    <row r="3691" spans="1:6">
      <c r="A3691" s="4" t="s">
        <v>7744</v>
      </c>
      <c r="B3691" s="6" t="s">
        <v>7745</v>
      </c>
      <c r="C3691" s="4" t="s">
        <v>296</v>
      </c>
      <c r="D3691" s="4">
        <v>11</v>
      </c>
      <c r="E3691" s="4" t="s">
        <v>6738</v>
      </c>
      <c r="F3691" s="4" t="s">
        <v>7746</v>
      </c>
    </row>
    <row r="3692" spans="1:6">
      <c r="A3692" s="4" t="s">
        <v>7747</v>
      </c>
      <c r="B3692" s="6" t="s">
        <v>7748</v>
      </c>
      <c r="C3692" s="4" t="s">
        <v>390</v>
      </c>
      <c r="D3692" s="4">
        <v>13</v>
      </c>
      <c r="E3692" s="4" t="s">
        <v>6535</v>
      </c>
      <c r="F3692" s="4" t="s">
        <v>7749</v>
      </c>
    </row>
    <row r="3693" spans="1:6">
      <c r="A3693" s="4" t="s">
        <v>7750</v>
      </c>
      <c r="B3693" s="6" t="s">
        <v>7751</v>
      </c>
      <c r="C3693" s="4" t="s">
        <v>53</v>
      </c>
      <c r="D3693" s="4">
        <v>9</v>
      </c>
      <c r="E3693" s="4" t="s">
        <v>2769</v>
      </c>
    </row>
    <row r="3694" spans="1:6">
      <c r="A3694" s="4" t="s">
        <v>7752</v>
      </c>
      <c r="B3694" s="6" t="s">
        <v>7751</v>
      </c>
      <c r="C3694" s="4" t="s">
        <v>53</v>
      </c>
      <c r="D3694" s="4">
        <v>14</v>
      </c>
      <c r="E3694" s="4" t="s">
        <v>2769</v>
      </c>
    </row>
    <row r="3695" spans="1:6">
      <c r="A3695" s="4" t="s">
        <v>7753</v>
      </c>
      <c r="B3695" s="6" t="s">
        <v>7754</v>
      </c>
      <c r="C3695" s="4" t="s">
        <v>6746</v>
      </c>
      <c r="D3695" s="4">
        <v>11</v>
      </c>
      <c r="E3695" s="4" t="s">
        <v>6747</v>
      </c>
    </row>
    <row r="3696" spans="1:6">
      <c r="A3696" s="4" t="s">
        <v>7755</v>
      </c>
      <c r="B3696" s="6" t="s">
        <v>7756</v>
      </c>
      <c r="C3696" s="4" t="s">
        <v>1211</v>
      </c>
      <c r="D3696" s="4">
        <v>12</v>
      </c>
      <c r="E3696" s="4" t="s">
        <v>6198</v>
      </c>
    </row>
    <row r="3697" spans="1:6">
      <c r="A3697" s="4" t="s">
        <v>7757</v>
      </c>
      <c r="B3697" s="6" t="s">
        <v>7756</v>
      </c>
      <c r="C3697" s="4" t="s">
        <v>223</v>
      </c>
      <c r="D3697" s="4">
        <v>12</v>
      </c>
      <c r="E3697" s="4" t="s">
        <v>6193</v>
      </c>
      <c r="F3697" s="4" t="s">
        <v>7758</v>
      </c>
    </row>
    <row r="3698" spans="1:6">
      <c r="A3698" s="4" t="s">
        <v>7759</v>
      </c>
      <c r="B3698" s="6" t="s">
        <v>7756</v>
      </c>
      <c r="C3698" s="4" t="s">
        <v>41</v>
      </c>
      <c r="D3698" s="4">
        <v>6</v>
      </c>
      <c r="E3698" s="4" t="s">
        <v>7760</v>
      </c>
    </row>
    <row r="3699" spans="1:6">
      <c r="A3699" s="4" t="s">
        <v>7761</v>
      </c>
      <c r="B3699" s="6" t="s">
        <v>7756</v>
      </c>
      <c r="C3699" s="4" t="s">
        <v>121</v>
      </c>
      <c r="D3699" s="4">
        <v>10</v>
      </c>
      <c r="E3699" s="4" t="s">
        <v>7762</v>
      </c>
    </row>
    <row r="3700" spans="1:6">
      <c r="A3700" s="4" t="s">
        <v>7763</v>
      </c>
      <c r="B3700" s="6" t="s">
        <v>7756</v>
      </c>
      <c r="C3700" s="4" t="s">
        <v>14</v>
      </c>
      <c r="D3700" s="4">
        <v>7</v>
      </c>
      <c r="E3700" s="4" t="s">
        <v>6198</v>
      </c>
    </row>
    <row r="3701" spans="1:6">
      <c r="A3701" s="4" t="s">
        <v>7764</v>
      </c>
      <c r="B3701" s="6" t="s">
        <v>7765</v>
      </c>
      <c r="C3701" s="4" t="s">
        <v>49</v>
      </c>
      <c r="D3701" s="4">
        <v>9</v>
      </c>
      <c r="E3701" s="4" t="s">
        <v>6233</v>
      </c>
    </row>
    <row r="3702" spans="1:6">
      <c r="A3702" s="4" t="s">
        <v>7766</v>
      </c>
      <c r="B3702" s="6" t="s">
        <v>7765</v>
      </c>
      <c r="C3702" s="4" t="s">
        <v>1885</v>
      </c>
      <c r="D3702" s="4">
        <v>6</v>
      </c>
      <c r="E3702" s="4" t="s">
        <v>6233</v>
      </c>
      <c r="F3702" s="4" t="s">
        <v>7767</v>
      </c>
    </row>
    <row r="3703" spans="1:6">
      <c r="A3703" s="4" t="s">
        <v>7768</v>
      </c>
      <c r="B3703" s="6" t="s">
        <v>7765</v>
      </c>
      <c r="C3703" s="4" t="s">
        <v>285</v>
      </c>
      <c r="D3703" s="4">
        <v>11</v>
      </c>
      <c r="E3703" s="4" t="s">
        <v>6193</v>
      </c>
    </row>
    <row r="3704" spans="1:6">
      <c r="A3704" s="4" t="s">
        <v>7769</v>
      </c>
      <c r="B3704" s="6" t="s">
        <v>7770</v>
      </c>
      <c r="C3704" s="4" t="s">
        <v>37</v>
      </c>
      <c r="D3704" s="4">
        <v>12</v>
      </c>
      <c r="E3704" s="4" t="s">
        <v>2769</v>
      </c>
    </row>
    <row r="3705" spans="1:6">
      <c r="A3705" s="4" t="s">
        <v>7771</v>
      </c>
      <c r="B3705" s="6" t="s">
        <v>7770</v>
      </c>
      <c r="C3705" s="4" t="s">
        <v>34</v>
      </c>
      <c r="D3705" s="4">
        <v>13</v>
      </c>
      <c r="E3705" s="4" t="s">
        <v>6208</v>
      </c>
      <c r="F3705" s="4" t="s">
        <v>7772</v>
      </c>
    </row>
    <row r="3706" spans="1:6">
      <c r="A3706" s="4" t="s">
        <v>7773</v>
      </c>
      <c r="B3706" s="6" t="s">
        <v>7770</v>
      </c>
      <c r="C3706" s="4" t="s">
        <v>23</v>
      </c>
      <c r="D3706" s="4">
        <v>8</v>
      </c>
      <c r="E3706" s="4" t="s">
        <v>6502</v>
      </c>
    </row>
    <row r="3707" spans="1:6">
      <c r="A3707" s="4" t="s">
        <v>7774</v>
      </c>
      <c r="B3707" s="6" t="s">
        <v>7770</v>
      </c>
      <c r="C3707" s="4" t="s">
        <v>23</v>
      </c>
      <c r="D3707" s="4">
        <v>9</v>
      </c>
      <c r="E3707" s="4" t="s">
        <v>1904</v>
      </c>
    </row>
    <row r="3708" spans="1:6">
      <c r="A3708" s="4" t="s">
        <v>7775</v>
      </c>
      <c r="B3708" s="6" t="s">
        <v>7776</v>
      </c>
      <c r="C3708" s="4" t="s">
        <v>263</v>
      </c>
      <c r="D3708" s="4">
        <v>8</v>
      </c>
      <c r="E3708" s="4" t="s">
        <v>6212</v>
      </c>
    </row>
    <row r="3709" spans="1:6">
      <c r="A3709" s="4" t="s">
        <v>7777</v>
      </c>
      <c r="B3709" s="6" t="s">
        <v>7776</v>
      </c>
      <c r="C3709" s="4" t="s">
        <v>254</v>
      </c>
      <c r="D3709" s="4">
        <v>10</v>
      </c>
      <c r="E3709" s="4" t="s">
        <v>6212</v>
      </c>
    </row>
    <row r="3710" spans="1:6">
      <c r="A3710" s="4" t="s">
        <v>7778</v>
      </c>
      <c r="B3710" s="6" t="s">
        <v>7776</v>
      </c>
      <c r="C3710" s="4" t="s">
        <v>23</v>
      </c>
      <c r="D3710" s="4">
        <v>11</v>
      </c>
      <c r="E3710" s="4" t="s">
        <v>7779</v>
      </c>
    </row>
    <row r="3711" spans="1:6">
      <c r="A3711" s="4" t="s">
        <v>7780</v>
      </c>
      <c r="B3711" s="6" t="s">
        <v>7776</v>
      </c>
      <c r="C3711" s="4" t="s">
        <v>23</v>
      </c>
      <c r="D3711" s="4">
        <v>10</v>
      </c>
      <c r="E3711" s="4" t="s">
        <v>6212</v>
      </c>
    </row>
    <row r="3712" spans="1:6">
      <c r="A3712" s="4" t="s">
        <v>7781</v>
      </c>
      <c r="B3712" s="6" t="s">
        <v>7782</v>
      </c>
      <c r="C3712" s="4" t="s">
        <v>218</v>
      </c>
      <c r="D3712" s="4">
        <v>11</v>
      </c>
      <c r="E3712" s="4" t="s">
        <v>6212</v>
      </c>
    </row>
    <row r="3713" spans="1:6">
      <c r="A3713" s="4" t="s">
        <v>7783</v>
      </c>
      <c r="B3713" s="6" t="s">
        <v>7784</v>
      </c>
      <c r="C3713" s="4" t="s">
        <v>453</v>
      </c>
      <c r="D3713" s="4">
        <v>11</v>
      </c>
      <c r="E3713" s="4" t="s">
        <v>7602</v>
      </c>
      <c r="F3713" s="4" t="s">
        <v>1329</v>
      </c>
    </row>
    <row r="3714" spans="1:6">
      <c r="A3714" s="4" t="s">
        <v>7785</v>
      </c>
      <c r="B3714" s="6" t="s">
        <v>7784</v>
      </c>
      <c r="C3714" s="4" t="s">
        <v>1425</v>
      </c>
      <c r="D3714" s="4">
        <v>10</v>
      </c>
      <c r="E3714" s="4" t="s">
        <v>6208</v>
      </c>
    </row>
    <row r="3715" spans="1:6">
      <c r="A3715" s="4" t="s">
        <v>7786</v>
      </c>
      <c r="B3715" s="6" t="s">
        <v>7784</v>
      </c>
      <c r="C3715" s="4" t="s">
        <v>23</v>
      </c>
      <c r="D3715" s="4">
        <v>14</v>
      </c>
      <c r="E3715" s="4" t="s">
        <v>6208</v>
      </c>
    </row>
    <row r="3716" spans="1:6">
      <c r="A3716" s="4" t="s">
        <v>7787</v>
      </c>
      <c r="B3716" s="6" t="s">
        <v>7788</v>
      </c>
      <c r="C3716" s="4" t="s">
        <v>254</v>
      </c>
      <c r="D3716" s="4">
        <v>13</v>
      </c>
      <c r="E3716" s="4" t="s">
        <v>6246</v>
      </c>
    </row>
    <row r="3717" spans="1:6">
      <c r="A3717" s="4" t="s">
        <v>7789</v>
      </c>
      <c r="B3717" s="6" t="s">
        <v>7790</v>
      </c>
      <c r="C3717" s="4" t="s">
        <v>2506</v>
      </c>
      <c r="D3717" s="4">
        <v>6</v>
      </c>
      <c r="E3717" s="4" t="s">
        <v>6193</v>
      </c>
      <c r="F3717" s="4" t="s">
        <v>7791</v>
      </c>
    </row>
    <row r="3718" spans="1:6">
      <c r="A3718" s="4" t="s">
        <v>7792</v>
      </c>
      <c r="B3718" s="6" t="s">
        <v>7790</v>
      </c>
      <c r="C3718" s="4" t="s">
        <v>2506</v>
      </c>
      <c r="D3718" s="4">
        <v>7</v>
      </c>
      <c r="E3718" s="4" t="s">
        <v>6193</v>
      </c>
      <c r="F3718" s="4" t="s">
        <v>7791</v>
      </c>
    </row>
    <row r="3719" spans="1:6">
      <c r="A3719" s="4" t="s">
        <v>7793</v>
      </c>
      <c r="B3719" s="6" t="s">
        <v>7790</v>
      </c>
      <c r="C3719" s="4" t="s">
        <v>558</v>
      </c>
      <c r="D3719" s="4">
        <v>10</v>
      </c>
      <c r="E3719" s="4" t="s">
        <v>7762</v>
      </c>
    </row>
    <row r="3720" spans="1:6">
      <c r="A3720" s="4" t="s">
        <v>7794</v>
      </c>
      <c r="B3720" s="6" t="s">
        <v>7795</v>
      </c>
      <c r="C3720" s="4" t="s">
        <v>34</v>
      </c>
      <c r="D3720" s="4">
        <v>6</v>
      </c>
      <c r="E3720" s="4" t="s">
        <v>6193</v>
      </c>
      <c r="F3720" s="4" t="s">
        <v>7796</v>
      </c>
    </row>
    <row r="3721" spans="1:6">
      <c r="A3721" s="4" t="s">
        <v>7797</v>
      </c>
      <c r="B3721" s="6" t="s">
        <v>7798</v>
      </c>
      <c r="C3721" s="4" t="s">
        <v>53</v>
      </c>
      <c r="D3721" s="4">
        <v>5</v>
      </c>
      <c r="E3721" s="4" t="s">
        <v>4213</v>
      </c>
      <c r="F3721" s="4" t="s">
        <v>339</v>
      </c>
    </row>
    <row r="3722" spans="1:6">
      <c r="A3722" s="4" t="s">
        <v>7799</v>
      </c>
      <c r="B3722" s="6" t="s">
        <v>7798</v>
      </c>
      <c r="C3722" s="4" t="s">
        <v>34</v>
      </c>
      <c r="D3722" s="4">
        <v>4</v>
      </c>
      <c r="E3722" s="4" t="s">
        <v>4213</v>
      </c>
    </row>
    <row r="3723" spans="1:6">
      <c r="A3723" s="4" t="s">
        <v>7800</v>
      </c>
      <c r="B3723" s="6" t="s">
        <v>7801</v>
      </c>
      <c r="C3723" s="4" t="s">
        <v>49</v>
      </c>
      <c r="D3723" s="4">
        <v>9</v>
      </c>
      <c r="E3723" s="4" t="s">
        <v>7802</v>
      </c>
    </row>
    <row r="3724" spans="1:6">
      <c r="A3724" s="4" t="s">
        <v>7803</v>
      </c>
      <c r="B3724" s="6" t="s">
        <v>7804</v>
      </c>
      <c r="C3724" s="4" t="s">
        <v>34</v>
      </c>
      <c r="D3724" s="4">
        <v>15</v>
      </c>
      <c r="E3724" s="4" t="s">
        <v>7805</v>
      </c>
    </row>
    <row r="3725" spans="1:6">
      <c r="A3725" s="4" t="s">
        <v>7806</v>
      </c>
      <c r="B3725" s="6" t="s">
        <v>7804</v>
      </c>
      <c r="C3725" s="4" t="s">
        <v>238</v>
      </c>
      <c r="D3725" s="4">
        <v>15</v>
      </c>
      <c r="E3725" s="4" t="s">
        <v>979</v>
      </c>
    </row>
    <row r="3726" spans="1:6">
      <c r="A3726" s="4" t="s">
        <v>7807</v>
      </c>
      <c r="B3726" s="6" t="s">
        <v>7808</v>
      </c>
      <c r="C3726" s="4" t="s">
        <v>23</v>
      </c>
      <c r="D3726" s="4">
        <v>15</v>
      </c>
      <c r="E3726" s="4" t="s">
        <v>2234</v>
      </c>
      <c r="F3726" s="4" t="s">
        <v>7809</v>
      </c>
    </row>
    <row r="3727" spans="1:6">
      <c r="A3727" s="4" t="s">
        <v>7810</v>
      </c>
      <c r="B3727" s="6" t="s">
        <v>7811</v>
      </c>
      <c r="C3727" s="4" t="s">
        <v>342</v>
      </c>
      <c r="D3727" s="4">
        <v>13</v>
      </c>
      <c r="E3727" s="4" t="s">
        <v>6184</v>
      </c>
    </row>
    <row r="3728" spans="1:6">
      <c r="A3728" s="4" t="s">
        <v>7812</v>
      </c>
      <c r="B3728" s="6" t="s">
        <v>7813</v>
      </c>
      <c r="C3728" s="4" t="s">
        <v>34</v>
      </c>
      <c r="D3728" s="4">
        <v>7</v>
      </c>
      <c r="E3728" s="4" t="s">
        <v>7814</v>
      </c>
    </row>
    <row r="3729" spans="1:6">
      <c r="A3729" s="4" t="s">
        <v>7815</v>
      </c>
      <c r="B3729" s="6" t="s">
        <v>7813</v>
      </c>
      <c r="C3729" s="4" t="s">
        <v>34</v>
      </c>
      <c r="D3729" s="4">
        <v>7</v>
      </c>
      <c r="E3729" s="4" t="s">
        <v>6193</v>
      </c>
      <c r="F3729" s="4" t="s">
        <v>7816</v>
      </c>
    </row>
    <row r="3730" spans="1:6">
      <c r="A3730" s="4" t="s">
        <v>6878</v>
      </c>
      <c r="B3730" s="6" t="s">
        <v>7813</v>
      </c>
      <c r="C3730" s="4" t="s">
        <v>6878</v>
      </c>
      <c r="D3730" s="4">
        <v>4</v>
      </c>
      <c r="E3730" s="4" t="s">
        <v>6193</v>
      </c>
      <c r="F3730" s="4" t="s">
        <v>7817</v>
      </c>
    </row>
    <row r="3731" spans="1:6">
      <c r="A3731" s="4" t="s">
        <v>7818</v>
      </c>
      <c r="B3731" s="6" t="s">
        <v>7819</v>
      </c>
      <c r="C3731" s="4" t="s">
        <v>87</v>
      </c>
      <c r="D3731" s="4">
        <v>17</v>
      </c>
      <c r="E3731" s="4" t="s">
        <v>6212</v>
      </c>
    </row>
    <row r="3732" spans="1:6">
      <c r="A3732" s="4" t="s">
        <v>7820</v>
      </c>
      <c r="B3732" s="6" t="s">
        <v>7819</v>
      </c>
      <c r="C3732" s="4" t="s">
        <v>34</v>
      </c>
      <c r="D3732" s="4">
        <v>17</v>
      </c>
      <c r="E3732" s="4" t="s">
        <v>7821</v>
      </c>
      <c r="F3732" s="4" t="s">
        <v>7822</v>
      </c>
    </row>
    <row r="3733" spans="1:6">
      <c r="A3733" s="4" t="s">
        <v>7823</v>
      </c>
      <c r="B3733" s="6" t="s">
        <v>7824</v>
      </c>
      <c r="C3733" s="4" t="s">
        <v>87</v>
      </c>
      <c r="D3733" s="4">
        <v>7</v>
      </c>
      <c r="E3733" s="4" t="s">
        <v>6212</v>
      </c>
      <c r="F3733" s="4" t="s">
        <v>7825</v>
      </c>
    </row>
    <row r="3734" spans="1:6">
      <c r="A3734" s="4" t="s">
        <v>7826</v>
      </c>
      <c r="B3734" s="6" t="s">
        <v>7824</v>
      </c>
      <c r="C3734" s="4" t="s">
        <v>45</v>
      </c>
      <c r="D3734" s="4">
        <v>6</v>
      </c>
      <c r="E3734" s="4" t="s">
        <v>6212</v>
      </c>
    </row>
    <row r="3735" spans="1:6">
      <c r="A3735" s="4" t="s">
        <v>7827</v>
      </c>
      <c r="B3735" s="6" t="s">
        <v>7824</v>
      </c>
      <c r="C3735" s="4" t="s">
        <v>34</v>
      </c>
      <c r="D3735" s="4">
        <v>7</v>
      </c>
      <c r="E3735" s="4" t="s">
        <v>6212</v>
      </c>
      <c r="F3735" s="4" t="s">
        <v>6349</v>
      </c>
    </row>
    <row r="3736" spans="1:6">
      <c r="A3736" s="4" t="s">
        <v>7828</v>
      </c>
      <c r="B3736" s="6" t="s">
        <v>7824</v>
      </c>
      <c r="C3736" s="4" t="s">
        <v>34</v>
      </c>
      <c r="D3736" s="4">
        <v>16</v>
      </c>
      <c r="E3736" s="4" t="s">
        <v>6212</v>
      </c>
    </row>
    <row r="3737" spans="1:6">
      <c r="A3737" s="4" t="s">
        <v>7829</v>
      </c>
      <c r="B3737" s="6" t="s">
        <v>7830</v>
      </c>
      <c r="C3737" s="4" t="s">
        <v>485</v>
      </c>
      <c r="D3737" s="4">
        <v>11</v>
      </c>
      <c r="E3737" s="4" t="s">
        <v>6246</v>
      </c>
      <c r="F3737" s="4" t="s">
        <v>7831</v>
      </c>
    </row>
    <row r="3738" spans="1:6">
      <c r="A3738" s="4" t="s">
        <v>7832</v>
      </c>
      <c r="B3738" s="6" t="s">
        <v>7830</v>
      </c>
      <c r="C3738" s="4" t="s">
        <v>45</v>
      </c>
      <c r="D3738" s="4">
        <v>14</v>
      </c>
      <c r="E3738" s="4" t="s">
        <v>6246</v>
      </c>
    </row>
    <row r="3739" spans="1:6">
      <c r="A3739" s="4" t="s">
        <v>7833</v>
      </c>
      <c r="B3739" s="6" t="s">
        <v>7834</v>
      </c>
      <c r="C3739" s="4" t="s">
        <v>1248</v>
      </c>
      <c r="D3739" s="4">
        <v>7</v>
      </c>
      <c r="E3739" s="4" t="s">
        <v>1253</v>
      </c>
    </row>
    <row r="3740" spans="1:6">
      <c r="A3740" s="4" t="s">
        <v>7835</v>
      </c>
      <c r="B3740" s="6" t="s">
        <v>7836</v>
      </c>
      <c r="C3740" s="4" t="s">
        <v>53</v>
      </c>
      <c r="D3740" s="4">
        <v>12</v>
      </c>
      <c r="E3740" s="4" t="s">
        <v>979</v>
      </c>
      <c r="F3740" s="4" t="s">
        <v>7837</v>
      </c>
    </row>
    <row r="3741" spans="1:6">
      <c r="A3741" s="4" t="s">
        <v>7838</v>
      </c>
      <c r="B3741" s="6" t="s">
        <v>7839</v>
      </c>
      <c r="C3741" s="4" t="s">
        <v>53</v>
      </c>
      <c r="D3741" s="4">
        <v>18</v>
      </c>
      <c r="E3741" s="4" t="s">
        <v>7840</v>
      </c>
      <c r="F3741" s="4" t="s">
        <v>639</v>
      </c>
    </row>
    <row r="3742" spans="1:6">
      <c r="A3742" s="4" t="s">
        <v>7841</v>
      </c>
      <c r="B3742" s="6" t="s">
        <v>7842</v>
      </c>
      <c r="C3742" s="4" t="s">
        <v>57</v>
      </c>
      <c r="D3742" s="4">
        <v>9</v>
      </c>
      <c r="E3742" s="4" t="s">
        <v>1030</v>
      </c>
      <c r="F3742" s="4" t="s">
        <v>7843</v>
      </c>
    </row>
    <row r="3743" spans="1:6">
      <c r="A3743" s="4" t="s">
        <v>7844</v>
      </c>
      <c r="B3743" s="6" t="s">
        <v>7845</v>
      </c>
      <c r="C3743" s="4" t="s">
        <v>315</v>
      </c>
      <c r="D3743" s="4">
        <v>18</v>
      </c>
      <c r="E3743" s="4" t="s">
        <v>1030</v>
      </c>
      <c r="F3743" s="4" t="s">
        <v>7846</v>
      </c>
    </row>
    <row r="3744" spans="1:6">
      <c r="A3744" s="4" t="s">
        <v>7847</v>
      </c>
      <c r="B3744" s="6" t="s">
        <v>7848</v>
      </c>
      <c r="C3744" s="4" t="s">
        <v>263</v>
      </c>
      <c r="D3744" s="4">
        <v>4</v>
      </c>
      <c r="E3744" s="4" t="s">
        <v>7849</v>
      </c>
      <c r="F3744" s="4" t="s">
        <v>7850</v>
      </c>
    </row>
    <row r="3745" spans="1:6">
      <c r="A3745" s="4" t="s">
        <v>7851</v>
      </c>
      <c r="B3745" s="6" t="s">
        <v>7852</v>
      </c>
      <c r="C3745" s="4" t="s">
        <v>1425</v>
      </c>
      <c r="D3745" s="4">
        <v>11</v>
      </c>
      <c r="E3745" s="4" t="s">
        <v>7853</v>
      </c>
    </row>
    <row r="3746" spans="1:6">
      <c r="A3746" s="4" t="s">
        <v>7854</v>
      </c>
      <c r="B3746" s="6" t="s">
        <v>7852</v>
      </c>
      <c r="C3746" s="4" t="s">
        <v>53</v>
      </c>
      <c r="D3746" s="4">
        <v>10</v>
      </c>
      <c r="E3746" s="4" t="s">
        <v>3930</v>
      </c>
    </row>
    <row r="3747" spans="1:6">
      <c r="A3747" s="4" t="s">
        <v>7855</v>
      </c>
      <c r="B3747" s="6" t="s">
        <v>7852</v>
      </c>
      <c r="C3747" s="4" t="s">
        <v>53</v>
      </c>
      <c r="D3747" s="4">
        <v>17</v>
      </c>
      <c r="E3747" s="4" t="s">
        <v>3930</v>
      </c>
      <c r="F3747" s="4" t="s">
        <v>6023</v>
      </c>
    </row>
    <row r="3748" spans="1:6">
      <c r="A3748" s="4" t="s">
        <v>7856</v>
      </c>
      <c r="B3748" s="6" t="s">
        <v>7857</v>
      </c>
      <c r="C3748" s="4" t="s">
        <v>87</v>
      </c>
      <c r="D3748" s="4">
        <v>7</v>
      </c>
      <c r="E3748" s="4" t="s">
        <v>1030</v>
      </c>
      <c r="F3748" s="4" t="s">
        <v>7858</v>
      </c>
    </row>
    <row r="3749" spans="1:6">
      <c r="A3749" s="4" t="s">
        <v>7859</v>
      </c>
      <c r="B3749" s="6" t="s">
        <v>7860</v>
      </c>
      <c r="C3749" s="4" t="s">
        <v>19</v>
      </c>
      <c r="D3749" s="4">
        <v>11</v>
      </c>
      <c r="E3749" s="4" t="s">
        <v>1030</v>
      </c>
      <c r="F3749" s="4" t="s">
        <v>7268</v>
      </c>
    </row>
    <row r="3750" spans="1:6">
      <c r="A3750" s="4" t="s">
        <v>7861</v>
      </c>
      <c r="B3750" s="6" t="s">
        <v>7860</v>
      </c>
      <c r="C3750" s="4" t="s">
        <v>1231</v>
      </c>
      <c r="D3750" s="4">
        <v>16</v>
      </c>
      <c r="E3750" s="4" t="s">
        <v>5223</v>
      </c>
      <c r="F3750" s="4" t="s">
        <v>7862</v>
      </c>
    </row>
    <row r="3751" spans="1:6">
      <c r="A3751" s="4" t="s">
        <v>7863</v>
      </c>
      <c r="B3751" s="6" t="s">
        <v>7864</v>
      </c>
      <c r="C3751" s="4" t="s">
        <v>81</v>
      </c>
      <c r="D3751" s="4">
        <v>9</v>
      </c>
      <c r="E3751" s="4" t="s">
        <v>989</v>
      </c>
    </row>
    <row r="3752" spans="1:6">
      <c r="A3752" s="4" t="s">
        <v>7865</v>
      </c>
      <c r="B3752" s="6" t="s">
        <v>7866</v>
      </c>
      <c r="C3752" s="4" t="s">
        <v>354</v>
      </c>
      <c r="D3752" s="4">
        <v>10</v>
      </c>
      <c r="E3752" s="4" t="s">
        <v>1030</v>
      </c>
    </row>
    <row r="3753" spans="1:6">
      <c r="A3753" s="4" t="s">
        <v>7867</v>
      </c>
      <c r="B3753" s="6" t="s">
        <v>7868</v>
      </c>
      <c r="C3753" s="4" t="s">
        <v>19</v>
      </c>
      <c r="D3753" s="4">
        <v>10</v>
      </c>
      <c r="E3753" s="4" t="s">
        <v>5223</v>
      </c>
    </row>
    <row r="3754" spans="1:6">
      <c r="A3754" s="4" t="s">
        <v>7869</v>
      </c>
      <c r="B3754" s="6" t="s">
        <v>7870</v>
      </c>
      <c r="C3754" s="4" t="s">
        <v>458</v>
      </c>
      <c r="D3754" s="4">
        <v>10</v>
      </c>
      <c r="E3754" s="4" t="s">
        <v>7853</v>
      </c>
    </row>
    <row r="3755" spans="1:6">
      <c r="A3755" s="4" t="s">
        <v>7871</v>
      </c>
      <c r="B3755" s="6" t="s">
        <v>7870</v>
      </c>
      <c r="C3755" s="4" t="s">
        <v>238</v>
      </c>
      <c r="D3755" s="4">
        <v>8</v>
      </c>
      <c r="E3755" s="4" t="s">
        <v>7853</v>
      </c>
    </row>
    <row r="3756" spans="1:6">
      <c r="A3756" s="4" t="s">
        <v>7872</v>
      </c>
      <c r="B3756" s="6" t="s">
        <v>7873</v>
      </c>
      <c r="C3756" s="4" t="s">
        <v>53</v>
      </c>
      <c r="D3756" s="4">
        <v>14</v>
      </c>
      <c r="E3756" s="4" t="s">
        <v>989</v>
      </c>
    </row>
    <row r="3757" spans="1:6">
      <c r="A3757" s="4" t="s">
        <v>7874</v>
      </c>
      <c r="B3757" s="6" t="s">
        <v>7875</v>
      </c>
      <c r="C3757" s="4" t="s">
        <v>87</v>
      </c>
      <c r="D3757" s="4">
        <v>12</v>
      </c>
      <c r="E3757" s="4" t="s">
        <v>7876</v>
      </c>
      <c r="F3757" s="4" t="s">
        <v>2377</v>
      </c>
    </row>
    <row r="3758" spans="1:6">
      <c r="A3758" s="4" t="s">
        <v>7877</v>
      </c>
      <c r="B3758" s="6" t="s">
        <v>7875</v>
      </c>
      <c r="C3758" s="4" t="s">
        <v>254</v>
      </c>
      <c r="D3758" s="4">
        <v>11</v>
      </c>
      <c r="E3758" s="4" t="s">
        <v>6723</v>
      </c>
      <c r="F3758" s="4" t="s">
        <v>592</v>
      </c>
    </row>
    <row r="3759" spans="1:6">
      <c r="A3759" s="4" t="s">
        <v>7878</v>
      </c>
      <c r="B3759" s="6" t="s">
        <v>7875</v>
      </c>
      <c r="C3759" s="4" t="s">
        <v>254</v>
      </c>
      <c r="D3759" s="4">
        <v>4</v>
      </c>
      <c r="E3759" s="4" t="s">
        <v>7876</v>
      </c>
      <c r="F3759" s="4" t="s">
        <v>7879</v>
      </c>
    </row>
    <row r="3760" spans="1:6">
      <c r="A3760" s="4" t="s">
        <v>7880</v>
      </c>
      <c r="B3760" s="6" t="s">
        <v>7875</v>
      </c>
      <c r="C3760" s="4" t="s">
        <v>81</v>
      </c>
      <c r="D3760" s="4">
        <v>12</v>
      </c>
      <c r="E3760" s="4" t="s">
        <v>6723</v>
      </c>
    </row>
    <row r="3761" spans="1:6">
      <c r="A3761" s="4" t="s">
        <v>7881</v>
      </c>
      <c r="B3761" s="6" t="s">
        <v>7875</v>
      </c>
      <c r="C3761" s="4" t="s">
        <v>104</v>
      </c>
      <c r="D3761" s="4">
        <v>8</v>
      </c>
      <c r="E3761" s="4" t="s">
        <v>7876</v>
      </c>
    </row>
    <row r="3762" spans="1:6">
      <c r="A3762" s="4" t="s">
        <v>7882</v>
      </c>
      <c r="B3762" s="6" t="s">
        <v>7883</v>
      </c>
      <c r="C3762" s="4" t="s">
        <v>87</v>
      </c>
      <c r="D3762" s="4">
        <v>13</v>
      </c>
      <c r="E3762" s="4" t="s">
        <v>1922</v>
      </c>
      <c r="F3762" s="4" t="s">
        <v>7884</v>
      </c>
    </row>
    <row r="3763" spans="1:6">
      <c r="A3763" s="4" t="s">
        <v>7885</v>
      </c>
      <c r="B3763" s="6" t="s">
        <v>7886</v>
      </c>
      <c r="C3763" s="4" t="s">
        <v>1433</v>
      </c>
      <c r="D3763" s="4">
        <v>8</v>
      </c>
      <c r="E3763" s="4" t="s">
        <v>1137</v>
      </c>
      <c r="F3763" s="4" t="s">
        <v>7887</v>
      </c>
    </row>
    <row r="3764" spans="1:6">
      <c r="A3764" s="4" t="s">
        <v>7888</v>
      </c>
      <c r="B3764" s="6" t="s">
        <v>7886</v>
      </c>
      <c r="C3764" s="4" t="s">
        <v>427</v>
      </c>
      <c r="D3764" s="4">
        <v>14</v>
      </c>
      <c r="E3764" s="4" t="s">
        <v>1137</v>
      </c>
    </row>
    <row r="3765" spans="1:6">
      <c r="A3765" s="4" t="s">
        <v>7889</v>
      </c>
      <c r="B3765" s="6" t="s">
        <v>7890</v>
      </c>
      <c r="C3765" s="4" t="s">
        <v>87</v>
      </c>
      <c r="D3765" s="4">
        <v>8</v>
      </c>
      <c r="E3765" s="4" t="s">
        <v>7891</v>
      </c>
    </row>
    <row r="3766" spans="1:6">
      <c r="A3766" s="4" t="s">
        <v>7892</v>
      </c>
      <c r="B3766" s="6" t="s">
        <v>7893</v>
      </c>
      <c r="C3766" s="4" t="s">
        <v>23</v>
      </c>
      <c r="D3766" s="4">
        <v>10</v>
      </c>
      <c r="E3766" s="4" t="s">
        <v>1101</v>
      </c>
    </row>
    <row r="3767" spans="1:6">
      <c r="A3767" s="4" t="s">
        <v>7894</v>
      </c>
      <c r="B3767" s="6" t="s">
        <v>7893</v>
      </c>
      <c r="C3767" s="4" t="s">
        <v>34</v>
      </c>
      <c r="D3767" s="4">
        <v>7</v>
      </c>
      <c r="E3767" s="4" t="s">
        <v>1187</v>
      </c>
      <c r="F3767" s="4" t="s">
        <v>1280</v>
      </c>
    </row>
    <row r="3768" spans="1:6">
      <c r="A3768" s="4" t="s">
        <v>7895</v>
      </c>
      <c r="B3768" s="6" t="s">
        <v>7893</v>
      </c>
      <c r="C3768" s="4" t="s">
        <v>87</v>
      </c>
      <c r="D3768" s="4">
        <v>10</v>
      </c>
      <c r="E3768" s="4" t="s">
        <v>1187</v>
      </c>
    </row>
    <row r="3769" spans="1:6">
      <c r="A3769" s="4" t="s">
        <v>7896</v>
      </c>
      <c r="B3769" s="6" t="s">
        <v>7897</v>
      </c>
      <c r="C3769" s="4" t="s">
        <v>301</v>
      </c>
      <c r="D3769" s="4">
        <v>21</v>
      </c>
      <c r="E3769" s="4" t="s">
        <v>1183</v>
      </c>
      <c r="F3769" s="4" t="s">
        <v>7898</v>
      </c>
    </row>
    <row r="3770" spans="1:6">
      <c r="A3770" s="4" t="s">
        <v>7899</v>
      </c>
      <c r="B3770" s="6" t="s">
        <v>7897</v>
      </c>
      <c r="C3770" s="4" t="s">
        <v>27</v>
      </c>
      <c r="D3770" s="4">
        <v>20</v>
      </c>
      <c r="E3770" s="4" t="s">
        <v>1183</v>
      </c>
    </row>
    <row r="3771" spans="1:6">
      <c r="A3771" s="4" t="s">
        <v>7900</v>
      </c>
      <c r="B3771" s="6" t="s">
        <v>7897</v>
      </c>
      <c r="C3771" s="4" t="s">
        <v>41</v>
      </c>
      <c r="D3771" s="4">
        <v>15</v>
      </c>
      <c r="E3771" s="4" t="s">
        <v>1183</v>
      </c>
    </row>
    <row r="3772" spans="1:6">
      <c r="A3772" s="4" t="s">
        <v>7901</v>
      </c>
      <c r="B3772" s="6" t="s">
        <v>7902</v>
      </c>
      <c r="C3772" s="4" t="s">
        <v>87</v>
      </c>
      <c r="D3772" s="4">
        <v>15</v>
      </c>
      <c r="E3772" s="4" t="s">
        <v>2161</v>
      </c>
      <c r="F3772" s="4" t="s">
        <v>7903</v>
      </c>
    </row>
    <row r="3773" spans="1:6">
      <c r="A3773" s="4" t="s">
        <v>7904</v>
      </c>
      <c r="B3773" s="6" t="s">
        <v>7905</v>
      </c>
      <c r="C3773" s="4" t="s">
        <v>354</v>
      </c>
      <c r="D3773" s="4">
        <v>12</v>
      </c>
      <c r="E3773" s="4" t="s">
        <v>2161</v>
      </c>
      <c r="F3773" s="4" t="s">
        <v>4441</v>
      </c>
    </row>
    <row r="3774" spans="1:6">
      <c r="A3774" s="4" t="s">
        <v>7906</v>
      </c>
      <c r="B3774" s="6" t="s">
        <v>7907</v>
      </c>
      <c r="C3774" s="4" t="s">
        <v>605</v>
      </c>
      <c r="D3774" s="4">
        <v>10</v>
      </c>
      <c r="E3774" s="4" t="s">
        <v>1183</v>
      </c>
    </row>
    <row r="3775" spans="1:6">
      <c r="A3775" s="4" t="s">
        <v>7908</v>
      </c>
      <c r="B3775" s="6" t="s">
        <v>7909</v>
      </c>
      <c r="C3775" s="4" t="s">
        <v>403</v>
      </c>
      <c r="D3775" s="4">
        <v>15</v>
      </c>
      <c r="E3775" s="4" t="s">
        <v>1183</v>
      </c>
    </row>
    <row r="3776" spans="1:6">
      <c r="A3776" s="4" t="s">
        <v>7910</v>
      </c>
      <c r="B3776" s="6" t="s">
        <v>7911</v>
      </c>
      <c r="C3776" s="4" t="s">
        <v>34</v>
      </c>
      <c r="D3776" s="4">
        <v>14</v>
      </c>
      <c r="E3776" s="4" t="s">
        <v>1004</v>
      </c>
      <c r="F3776" s="4" t="s">
        <v>7912</v>
      </c>
    </row>
    <row r="3777" spans="1:6">
      <c r="A3777" s="4" t="s">
        <v>7913</v>
      </c>
      <c r="B3777" s="6" t="s">
        <v>7914</v>
      </c>
      <c r="C3777" s="4" t="s">
        <v>351</v>
      </c>
      <c r="D3777" s="4">
        <v>15</v>
      </c>
      <c r="E3777" s="4" t="s">
        <v>1101</v>
      </c>
      <c r="F3777" s="4" t="s">
        <v>7915</v>
      </c>
    </row>
    <row r="3778" spans="1:6">
      <c r="A3778" s="4" t="s">
        <v>7916</v>
      </c>
      <c r="B3778" s="6" t="s">
        <v>7914</v>
      </c>
      <c r="C3778" s="4" t="s">
        <v>34</v>
      </c>
      <c r="D3778" s="4">
        <v>15</v>
      </c>
      <c r="E3778" s="4" t="s">
        <v>1101</v>
      </c>
    </row>
    <row r="3779" spans="1:6">
      <c r="A3779" s="4" t="s">
        <v>2397</v>
      </c>
      <c r="B3779" s="6" t="s">
        <v>7914</v>
      </c>
      <c r="C3779" s="4" t="s">
        <v>2397</v>
      </c>
      <c r="D3779" s="4">
        <v>3</v>
      </c>
      <c r="E3779" s="4" t="s">
        <v>2769</v>
      </c>
    </row>
    <row r="3780" spans="1:6">
      <c r="A3780" s="4" t="s">
        <v>7917</v>
      </c>
      <c r="B3780" s="6" t="s">
        <v>7918</v>
      </c>
      <c r="C3780" s="4" t="s">
        <v>976</v>
      </c>
      <c r="D3780" s="4">
        <v>6</v>
      </c>
      <c r="E3780" s="4" t="s">
        <v>3529</v>
      </c>
      <c r="F3780" s="4" t="s">
        <v>7919</v>
      </c>
    </row>
    <row r="3781" spans="1:6">
      <c r="A3781" s="4" t="s">
        <v>7920</v>
      </c>
      <c r="B3781" s="6" t="s">
        <v>7918</v>
      </c>
      <c r="C3781" s="4" t="s">
        <v>23</v>
      </c>
      <c r="D3781" s="4">
        <v>5</v>
      </c>
      <c r="E3781" s="4" t="s">
        <v>1069</v>
      </c>
      <c r="F3781" s="4" t="s">
        <v>7921</v>
      </c>
    </row>
    <row r="3782" spans="1:6">
      <c r="A3782" s="4" t="s">
        <v>7922</v>
      </c>
      <c r="B3782" s="6" t="s">
        <v>7918</v>
      </c>
      <c r="C3782" s="4" t="s">
        <v>1431</v>
      </c>
      <c r="D3782" s="4">
        <v>14</v>
      </c>
      <c r="E3782" s="4" t="s">
        <v>2161</v>
      </c>
    </row>
    <row r="3783" spans="1:6">
      <c r="A3783" s="4" t="s">
        <v>7923</v>
      </c>
      <c r="B3783" s="6" t="s">
        <v>7918</v>
      </c>
      <c r="C3783" s="4" t="s">
        <v>7369</v>
      </c>
      <c r="D3783" s="4">
        <v>14</v>
      </c>
      <c r="E3783" s="4" t="s">
        <v>2161</v>
      </c>
    </row>
    <row r="3784" spans="1:6">
      <c r="A3784" s="4" t="s">
        <v>7924</v>
      </c>
      <c r="B3784" s="6" t="s">
        <v>7925</v>
      </c>
      <c r="C3784" s="4" t="s">
        <v>254</v>
      </c>
      <c r="D3784" s="4">
        <v>11</v>
      </c>
      <c r="E3784" s="4" t="s">
        <v>2122</v>
      </c>
    </row>
    <row r="3785" spans="1:6">
      <c r="A3785" s="4" t="s">
        <v>7926</v>
      </c>
      <c r="B3785" s="6" t="s">
        <v>7925</v>
      </c>
      <c r="C3785" s="4" t="s">
        <v>453</v>
      </c>
      <c r="D3785" s="4">
        <v>9</v>
      </c>
      <c r="E3785" s="4" t="s">
        <v>2272</v>
      </c>
    </row>
    <row r="3786" spans="1:6">
      <c r="A3786" s="4" t="s">
        <v>7927</v>
      </c>
      <c r="B3786" s="6" t="s">
        <v>7925</v>
      </c>
      <c r="C3786" s="4" t="s">
        <v>461</v>
      </c>
      <c r="D3786" s="4">
        <v>13</v>
      </c>
      <c r="E3786" s="4" t="s">
        <v>2122</v>
      </c>
    </row>
    <row r="3787" spans="1:6">
      <c r="A3787" s="4" t="s">
        <v>7928</v>
      </c>
      <c r="B3787" s="6" t="s">
        <v>7925</v>
      </c>
      <c r="C3787" s="4" t="s">
        <v>238</v>
      </c>
      <c r="D3787" s="4">
        <v>12</v>
      </c>
      <c r="E3787" s="4" t="s">
        <v>2122</v>
      </c>
    </row>
    <row r="3788" spans="1:6">
      <c r="A3788" s="4" t="s">
        <v>7929</v>
      </c>
      <c r="B3788" s="6" t="s">
        <v>7930</v>
      </c>
      <c r="C3788" s="4" t="s">
        <v>390</v>
      </c>
      <c r="D3788" s="4">
        <v>13</v>
      </c>
      <c r="E3788" s="4" t="s">
        <v>1137</v>
      </c>
      <c r="F3788" s="4" t="s">
        <v>793</v>
      </c>
    </row>
    <row r="3789" spans="1:6">
      <c r="A3789" s="4" t="s">
        <v>7931</v>
      </c>
      <c r="B3789" s="6" t="s">
        <v>7930</v>
      </c>
      <c r="C3789" s="4" t="s">
        <v>1091</v>
      </c>
      <c r="D3789" s="4">
        <v>10</v>
      </c>
      <c r="E3789" s="4" t="s">
        <v>1137</v>
      </c>
      <c r="F3789" s="4" t="s">
        <v>7932</v>
      </c>
    </row>
    <row r="3790" spans="1:6">
      <c r="A3790" s="4" t="s">
        <v>7933</v>
      </c>
      <c r="B3790" s="6" t="s">
        <v>7930</v>
      </c>
      <c r="C3790" s="4" t="s">
        <v>104</v>
      </c>
      <c r="D3790" s="4">
        <v>12</v>
      </c>
      <c r="E3790" s="4" t="s">
        <v>1137</v>
      </c>
    </row>
    <row r="3791" spans="1:6">
      <c r="A3791" s="4" t="s">
        <v>7934</v>
      </c>
      <c r="B3791" s="6" t="s">
        <v>7935</v>
      </c>
      <c r="C3791" s="4" t="s">
        <v>34</v>
      </c>
      <c r="D3791" s="4">
        <v>14</v>
      </c>
      <c r="E3791" s="4" t="s">
        <v>1705</v>
      </c>
      <c r="F3791" s="4" t="s">
        <v>7585</v>
      </c>
    </row>
    <row r="3792" spans="1:6">
      <c r="A3792" s="4" t="s">
        <v>7936</v>
      </c>
      <c r="B3792" s="6" t="s">
        <v>7937</v>
      </c>
      <c r="C3792" s="4" t="s">
        <v>87</v>
      </c>
      <c r="D3792" s="4">
        <v>14</v>
      </c>
      <c r="E3792" s="4" t="s">
        <v>1705</v>
      </c>
      <c r="F3792" s="4" t="s">
        <v>7938</v>
      </c>
    </row>
    <row r="3793" spans="1:6">
      <c r="A3793" s="4" t="s">
        <v>7939</v>
      </c>
      <c r="B3793" s="6" t="s">
        <v>7940</v>
      </c>
      <c r="C3793" s="4" t="s">
        <v>87</v>
      </c>
      <c r="D3793" s="4">
        <v>6</v>
      </c>
      <c r="E3793" s="4" t="s">
        <v>1137</v>
      </c>
      <c r="F3793" s="4" t="s">
        <v>7941</v>
      </c>
    </row>
    <row r="3794" spans="1:6">
      <c r="A3794" s="4" t="s">
        <v>7942</v>
      </c>
      <c r="B3794" s="6" t="s">
        <v>7940</v>
      </c>
      <c r="C3794" s="4" t="s">
        <v>275</v>
      </c>
      <c r="D3794" s="4">
        <v>12</v>
      </c>
      <c r="E3794" s="4" t="s">
        <v>1137</v>
      </c>
      <c r="F3794" s="4" t="s">
        <v>7943</v>
      </c>
    </row>
    <row r="3795" spans="1:6">
      <c r="A3795" s="4" t="s">
        <v>7944</v>
      </c>
      <c r="B3795" s="6" t="s">
        <v>7940</v>
      </c>
      <c r="C3795" s="4" t="s">
        <v>34</v>
      </c>
      <c r="D3795" s="4">
        <v>9</v>
      </c>
      <c r="E3795" s="4" t="s">
        <v>7945</v>
      </c>
      <c r="F3795" s="4" t="s">
        <v>7946</v>
      </c>
    </row>
    <row r="3796" spans="1:6">
      <c r="A3796" s="4" t="s">
        <v>7947</v>
      </c>
      <c r="B3796" s="6" t="s">
        <v>7948</v>
      </c>
      <c r="C3796" s="4" t="s">
        <v>458</v>
      </c>
      <c r="D3796" s="4">
        <v>12</v>
      </c>
      <c r="E3796" s="4" t="s">
        <v>2122</v>
      </c>
      <c r="F3796" s="4" t="s">
        <v>7949</v>
      </c>
    </row>
    <row r="3797" spans="1:6">
      <c r="A3797" s="4" t="s">
        <v>7950</v>
      </c>
      <c r="B3797" s="6" t="s">
        <v>7948</v>
      </c>
      <c r="C3797" s="4" t="s">
        <v>23</v>
      </c>
      <c r="D3797" s="4">
        <v>7</v>
      </c>
      <c r="E3797" s="4" t="s">
        <v>2122</v>
      </c>
    </row>
    <row r="3798" spans="1:6">
      <c r="A3798" s="4" t="s">
        <v>7951</v>
      </c>
      <c r="B3798" s="6" t="s">
        <v>7952</v>
      </c>
      <c r="C3798" s="4" t="s">
        <v>458</v>
      </c>
      <c r="D3798" s="4">
        <v>13</v>
      </c>
      <c r="E3798" s="4" t="s">
        <v>1137</v>
      </c>
    </row>
    <row r="3799" spans="1:6">
      <c r="A3799" s="4" t="s">
        <v>7953</v>
      </c>
      <c r="B3799" s="6" t="s">
        <v>7952</v>
      </c>
      <c r="C3799" s="4" t="s">
        <v>76</v>
      </c>
      <c r="D3799" s="4">
        <v>11</v>
      </c>
      <c r="E3799" s="4" t="s">
        <v>5513</v>
      </c>
    </row>
    <row r="3800" spans="1:6">
      <c r="A3800" s="4" t="s">
        <v>7954</v>
      </c>
      <c r="B3800" s="6" t="s">
        <v>7952</v>
      </c>
      <c r="C3800" s="4" t="s">
        <v>285</v>
      </c>
      <c r="D3800" s="4">
        <v>9</v>
      </c>
      <c r="E3800" s="4" t="s">
        <v>7945</v>
      </c>
    </row>
    <row r="3801" spans="1:6">
      <c r="A3801" s="4" t="s">
        <v>7955</v>
      </c>
      <c r="B3801" s="6" t="s">
        <v>7956</v>
      </c>
      <c r="C3801" s="4" t="s">
        <v>87</v>
      </c>
      <c r="D3801" s="4">
        <v>8</v>
      </c>
      <c r="E3801" s="4" t="s">
        <v>2277</v>
      </c>
      <c r="F3801" s="4" t="s">
        <v>4858</v>
      </c>
    </row>
    <row r="3802" spans="1:6">
      <c r="A3802" s="4" t="s">
        <v>7957</v>
      </c>
      <c r="B3802" s="6" t="s">
        <v>7956</v>
      </c>
      <c r="C3802" s="4" t="s">
        <v>254</v>
      </c>
      <c r="D3802" s="4">
        <v>10</v>
      </c>
      <c r="E3802" s="4" t="s">
        <v>1137</v>
      </c>
      <c r="F3802" s="4" t="s">
        <v>7958</v>
      </c>
    </row>
    <row r="3803" spans="1:6">
      <c r="A3803" s="4" t="s">
        <v>7959</v>
      </c>
      <c r="B3803" s="6" t="s">
        <v>7960</v>
      </c>
      <c r="C3803" s="4" t="s">
        <v>34</v>
      </c>
      <c r="D3803" s="4">
        <v>18</v>
      </c>
      <c r="E3803" s="4" t="s">
        <v>7961</v>
      </c>
      <c r="F3803" s="4" t="s">
        <v>7962</v>
      </c>
    </row>
    <row r="3804" spans="1:6">
      <c r="A3804" s="4" t="s">
        <v>7963</v>
      </c>
      <c r="B3804" s="6" t="s">
        <v>7964</v>
      </c>
      <c r="C3804" s="4" t="s">
        <v>87</v>
      </c>
      <c r="D3804" s="4">
        <v>16</v>
      </c>
      <c r="E3804" s="4" t="s">
        <v>7965</v>
      </c>
      <c r="F3804" s="4" t="s">
        <v>7966</v>
      </c>
    </row>
    <row r="3805" spans="1:6">
      <c r="A3805" s="4" t="s">
        <v>7967</v>
      </c>
      <c r="B3805" s="6" t="s">
        <v>7968</v>
      </c>
      <c r="C3805" s="4" t="s">
        <v>254</v>
      </c>
      <c r="D3805" s="4">
        <v>6</v>
      </c>
      <c r="E3805" s="4" t="s">
        <v>1161</v>
      </c>
      <c r="F3805" s="4" t="s">
        <v>7969</v>
      </c>
    </row>
    <row r="3806" spans="1:6">
      <c r="A3806" s="4" t="s">
        <v>7970</v>
      </c>
      <c r="B3806" s="6" t="s">
        <v>7971</v>
      </c>
      <c r="C3806" s="4" t="s">
        <v>1560</v>
      </c>
      <c r="D3806" s="4">
        <v>9</v>
      </c>
      <c r="E3806" s="4" t="s">
        <v>7972</v>
      </c>
      <c r="F3806" s="4" t="s">
        <v>7973</v>
      </c>
    </row>
    <row r="3807" spans="1:6">
      <c r="A3807" s="4" t="s">
        <v>7974</v>
      </c>
      <c r="B3807" s="6" t="s">
        <v>7975</v>
      </c>
      <c r="C3807" s="4" t="s">
        <v>1078</v>
      </c>
      <c r="D3807" s="4">
        <v>18</v>
      </c>
      <c r="E3807" s="4" t="s">
        <v>6212</v>
      </c>
    </row>
    <row r="3808" spans="1:6">
      <c r="A3808" s="4" t="s">
        <v>7976</v>
      </c>
      <c r="B3808" s="6" t="s">
        <v>7977</v>
      </c>
      <c r="C3808" s="4" t="s">
        <v>19</v>
      </c>
      <c r="D3808" s="4">
        <v>8</v>
      </c>
      <c r="E3808" s="4" t="s">
        <v>1148</v>
      </c>
      <c r="F3808" s="4" t="s">
        <v>7978</v>
      </c>
    </row>
    <row r="3809" spans="1:6">
      <c r="A3809" s="4" t="s">
        <v>7979</v>
      </c>
      <c r="B3809" s="6" t="s">
        <v>7977</v>
      </c>
      <c r="C3809" s="4" t="s">
        <v>92</v>
      </c>
      <c r="D3809" s="4">
        <v>20</v>
      </c>
      <c r="E3809" s="4" t="s">
        <v>6376</v>
      </c>
    </row>
    <row r="3810" spans="1:6">
      <c r="A3810" s="4" t="s">
        <v>7980</v>
      </c>
      <c r="B3810" s="6" t="s">
        <v>7981</v>
      </c>
      <c r="C3810" s="4" t="s">
        <v>705</v>
      </c>
      <c r="D3810" s="4">
        <v>7</v>
      </c>
      <c r="E3810" s="4" t="s">
        <v>7375</v>
      </c>
      <c r="F3810" s="4" t="s">
        <v>7982</v>
      </c>
    </row>
    <row r="3811" spans="1:6">
      <c r="A3811" s="4" t="s">
        <v>7983</v>
      </c>
      <c r="B3811" s="6" t="s">
        <v>7984</v>
      </c>
      <c r="C3811" s="4" t="s">
        <v>140</v>
      </c>
      <c r="D3811" s="4">
        <v>17</v>
      </c>
      <c r="E3811" s="4" t="s">
        <v>7985</v>
      </c>
    </row>
    <row r="3812" spans="1:6">
      <c r="A3812" s="4" t="s">
        <v>7986</v>
      </c>
      <c r="B3812" s="6" t="s">
        <v>7987</v>
      </c>
      <c r="C3812" s="4" t="s">
        <v>785</v>
      </c>
      <c r="D3812" s="4">
        <v>4</v>
      </c>
      <c r="E3812" s="4" t="s">
        <v>1161</v>
      </c>
      <c r="F3812" s="4" t="s">
        <v>7969</v>
      </c>
    </row>
    <row r="3813" spans="1:6">
      <c r="A3813" s="4" t="s">
        <v>7988</v>
      </c>
      <c r="B3813" s="6" t="s">
        <v>7987</v>
      </c>
      <c r="C3813" s="4" t="s">
        <v>223</v>
      </c>
      <c r="D3813" s="4">
        <v>10</v>
      </c>
      <c r="E3813" s="4" t="s">
        <v>1161</v>
      </c>
    </row>
    <row r="3814" spans="1:6">
      <c r="A3814" s="4" t="s">
        <v>7989</v>
      </c>
      <c r="B3814" s="6" t="s">
        <v>7987</v>
      </c>
      <c r="C3814" s="4" t="s">
        <v>81</v>
      </c>
      <c r="D3814" s="4">
        <v>8</v>
      </c>
      <c r="E3814" s="4" t="s">
        <v>1161</v>
      </c>
    </row>
    <row r="3815" spans="1:6">
      <c r="A3815" s="4" t="s">
        <v>7990</v>
      </c>
      <c r="B3815" s="6" t="s">
        <v>7991</v>
      </c>
      <c r="C3815" s="4" t="s">
        <v>275</v>
      </c>
      <c r="D3815" s="4">
        <v>9</v>
      </c>
      <c r="E3815" s="4" t="s">
        <v>7992</v>
      </c>
      <c r="F3815" s="4" t="s">
        <v>7993</v>
      </c>
    </row>
    <row r="3816" spans="1:6">
      <c r="A3816" s="4" t="s">
        <v>7994</v>
      </c>
      <c r="B3816" s="6" t="s">
        <v>7991</v>
      </c>
      <c r="C3816" s="4" t="s">
        <v>53</v>
      </c>
      <c r="D3816" s="4">
        <v>12</v>
      </c>
      <c r="E3816" s="4" t="s">
        <v>7992</v>
      </c>
      <c r="F3816" s="4" t="s">
        <v>7995</v>
      </c>
    </row>
    <row r="3817" spans="1:6">
      <c r="A3817" s="4" t="s">
        <v>6146</v>
      </c>
      <c r="B3817" s="6" t="s">
        <v>7991</v>
      </c>
      <c r="C3817" s="4" t="s">
        <v>6146</v>
      </c>
      <c r="D3817" s="4">
        <v>3</v>
      </c>
    </row>
    <row r="3818" spans="1:6">
      <c r="A3818" s="4" t="s">
        <v>529</v>
      </c>
      <c r="B3818" s="6" t="s">
        <v>7991</v>
      </c>
      <c r="C3818" s="4" t="s">
        <v>529</v>
      </c>
      <c r="D3818" s="4">
        <v>3</v>
      </c>
    </row>
    <row r="3819" spans="1:6">
      <c r="A3819" s="4" t="s">
        <v>7996</v>
      </c>
      <c r="B3819" s="6" t="s">
        <v>7997</v>
      </c>
      <c r="C3819" s="4" t="s">
        <v>315</v>
      </c>
      <c r="D3819" s="4">
        <v>16</v>
      </c>
      <c r="E3819" s="4" t="s">
        <v>7998</v>
      </c>
      <c r="F3819" s="4" t="s">
        <v>7999</v>
      </c>
    </row>
    <row r="3820" spans="1:6">
      <c r="A3820" s="4" t="s">
        <v>8000</v>
      </c>
      <c r="B3820" s="6" t="s">
        <v>8001</v>
      </c>
      <c r="C3820" s="4" t="s">
        <v>254</v>
      </c>
      <c r="D3820" s="4">
        <v>6</v>
      </c>
      <c r="E3820" s="4" t="s">
        <v>2176</v>
      </c>
      <c r="F3820" s="4" t="s">
        <v>8002</v>
      </c>
    </row>
    <row r="3821" spans="1:6">
      <c r="A3821" s="4" t="s">
        <v>8003</v>
      </c>
      <c r="B3821" s="6" t="s">
        <v>8004</v>
      </c>
      <c r="C3821" s="4" t="s">
        <v>254</v>
      </c>
      <c r="D3821" s="4">
        <v>13</v>
      </c>
      <c r="E3821" s="4" t="s">
        <v>2176</v>
      </c>
      <c r="F3821" s="4" t="s">
        <v>8002</v>
      </c>
    </row>
    <row r="3822" spans="1:6">
      <c r="A3822" s="4" t="s">
        <v>8005</v>
      </c>
      <c r="B3822" s="6" t="s">
        <v>8006</v>
      </c>
      <c r="C3822" s="4" t="s">
        <v>268</v>
      </c>
      <c r="D3822" s="4">
        <v>15</v>
      </c>
      <c r="E3822" s="4" t="s">
        <v>1161</v>
      </c>
    </row>
    <row r="3823" spans="1:6">
      <c r="A3823" s="4" t="s">
        <v>8007</v>
      </c>
      <c r="B3823" s="6" t="s">
        <v>8006</v>
      </c>
      <c r="C3823" s="4" t="s">
        <v>104</v>
      </c>
      <c r="D3823" s="4">
        <v>9</v>
      </c>
      <c r="E3823" s="4" t="s">
        <v>1161</v>
      </c>
      <c r="F3823" s="4" t="s">
        <v>2226</v>
      </c>
    </row>
    <row r="3824" spans="1:6">
      <c r="A3824" s="4" t="s">
        <v>8008</v>
      </c>
      <c r="B3824" s="6" t="s">
        <v>8006</v>
      </c>
      <c r="C3824" s="4" t="s">
        <v>104</v>
      </c>
      <c r="D3824" s="4">
        <v>11</v>
      </c>
      <c r="E3824" s="4" t="s">
        <v>1161</v>
      </c>
      <c r="F3824" s="4" t="s">
        <v>2226</v>
      </c>
    </row>
    <row r="3825" spans="1:6">
      <c r="A3825" s="4" t="s">
        <v>8009</v>
      </c>
      <c r="B3825" s="6" t="s">
        <v>8010</v>
      </c>
      <c r="C3825" s="4" t="s">
        <v>254</v>
      </c>
      <c r="D3825" s="4">
        <v>7</v>
      </c>
      <c r="E3825" s="4" t="s">
        <v>5337</v>
      </c>
      <c r="F3825" s="4" t="s">
        <v>6759</v>
      </c>
    </row>
    <row r="3826" spans="1:6">
      <c r="A3826" s="4" t="s">
        <v>403</v>
      </c>
      <c r="B3826" s="6" t="s">
        <v>8011</v>
      </c>
      <c r="C3826" s="4" t="s">
        <v>403</v>
      </c>
      <c r="D3826" s="4">
        <v>6</v>
      </c>
      <c r="E3826" s="4" t="s">
        <v>6409</v>
      </c>
      <c r="F3826" s="4" t="s">
        <v>5211</v>
      </c>
    </row>
    <row r="3827" spans="1:6">
      <c r="A3827" s="4" t="s">
        <v>8012</v>
      </c>
      <c r="B3827" s="6" t="s">
        <v>8011</v>
      </c>
      <c r="C3827" s="4" t="s">
        <v>53</v>
      </c>
      <c r="D3827" s="4">
        <v>16</v>
      </c>
      <c r="E3827" s="4" t="s">
        <v>6409</v>
      </c>
      <c r="F3827" s="4" t="s">
        <v>8013</v>
      </c>
    </row>
    <row r="3828" spans="1:6">
      <c r="A3828" s="4" t="s">
        <v>8014</v>
      </c>
      <c r="B3828" s="6" t="s">
        <v>8015</v>
      </c>
      <c r="C3828" s="4" t="s">
        <v>403</v>
      </c>
      <c r="D3828" s="4">
        <v>8</v>
      </c>
      <c r="E3828" s="4" t="s">
        <v>8016</v>
      </c>
    </row>
    <row r="3829" spans="1:6">
      <c r="A3829" s="4" t="s">
        <v>8017</v>
      </c>
      <c r="B3829" s="6" t="s">
        <v>8018</v>
      </c>
      <c r="C3829" s="4" t="s">
        <v>95</v>
      </c>
      <c r="D3829" s="4">
        <v>12</v>
      </c>
      <c r="E3829" s="4" t="s">
        <v>1161</v>
      </c>
      <c r="F3829" s="4" t="s">
        <v>7347</v>
      </c>
    </row>
    <row r="3830" spans="1:6">
      <c r="A3830" s="4" t="s">
        <v>8019</v>
      </c>
      <c r="B3830" s="6" t="s">
        <v>8018</v>
      </c>
      <c r="C3830" s="4" t="s">
        <v>81</v>
      </c>
      <c r="D3830" s="4">
        <v>11</v>
      </c>
      <c r="E3830" s="4" t="s">
        <v>1161</v>
      </c>
    </row>
    <row r="3831" spans="1:6">
      <c r="A3831" s="4" t="s">
        <v>8020</v>
      </c>
      <c r="B3831" s="6" t="s">
        <v>8018</v>
      </c>
      <c r="C3831" s="4" t="s">
        <v>439</v>
      </c>
      <c r="D3831" s="4">
        <v>21</v>
      </c>
      <c r="E3831" s="4" t="s">
        <v>1161</v>
      </c>
    </row>
    <row r="3832" spans="1:6">
      <c r="A3832" s="4" t="s">
        <v>427</v>
      </c>
      <c r="B3832" s="6" t="s">
        <v>8021</v>
      </c>
      <c r="C3832" s="4" t="s">
        <v>427</v>
      </c>
      <c r="D3832" s="4">
        <v>6</v>
      </c>
      <c r="E3832" s="4" t="s">
        <v>1161</v>
      </c>
      <c r="F3832" s="4" t="s">
        <v>8022</v>
      </c>
    </row>
    <row r="3833" spans="1:6">
      <c r="A3833" s="4" t="s">
        <v>8023</v>
      </c>
      <c r="B3833" s="6" t="s">
        <v>8024</v>
      </c>
      <c r="C3833" s="4" t="s">
        <v>27</v>
      </c>
      <c r="D3833" s="4">
        <v>12</v>
      </c>
      <c r="E3833" s="4" t="s">
        <v>2161</v>
      </c>
      <c r="F3833" s="4" t="s">
        <v>5708</v>
      </c>
    </row>
    <row r="3834" spans="1:6">
      <c r="A3834" s="4" t="s">
        <v>8025</v>
      </c>
      <c r="B3834" s="6" t="s">
        <v>8024</v>
      </c>
      <c r="C3834" s="4" t="s">
        <v>3484</v>
      </c>
      <c r="D3834" s="4">
        <v>10</v>
      </c>
      <c r="E3834" s="4" t="s">
        <v>2161</v>
      </c>
    </row>
    <row r="3835" spans="1:6">
      <c r="A3835" s="4" t="s">
        <v>474</v>
      </c>
      <c r="B3835" s="6" t="s">
        <v>8026</v>
      </c>
      <c r="C3835" s="4" t="s">
        <v>474</v>
      </c>
      <c r="D3835" s="4">
        <v>2</v>
      </c>
      <c r="E3835" s="4" t="s">
        <v>391</v>
      </c>
    </row>
    <row r="3836" spans="1:6">
      <c r="A3836" s="4" t="s">
        <v>8027</v>
      </c>
      <c r="B3836" s="6" t="s">
        <v>8028</v>
      </c>
      <c r="C3836" s="4" t="s">
        <v>45</v>
      </c>
      <c r="D3836" s="4">
        <v>8</v>
      </c>
      <c r="E3836" s="4" t="s">
        <v>1161</v>
      </c>
    </row>
    <row r="3837" spans="1:6">
      <c r="A3837" s="4" t="s">
        <v>8029</v>
      </c>
      <c r="B3837" s="6" t="s">
        <v>8028</v>
      </c>
      <c r="C3837" s="4" t="s">
        <v>53</v>
      </c>
      <c r="D3837" s="4">
        <v>9</v>
      </c>
      <c r="E3837" s="4" t="s">
        <v>1161</v>
      </c>
      <c r="F3837" s="4" t="s">
        <v>8030</v>
      </c>
    </row>
    <row r="3838" spans="1:6">
      <c r="A3838" s="4" t="s">
        <v>8031</v>
      </c>
      <c r="B3838" s="6" t="s">
        <v>8032</v>
      </c>
      <c r="C3838" s="4" t="s">
        <v>574</v>
      </c>
      <c r="D3838" s="4">
        <v>12</v>
      </c>
      <c r="E3838" s="4" t="s">
        <v>5510</v>
      </c>
    </row>
    <row r="3839" spans="1:6">
      <c r="A3839" s="4" t="s">
        <v>8033</v>
      </c>
      <c r="B3839" s="6" t="s">
        <v>8032</v>
      </c>
      <c r="C3839" s="4" t="s">
        <v>275</v>
      </c>
      <c r="D3839" s="4">
        <v>10</v>
      </c>
      <c r="E3839" s="4" t="s">
        <v>6409</v>
      </c>
    </row>
    <row r="3840" spans="1:6">
      <c r="A3840" s="4" t="s">
        <v>8034</v>
      </c>
      <c r="B3840" s="6" t="s">
        <v>8035</v>
      </c>
      <c r="C3840" s="4" t="s">
        <v>27</v>
      </c>
      <c r="D3840" s="4">
        <v>15</v>
      </c>
      <c r="E3840" s="4" t="s">
        <v>7992</v>
      </c>
    </row>
    <row r="3841" spans="1:6">
      <c r="A3841" s="4" t="s">
        <v>8036</v>
      </c>
      <c r="B3841" s="6" t="s">
        <v>8037</v>
      </c>
      <c r="C3841" s="4" t="s">
        <v>351</v>
      </c>
      <c r="D3841" s="4">
        <v>14</v>
      </c>
      <c r="E3841" s="4" t="s">
        <v>2161</v>
      </c>
    </row>
    <row r="3842" spans="1:6">
      <c r="A3842" s="4" t="s">
        <v>8038</v>
      </c>
      <c r="B3842" s="6" t="s">
        <v>8039</v>
      </c>
      <c r="C3842" s="4" t="s">
        <v>464</v>
      </c>
      <c r="D3842" s="4">
        <v>11</v>
      </c>
      <c r="E3842" s="4" t="s">
        <v>2161</v>
      </c>
      <c r="F3842" s="4" t="s">
        <v>8040</v>
      </c>
    </row>
    <row r="3843" spans="1:6">
      <c r="A3843" s="4" t="s">
        <v>8041</v>
      </c>
      <c r="B3843" s="6" t="s">
        <v>8042</v>
      </c>
      <c r="C3843" s="4" t="s">
        <v>238</v>
      </c>
      <c r="D3843" s="4">
        <v>11</v>
      </c>
      <c r="E3843" s="4" t="s">
        <v>2161</v>
      </c>
      <c r="F3843" s="4" t="s">
        <v>1780</v>
      </c>
    </row>
    <row r="3844" spans="1:6">
      <c r="A3844" s="4" t="s">
        <v>8043</v>
      </c>
      <c r="B3844" s="6" t="s">
        <v>8044</v>
      </c>
      <c r="C3844" s="4" t="s">
        <v>1851</v>
      </c>
      <c r="D3844" s="4">
        <v>12</v>
      </c>
      <c r="E3844" s="4" t="s">
        <v>8045</v>
      </c>
      <c r="F3844" s="4" t="s">
        <v>8046</v>
      </c>
    </row>
    <row r="3845" spans="1:6">
      <c r="A3845" s="4" t="s">
        <v>8047</v>
      </c>
      <c r="B3845" s="6" t="s">
        <v>8044</v>
      </c>
      <c r="C3845" s="4" t="s">
        <v>49</v>
      </c>
      <c r="D3845" s="4">
        <v>11</v>
      </c>
      <c r="E3845" s="4" t="s">
        <v>1249</v>
      </c>
      <c r="F3845" s="4" t="s">
        <v>8048</v>
      </c>
    </row>
    <row r="3846" spans="1:6">
      <c r="A3846" s="4" t="s">
        <v>8049</v>
      </c>
      <c r="B3846" s="6" t="s">
        <v>8050</v>
      </c>
      <c r="C3846" s="4" t="s">
        <v>354</v>
      </c>
      <c r="D3846" s="4">
        <v>12</v>
      </c>
      <c r="E3846" s="4" t="s">
        <v>2161</v>
      </c>
      <c r="F3846" s="4" t="s">
        <v>8051</v>
      </c>
    </row>
    <row r="3847" spans="1:6">
      <c r="A3847" s="4" t="s">
        <v>8052</v>
      </c>
      <c r="B3847" s="6" t="s">
        <v>8050</v>
      </c>
      <c r="C3847" s="4" t="s">
        <v>81</v>
      </c>
      <c r="D3847" s="4">
        <v>11</v>
      </c>
      <c r="E3847" s="4" t="s">
        <v>2161</v>
      </c>
    </row>
    <row r="3848" spans="1:6">
      <c r="A3848" s="4" t="s">
        <v>8053</v>
      </c>
      <c r="B3848" s="6" t="s">
        <v>8054</v>
      </c>
      <c r="C3848" s="4" t="s">
        <v>8053</v>
      </c>
      <c r="D3848" s="4">
        <v>8</v>
      </c>
      <c r="E3848" s="4" t="s">
        <v>2161</v>
      </c>
      <c r="F3848" s="4" t="s">
        <v>8055</v>
      </c>
    </row>
    <row r="3849" spans="1:6">
      <c r="A3849" s="4" t="s">
        <v>8056</v>
      </c>
      <c r="B3849" s="6" t="s">
        <v>8054</v>
      </c>
      <c r="C3849" s="4" t="s">
        <v>27</v>
      </c>
      <c r="D3849" s="4">
        <v>12</v>
      </c>
      <c r="E3849" s="4" t="s">
        <v>1253</v>
      </c>
      <c r="F3849" s="4" t="s">
        <v>8057</v>
      </c>
    </row>
    <row r="3850" spans="1:6">
      <c r="A3850" s="4" t="s">
        <v>8058</v>
      </c>
      <c r="B3850" s="6" t="s">
        <v>8054</v>
      </c>
      <c r="C3850" s="4" t="s">
        <v>27</v>
      </c>
      <c r="D3850" s="4">
        <v>14</v>
      </c>
      <c r="E3850" s="4" t="s">
        <v>1253</v>
      </c>
      <c r="F3850" s="4" t="s">
        <v>8057</v>
      </c>
    </row>
    <row r="3851" spans="1:6">
      <c r="A3851" s="4" t="s">
        <v>8059</v>
      </c>
      <c r="B3851" s="6" t="s">
        <v>8060</v>
      </c>
      <c r="C3851" s="4" t="s">
        <v>354</v>
      </c>
      <c r="D3851" s="4">
        <v>13</v>
      </c>
      <c r="E3851" s="4" t="s">
        <v>2161</v>
      </c>
      <c r="F3851" s="4" t="s">
        <v>8061</v>
      </c>
    </row>
    <row r="3852" spans="1:6">
      <c r="A3852" s="4" t="s">
        <v>8062</v>
      </c>
      <c r="B3852" s="6" t="s">
        <v>8063</v>
      </c>
      <c r="C3852" s="4" t="s">
        <v>448</v>
      </c>
      <c r="D3852" s="4">
        <v>3</v>
      </c>
      <c r="E3852" s="4" t="s">
        <v>1253</v>
      </c>
      <c r="F3852" s="4" t="s">
        <v>5211</v>
      </c>
    </row>
    <row r="3853" spans="1:6">
      <c r="A3853" s="4" t="s">
        <v>8064</v>
      </c>
      <c r="B3853" s="6" t="s">
        <v>8063</v>
      </c>
      <c r="C3853" s="4" t="s">
        <v>53</v>
      </c>
      <c r="D3853" s="4">
        <v>7</v>
      </c>
      <c r="E3853" s="4" t="s">
        <v>1253</v>
      </c>
      <c r="F3853" s="4" t="s">
        <v>8065</v>
      </c>
    </row>
    <row r="3854" spans="1:6">
      <c r="A3854" s="4" t="s">
        <v>8066</v>
      </c>
      <c r="B3854" s="6" t="s">
        <v>8063</v>
      </c>
      <c r="C3854" s="4" t="s">
        <v>254</v>
      </c>
      <c r="D3854" s="4">
        <v>5</v>
      </c>
      <c r="E3854" s="4" t="s">
        <v>1253</v>
      </c>
    </row>
    <row r="3855" spans="1:6">
      <c r="A3855" s="4" t="s">
        <v>8067</v>
      </c>
      <c r="B3855" s="6" t="s">
        <v>8068</v>
      </c>
      <c r="C3855" s="4" t="s">
        <v>520</v>
      </c>
      <c r="D3855" s="4">
        <v>5</v>
      </c>
      <c r="F3855" s="4" t="s">
        <v>8069</v>
      </c>
    </row>
    <row r="3856" spans="1:6">
      <c r="A3856" s="4" t="s">
        <v>8070</v>
      </c>
      <c r="B3856" s="6" t="s">
        <v>8071</v>
      </c>
      <c r="C3856" s="4" t="s">
        <v>19</v>
      </c>
      <c r="D3856" s="4">
        <v>10</v>
      </c>
      <c r="E3856" s="4" t="s">
        <v>8072</v>
      </c>
      <c r="F3856" s="4" t="s">
        <v>8073</v>
      </c>
    </row>
    <row r="3857" spans="1:6">
      <c r="A3857" s="4" t="s">
        <v>8074</v>
      </c>
      <c r="B3857" s="6" t="s">
        <v>8071</v>
      </c>
      <c r="C3857" s="4" t="s">
        <v>439</v>
      </c>
      <c r="D3857" s="4">
        <v>20</v>
      </c>
      <c r="E3857" s="4" t="s">
        <v>1249</v>
      </c>
    </row>
    <row r="3858" spans="1:6">
      <c r="A3858" s="4" t="s">
        <v>8075</v>
      </c>
      <c r="B3858" s="6" t="s">
        <v>8076</v>
      </c>
      <c r="C3858" s="4" t="s">
        <v>254</v>
      </c>
      <c r="D3858" s="4">
        <v>17</v>
      </c>
      <c r="E3858" s="4" t="s">
        <v>1249</v>
      </c>
      <c r="F3858" s="4" t="s">
        <v>7047</v>
      </c>
    </row>
    <row r="3859" spans="1:6">
      <c r="A3859" s="4" t="s">
        <v>8077</v>
      </c>
      <c r="B3859" s="6" t="s">
        <v>8078</v>
      </c>
      <c r="C3859" s="4" t="s">
        <v>87</v>
      </c>
      <c r="D3859" s="4">
        <v>15</v>
      </c>
      <c r="E3859" s="4" t="s">
        <v>2161</v>
      </c>
      <c r="F3859" s="4" t="s">
        <v>6759</v>
      </c>
    </row>
    <row r="3860" spans="1:6">
      <c r="A3860" s="4" t="s">
        <v>8079</v>
      </c>
      <c r="B3860" s="6" t="s">
        <v>8078</v>
      </c>
      <c r="C3860" s="4" t="s">
        <v>81</v>
      </c>
      <c r="D3860" s="4">
        <v>18</v>
      </c>
      <c r="E3860" s="4" t="s">
        <v>2161</v>
      </c>
      <c r="F3860" s="4" t="s">
        <v>8080</v>
      </c>
    </row>
    <row r="3861" spans="1:6">
      <c r="A3861" s="4" t="s">
        <v>8081</v>
      </c>
      <c r="B3861" s="6" t="s">
        <v>8082</v>
      </c>
      <c r="C3861" s="4" t="s">
        <v>34</v>
      </c>
      <c r="D3861" s="4">
        <v>8</v>
      </c>
      <c r="E3861" s="4" t="s">
        <v>1161</v>
      </c>
    </row>
    <row r="3862" spans="1:6">
      <c r="A3862" s="4" t="s">
        <v>8083</v>
      </c>
      <c r="B3862" s="6" t="s">
        <v>8084</v>
      </c>
      <c r="C3862" s="4" t="s">
        <v>403</v>
      </c>
      <c r="D3862" s="4">
        <v>14</v>
      </c>
      <c r="E3862" s="4" t="s">
        <v>6193</v>
      </c>
      <c r="F3862" s="4" t="s">
        <v>8085</v>
      </c>
    </row>
    <row r="3863" spans="1:6">
      <c r="A3863" s="4" t="s">
        <v>8086</v>
      </c>
      <c r="B3863" s="6" t="s">
        <v>8084</v>
      </c>
      <c r="C3863" s="4" t="s">
        <v>238</v>
      </c>
      <c r="D3863" s="4">
        <v>8</v>
      </c>
      <c r="E3863" s="4" t="s">
        <v>6193</v>
      </c>
    </row>
    <row r="3864" spans="1:6">
      <c r="A3864" s="4" t="s">
        <v>8087</v>
      </c>
      <c r="B3864" s="6" t="s">
        <v>8088</v>
      </c>
      <c r="C3864" s="4" t="s">
        <v>453</v>
      </c>
      <c r="D3864" s="4">
        <v>12</v>
      </c>
      <c r="E3864" s="4" t="s">
        <v>1249</v>
      </c>
      <c r="F3864" s="4" t="s">
        <v>6413</v>
      </c>
    </row>
    <row r="3865" spans="1:6">
      <c r="A3865" s="4" t="s">
        <v>8089</v>
      </c>
      <c r="B3865" s="6" t="s">
        <v>8088</v>
      </c>
      <c r="C3865" s="4" t="s">
        <v>34</v>
      </c>
      <c r="D3865" s="4">
        <v>7</v>
      </c>
      <c r="E3865" s="4" t="s">
        <v>6453</v>
      </c>
    </row>
    <row r="3866" spans="1:6">
      <c r="A3866" s="4" t="s">
        <v>8090</v>
      </c>
      <c r="B3866" s="6" t="s">
        <v>8088</v>
      </c>
      <c r="C3866" s="4" t="s">
        <v>53</v>
      </c>
      <c r="D3866" s="4">
        <v>8</v>
      </c>
      <c r="E3866" s="4" t="s">
        <v>1249</v>
      </c>
    </row>
    <row r="3867" spans="1:6">
      <c r="A3867" s="4" t="s">
        <v>8091</v>
      </c>
      <c r="B3867" s="6" t="s">
        <v>8088</v>
      </c>
      <c r="C3867" s="4" t="s">
        <v>254</v>
      </c>
      <c r="D3867" s="4">
        <v>7</v>
      </c>
      <c r="E3867" s="4" t="s">
        <v>1249</v>
      </c>
      <c r="F3867" s="4" t="s">
        <v>8092</v>
      </c>
    </row>
    <row r="3868" spans="1:6">
      <c r="A3868" s="4" t="s">
        <v>8093</v>
      </c>
      <c r="B3868" s="6" t="s">
        <v>8094</v>
      </c>
      <c r="C3868" s="4" t="s">
        <v>995</v>
      </c>
      <c r="D3868" s="4">
        <v>8</v>
      </c>
      <c r="E3868" s="4" t="s">
        <v>8095</v>
      </c>
      <c r="F3868" s="4" t="s">
        <v>8096</v>
      </c>
    </row>
    <row r="3869" spans="1:6">
      <c r="A3869" s="4" t="s">
        <v>8097</v>
      </c>
      <c r="B3869" s="6" t="s">
        <v>8094</v>
      </c>
      <c r="C3869" s="4" t="s">
        <v>27</v>
      </c>
      <c r="D3869" s="4">
        <v>11</v>
      </c>
      <c r="E3869" s="4" t="s">
        <v>1208</v>
      </c>
      <c r="F3869" s="4" t="s">
        <v>8098</v>
      </c>
    </row>
    <row r="3870" spans="1:6">
      <c r="A3870" s="4" t="s">
        <v>8099</v>
      </c>
      <c r="B3870" s="6" t="s">
        <v>8100</v>
      </c>
      <c r="C3870" s="4" t="s">
        <v>254</v>
      </c>
      <c r="D3870" s="4">
        <v>10</v>
      </c>
      <c r="E3870" s="4" t="s">
        <v>1004</v>
      </c>
      <c r="F3870" s="4" t="s">
        <v>4858</v>
      </c>
    </row>
    <row r="3871" spans="1:6">
      <c r="A3871" s="4" t="s">
        <v>8101</v>
      </c>
      <c r="B3871" s="6" t="s">
        <v>8100</v>
      </c>
      <c r="C3871" s="4" t="s">
        <v>354</v>
      </c>
      <c r="D3871" s="4">
        <v>11</v>
      </c>
      <c r="E3871" s="4" t="s">
        <v>1069</v>
      </c>
    </row>
    <row r="3872" spans="1:6">
      <c r="A3872" s="4" t="s">
        <v>8102</v>
      </c>
      <c r="B3872" s="6" t="s">
        <v>8100</v>
      </c>
      <c r="C3872" s="4" t="s">
        <v>221</v>
      </c>
      <c r="D3872" s="4">
        <v>12</v>
      </c>
      <c r="E3872" s="4" t="s">
        <v>8103</v>
      </c>
      <c r="F3872" s="4" t="s">
        <v>8104</v>
      </c>
    </row>
    <row r="3873" spans="1:6">
      <c r="A3873" s="4" t="s">
        <v>8105</v>
      </c>
      <c r="B3873" s="6" t="s">
        <v>8100</v>
      </c>
      <c r="C3873" s="4" t="s">
        <v>1851</v>
      </c>
    </row>
    <row r="3874" spans="1:6">
      <c r="A3874" s="4" t="s">
        <v>8106</v>
      </c>
      <c r="B3874" s="6" t="s">
        <v>8100</v>
      </c>
      <c r="C3874" s="4" t="s">
        <v>49</v>
      </c>
      <c r="D3874" s="4">
        <v>13</v>
      </c>
      <c r="E3874" s="4" t="s">
        <v>1004</v>
      </c>
    </row>
    <row r="3875" spans="1:6">
      <c r="A3875" s="4" t="s">
        <v>8107</v>
      </c>
      <c r="B3875" s="6" t="s">
        <v>8108</v>
      </c>
      <c r="C3875" s="4" t="s">
        <v>275</v>
      </c>
      <c r="D3875" s="4">
        <v>15</v>
      </c>
      <c r="E3875" s="4" t="s">
        <v>7257</v>
      </c>
    </row>
    <row r="3876" spans="1:6">
      <c r="A3876" s="4" t="s">
        <v>8109</v>
      </c>
      <c r="B3876" s="6" t="s">
        <v>8108</v>
      </c>
      <c r="C3876" s="4" t="s">
        <v>87</v>
      </c>
      <c r="D3876" s="4">
        <v>9</v>
      </c>
      <c r="E3876" s="4" t="s">
        <v>1164</v>
      </c>
    </row>
    <row r="3877" spans="1:6">
      <c r="A3877" s="4" t="s">
        <v>8110</v>
      </c>
      <c r="B3877" s="6" t="s">
        <v>8108</v>
      </c>
      <c r="C3877" s="4" t="s">
        <v>81</v>
      </c>
      <c r="D3877" s="4">
        <v>9</v>
      </c>
      <c r="E3877" s="4" t="s">
        <v>1164</v>
      </c>
    </row>
    <row r="3878" spans="1:6">
      <c r="A3878" s="4" t="s">
        <v>8111</v>
      </c>
      <c r="B3878" s="6" t="s">
        <v>8108</v>
      </c>
      <c r="C3878" s="4" t="s">
        <v>351</v>
      </c>
      <c r="D3878" s="4">
        <v>9</v>
      </c>
      <c r="E3878" s="4" t="s">
        <v>1164</v>
      </c>
    </row>
    <row r="3879" spans="1:6">
      <c r="A3879" s="4" t="s">
        <v>8112</v>
      </c>
      <c r="B3879" s="6" t="s">
        <v>8113</v>
      </c>
      <c r="C3879" s="4" t="s">
        <v>254</v>
      </c>
      <c r="D3879" s="4">
        <v>9</v>
      </c>
      <c r="E3879" s="4" t="s">
        <v>7159</v>
      </c>
    </row>
    <row r="3880" spans="1:6">
      <c r="A3880" s="4" t="s">
        <v>8114</v>
      </c>
      <c r="B3880" s="6" t="s">
        <v>8113</v>
      </c>
      <c r="C3880" s="4" t="s">
        <v>268</v>
      </c>
      <c r="D3880" s="4">
        <v>17</v>
      </c>
      <c r="E3880" s="4" t="s">
        <v>7159</v>
      </c>
    </row>
    <row r="3881" spans="1:6">
      <c r="A3881" s="4" t="s">
        <v>8115</v>
      </c>
      <c r="B3881" s="6" t="s">
        <v>8113</v>
      </c>
      <c r="C3881" s="4" t="s">
        <v>285</v>
      </c>
      <c r="D3881" s="4">
        <v>10</v>
      </c>
      <c r="E3881" s="4" t="s">
        <v>7159</v>
      </c>
    </row>
    <row r="3882" spans="1:6">
      <c r="A3882" s="4" t="s">
        <v>8116</v>
      </c>
      <c r="B3882" s="6" t="s">
        <v>8113</v>
      </c>
      <c r="C3882" s="4" t="s">
        <v>254</v>
      </c>
      <c r="D3882" s="4">
        <v>15</v>
      </c>
      <c r="E3882" s="4" t="s">
        <v>7159</v>
      </c>
    </row>
    <row r="3883" spans="1:6">
      <c r="A3883" s="4" t="s">
        <v>8117</v>
      </c>
      <c r="B3883" s="6" t="s">
        <v>8113</v>
      </c>
      <c r="C3883" s="4" t="s">
        <v>87</v>
      </c>
      <c r="D3883" s="4">
        <v>10</v>
      </c>
      <c r="E3883" s="4" t="s">
        <v>7159</v>
      </c>
      <c r="F3883" s="4" t="s">
        <v>8118</v>
      </c>
    </row>
    <row r="3884" spans="1:6">
      <c r="A3884" s="4" t="s">
        <v>8119</v>
      </c>
      <c r="B3884" s="6" t="s">
        <v>8120</v>
      </c>
      <c r="C3884" s="4" t="s">
        <v>1078</v>
      </c>
      <c r="D3884" s="4">
        <v>6</v>
      </c>
      <c r="E3884" s="4" t="s">
        <v>8121</v>
      </c>
      <c r="F3884" s="4" t="s">
        <v>3704</v>
      </c>
    </row>
    <row r="3885" spans="1:6">
      <c r="A3885" s="4" t="s">
        <v>8122</v>
      </c>
      <c r="B3885" s="6" t="s">
        <v>8120</v>
      </c>
      <c r="C3885" s="4" t="s">
        <v>81</v>
      </c>
      <c r="D3885" s="4">
        <v>9</v>
      </c>
      <c r="E3885" s="4" t="s">
        <v>8121</v>
      </c>
    </row>
    <row r="3886" spans="1:6">
      <c r="A3886" s="4" t="s">
        <v>8123</v>
      </c>
      <c r="B3886" s="6" t="s">
        <v>8124</v>
      </c>
      <c r="C3886" s="4" t="s">
        <v>275</v>
      </c>
      <c r="D3886" s="4">
        <v>6</v>
      </c>
      <c r="E3886" s="4" t="s">
        <v>1164</v>
      </c>
      <c r="F3886" s="4" t="s">
        <v>3164</v>
      </c>
    </row>
    <row r="3887" spans="1:6">
      <c r="A3887" s="4" t="s">
        <v>8125</v>
      </c>
      <c r="B3887" s="6" t="s">
        <v>8124</v>
      </c>
      <c r="C3887" s="4" t="s">
        <v>104</v>
      </c>
      <c r="D3887" s="4">
        <v>6</v>
      </c>
      <c r="E3887" s="4" t="s">
        <v>7257</v>
      </c>
      <c r="F3887" s="4" t="s">
        <v>8126</v>
      </c>
    </row>
    <row r="3888" spans="1:6">
      <c r="A3888" s="4" t="s">
        <v>8127</v>
      </c>
      <c r="B3888" s="6" t="s">
        <v>8124</v>
      </c>
      <c r="C3888" s="4" t="s">
        <v>351</v>
      </c>
      <c r="D3888" s="4">
        <v>12</v>
      </c>
      <c r="E3888" s="4" t="s">
        <v>1164</v>
      </c>
    </row>
    <row r="3889" spans="1:6">
      <c r="A3889" s="4" t="s">
        <v>8128</v>
      </c>
      <c r="B3889" s="6" t="s">
        <v>8129</v>
      </c>
      <c r="C3889" s="4" t="s">
        <v>544</v>
      </c>
      <c r="D3889" s="4">
        <v>10</v>
      </c>
      <c r="E3889" s="4" t="s">
        <v>1164</v>
      </c>
    </row>
    <row r="3890" spans="1:6">
      <c r="A3890" s="4" t="s">
        <v>8130</v>
      </c>
      <c r="B3890" s="6" t="s">
        <v>8131</v>
      </c>
      <c r="C3890" s="4" t="s">
        <v>675</v>
      </c>
      <c r="D3890" s="4">
        <v>13</v>
      </c>
      <c r="E3890" s="4" t="s">
        <v>6636</v>
      </c>
      <c r="F3890" s="4" t="s">
        <v>8132</v>
      </c>
    </row>
    <row r="3891" spans="1:6">
      <c r="A3891" s="4" t="s">
        <v>8133</v>
      </c>
      <c r="B3891" s="6" t="s">
        <v>8134</v>
      </c>
      <c r="C3891" s="4" t="s">
        <v>458</v>
      </c>
      <c r="D3891" s="4">
        <v>15</v>
      </c>
      <c r="E3891" s="4" t="s">
        <v>6398</v>
      </c>
      <c r="F3891" s="4" t="s">
        <v>5645</v>
      </c>
    </row>
    <row r="3892" spans="1:6">
      <c r="A3892" s="4" t="s">
        <v>8135</v>
      </c>
      <c r="B3892" s="6" t="s">
        <v>8134</v>
      </c>
      <c r="C3892" s="4" t="s">
        <v>81</v>
      </c>
      <c r="D3892" s="4">
        <v>15</v>
      </c>
      <c r="E3892" s="4" t="s">
        <v>852</v>
      </c>
    </row>
    <row r="3893" spans="1:6">
      <c r="A3893" s="4" t="s">
        <v>8136</v>
      </c>
      <c r="B3893" s="6" t="s">
        <v>8134</v>
      </c>
      <c r="C3893" s="4" t="s">
        <v>1624</v>
      </c>
      <c r="D3893" s="4">
        <v>11</v>
      </c>
      <c r="E3893" s="4" t="s">
        <v>8137</v>
      </c>
    </row>
    <row r="3894" spans="1:6">
      <c r="A3894" s="4" t="s">
        <v>8138</v>
      </c>
      <c r="B3894" s="6" t="s">
        <v>8139</v>
      </c>
      <c r="C3894" s="4" t="s">
        <v>301</v>
      </c>
      <c r="D3894" s="4">
        <v>16</v>
      </c>
      <c r="E3894" s="4" t="s">
        <v>5337</v>
      </c>
      <c r="F3894" s="4" t="s">
        <v>7261</v>
      </c>
    </row>
    <row r="3895" spans="1:6">
      <c r="A3895" s="4" t="s">
        <v>8140</v>
      </c>
      <c r="B3895" s="6" t="s">
        <v>8139</v>
      </c>
      <c r="C3895" s="4" t="s">
        <v>285</v>
      </c>
      <c r="D3895" s="4">
        <v>13</v>
      </c>
      <c r="E3895" s="4" t="s">
        <v>8141</v>
      </c>
      <c r="F3895" s="4" t="s">
        <v>4361</v>
      </c>
    </row>
    <row r="3896" spans="1:6">
      <c r="A3896" s="4" t="s">
        <v>8142</v>
      </c>
      <c r="B3896" s="6" t="s">
        <v>8139</v>
      </c>
      <c r="C3896" s="4" t="s">
        <v>53</v>
      </c>
      <c r="D3896" s="4">
        <v>15</v>
      </c>
      <c r="E3896" s="4" t="s">
        <v>1069</v>
      </c>
      <c r="F3896" s="4" t="s">
        <v>2498</v>
      </c>
    </row>
    <row r="3897" spans="1:6">
      <c r="A3897" s="4" t="s">
        <v>8143</v>
      </c>
      <c r="B3897" s="6" t="s">
        <v>8144</v>
      </c>
      <c r="C3897" s="4" t="s">
        <v>45</v>
      </c>
      <c r="D3897" s="4">
        <v>9</v>
      </c>
      <c r="E3897" s="4" t="s">
        <v>1064</v>
      </c>
    </row>
    <row r="3898" spans="1:6">
      <c r="A3898" s="4" t="s">
        <v>8145</v>
      </c>
      <c r="B3898" s="6" t="s">
        <v>8144</v>
      </c>
      <c r="C3898" s="4" t="s">
        <v>74</v>
      </c>
      <c r="D3898" s="4">
        <v>6</v>
      </c>
      <c r="E3898" s="4" t="s">
        <v>752</v>
      </c>
      <c r="F3898" s="4" t="s">
        <v>2429</v>
      </c>
    </row>
    <row r="3899" spans="1:6">
      <c r="A3899" s="4" t="s">
        <v>8146</v>
      </c>
      <c r="B3899" s="6" t="s">
        <v>8147</v>
      </c>
      <c r="C3899" s="4" t="s">
        <v>301</v>
      </c>
      <c r="D3899" s="4">
        <v>15</v>
      </c>
      <c r="E3899" s="4" t="s">
        <v>1064</v>
      </c>
      <c r="F3899" s="4" t="s">
        <v>875</v>
      </c>
    </row>
    <row r="3900" spans="1:6">
      <c r="A3900" s="4" t="s">
        <v>8148</v>
      </c>
      <c r="B3900" s="6" t="s">
        <v>8147</v>
      </c>
      <c r="C3900" s="4" t="s">
        <v>354</v>
      </c>
      <c r="D3900" s="4">
        <v>13</v>
      </c>
      <c r="E3900" s="4" t="s">
        <v>1064</v>
      </c>
    </row>
    <row r="3901" spans="1:6">
      <c r="A3901" s="4" t="s">
        <v>8149</v>
      </c>
      <c r="B3901" s="6" t="s">
        <v>8150</v>
      </c>
      <c r="C3901" s="4" t="s">
        <v>63</v>
      </c>
      <c r="D3901" s="4">
        <v>11</v>
      </c>
      <c r="E3901" s="4" t="s">
        <v>1187</v>
      </c>
      <c r="F3901" s="4" t="s">
        <v>8151</v>
      </c>
    </row>
    <row r="3902" spans="1:6">
      <c r="A3902" s="4" t="s">
        <v>8152</v>
      </c>
      <c r="B3902" s="6" t="s">
        <v>8150</v>
      </c>
      <c r="C3902" s="4" t="s">
        <v>1129</v>
      </c>
      <c r="D3902" s="4">
        <v>22</v>
      </c>
      <c r="E3902" s="4" t="s">
        <v>1187</v>
      </c>
      <c r="F3902" s="4" t="s">
        <v>8153</v>
      </c>
    </row>
    <row r="3903" spans="1:6">
      <c r="A3903" s="4" t="s">
        <v>8154</v>
      </c>
      <c r="B3903" s="6" t="s">
        <v>8155</v>
      </c>
      <c r="C3903" s="4" t="s">
        <v>87</v>
      </c>
      <c r="D3903" s="4">
        <v>9</v>
      </c>
      <c r="E3903" s="4" t="s">
        <v>1064</v>
      </c>
      <c r="F3903" s="4" t="s">
        <v>8156</v>
      </c>
    </row>
    <row r="3904" spans="1:6">
      <c r="A3904" s="4" t="s">
        <v>8157</v>
      </c>
      <c r="B3904" s="6" t="s">
        <v>8158</v>
      </c>
      <c r="C3904" s="4" t="s">
        <v>275</v>
      </c>
      <c r="D3904" s="4">
        <v>15</v>
      </c>
      <c r="E3904" s="4" t="s">
        <v>1064</v>
      </c>
      <c r="F3904" s="4" t="s">
        <v>8159</v>
      </c>
    </row>
    <row r="3905" spans="1:6">
      <c r="A3905" s="4" t="s">
        <v>8160</v>
      </c>
      <c r="B3905" s="6" t="s">
        <v>8161</v>
      </c>
      <c r="C3905" s="4" t="s">
        <v>301</v>
      </c>
      <c r="D3905" s="4">
        <v>12</v>
      </c>
      <c r="E3905" s="4" t="s">
        <v>7080</v>
      </c>
      <c r="F3905" s="4" t="s">
        <v>4843</v>
      </c>
    </row>
    <row r="3906" spans="1:6">
      <c r="A3906" s="4" t="s">
        <v>8162</v>
      </c>
      <c r="B3906" s="6" t="s">
        <v>8163</v>
      </c>
      <c r="C3906" s="4" t="s">
        <v>458</v>
      </c>
      <c r="D3906" s="4">
        <v>7</v>
      </c>
      <c r="E3906" s="4" t="s">
        <v>1217</v>
      </c>
      <c r="F3906" s="4" t="s">
        <v>8164</v>
      </c>
    </row>
    <row r="3907" spans="1:6">
      <c r="A3907" s="4" t="s">
        <v>439</v>
      </c>
      <c r="B3907" s="6" t="s">
        <v>8165</v>
      </c>
      <c r="C3907" s="4" t="s">
        <v>439</v>
      </c>
      <c r="D3907" s="4">
        <v>7</v>
      </c>
      <c r="E3907" s="4" t="s">
        <v>6723</v>
      </c>
      <c r="F3907" s="4" t="s">
        <v>8166</v>
      </c>
    </row>
    <row r="3908" spans="1:6">
      <c r="A3908" s="4" t="s">
        <v>8167</v>
      </c>
      <c r="B3908" s="6" t="s">
        <v>8165</v>
      </c>
      <c r="C3908" s="4" t="s">
        <v>7369</v>
      </c>
      <c r="D3908" s="4">
        <v>11</v>
      </c>
      <c r="E3908" s="4" t="s">
        <v>1205</v>
      </c>
    </row>
    <row r="3909" spans="1:6">
      <c r="A3909" s="4" t="s">
        <v>8168</v>
      </c>
      <c r="B3909" s="6" t="s">
        <v>8165</v>
      </c>
      <c r="C3909" s="4" t="s">
        <v>34</v>
      </c>
      <c r="D3909" s="4">
        <v>10</v>
      </c>
      <c r="E3909" s="4" t="s">
        <v>8169</v>
      </c>
      <c r="F3909" s="4" t="s">
        <v>8170</v>
      </c>
    </row>
    <row r="3910" spans="1:6">
      <c r="A3910" s="4" t="s">
        <v>8171</v>
      </c>
      <c r="B3910" s="6" t="s">
        <v>8165</v>
      </c>
      <c r="C3910" s="4" t="s">
        <v>1211</v>
      </c>
      <c r="D3910" s="4">
        <v>12</v>
      </c>
      <c r="E3910" s="4" t="s">
        <v>8172</v>
      </c>
      <c r="F3910" s="4" t="s">
        <v>4565</v>
      </c>
    </row>
    <row r="3911" spans="1:6">
      <c r="A3911" s="4" t="s">
        <v>8173</v>
      </c>
      <c r="B3911" s="6" t="s">
        <v>8165</v>
      </c>
      <c r="C3911" s="4" t="s">
        <v>7369</v>
      </c>
      <c r="D3911" s="4">
        <v>13</v>
      </c>
      <c r="E3911" s="4" t="s">
        <v>1205</v>
      </c>
    </row>
    <row r="3912" spans="1:6">
      <c r="A3912" s="4" t="s">
        <v>8174</v>
      </c>
      <c r="B3912" s="6" t="s">
        <v>8165</v>
      </c>
      <c r="C3912" s="4" t="s">
        <v>1569</v>
      </c>
      <c r="D3912" s="4">
        <v>6</v>
      </c>
      <c r="E3912" s="4" t="s">
        <v>1205</v>
      </c>
      <c r="F3912" s="4" t="s">
        <v>8175</v>
      </c>
    </row>
    <row r="3913" spans="1:6">
      <c r="A3913" s="4" t="s">
        <v>8176</v>
      </c>
      <c r="B3913" s="6" t="s">
        <v>8177</v>
      </c>
      <c r="C3913" s="4" t="s">
        <v>53</v>
      </c>
      <c r="D3913" s="4">
        <v>15</v>
      </c>
      <c r="E3913" s="4" t="s">
        <v>1107</v>
      </c>
    </row>
    <row r="3914" spans="1:6">
      <c r="A3914" s="4" t="s">
        <v>8178</v>
      </c>
      <c r="B3914" s="6" t="s">
        <v>8179</v>
      </c>
      <c r="C3914" s="4" t="s">
        <v>45</v>
      </c>
      <c r="D3914" s="4">
        <v>11</v>
      </c>
      <c r="E3914" s="4" t="s">
        <v>8180</v>
      </c>
      <c r="F3914" s="4" t="s">
        <v>8181</v>
      </c>
    </row>
    <row r="3915" spans="1:6">
      <c r="A3915" s="4" t="s">
        <v>8182</v>
      </c>
      <c r="B3915" s="6" t="s">
        <v>8183</v>
      </c>
      <c r="C3915" s="4" t="s">
        <v>439</v>
      </c>
      <c r="D3915" s="4">
        <v>18</v>
      </c>
      <c r="E3915" s="4" t="s">
        <v>1205</v>
      </c>
    </row>
    <row r="3916" spans="1:6">
      <c r="A3916" s="4" t="s">
        <v>8184</v>
      </c>
      <c r="B3916" s="6" t="s">
        <v>8185</v>
      </c>
      <c r="C3916" s="4" t="s">
        <v>1211</v>
      </c>
      <c r="D3916" s="4">
        <v>10</v>
      </c>
      <c r="E3916" s="4" t="s">
        <v>8186</v>
      </c>
      <c r="F3916" s="4" t="s">
        <v>8187</v>
      </c>
    </row>
    <row r="3917" spans="1:6">
      <c r="A3917" s="4" t="s">
        <v>8188</v>
      </c>
      <c r="B3917" s="6" t="s">
        <v>8185</v>
      </c>
      <c r="C3917" s="4" t="s">
        <v>1262</v>
      </c>
      <c r="D3917" s="4">
        <v>11</v>
      </c>
      <c r="E3917" s="4" t="s">
        <v>6398</v>
      </c>
      <c r="F3917" s="4" t="s">
        <v>8189</v>
      </c>
    </row>
    <row r="3918" spans="1:6">
      <c r="A3918" s="4" t="s">
        <v>8190</v>
      </c>
      <c r="B3918" s="6" t="s">
        <v>8191</v>
      </c>
      <c r="C3918" s="4" t="s">
        <v>1335</v>
      </c>
      <c r="D3918" s="4">
        <v>5</v>
      </c>
      <c r="E3918" s="4" t="s">
        <v>1004</v>
      </c>
      <c r="F3918" s="4" t="s">
        <v>8192</v>
      </c>
    </row>
    <row r="3919" spans="1:6">
      <c r="A3919" s="4" t="s">
        <v>8193</v>
      </c>
      <c r="B3919" s="6" t="s">
        <v>8191</v>
      </c>
      <c r="C3919" s="4" t="s">
        <v>87</v>
      </c>
      <c r="D3919" s="4">
        <v>8</v>
      </c>
      <c r="E3919" s="4" t="s">
        <v>1004</v>
      </c>
    </row>
    <row r="3920" spans="1:6">
      <c r="A3920" s="4" t="s">
        <v>8194</v>
      </c>
      <c r="B3920" s="6" t="s">
        <v>8191</v>
      </c>
      <c r="C3920" s="4" t="s">
        <v>1262</v>
      </c>
      <c r="D3920" s="4">
        <v>9</v>
      </c>
      <c r="E3920" s="4" t="s">
        <v>1004</v>
      </c>
    </row>
    <row r="3921" spans="1:6">
      <c r="A3921" s="4" t="s">
        <v>8195</v>
      </c>
      <c r="B3921" s="6" t="s">
        <v>8196</v>
      </c>
      <c r="C3921" s="4" t="s">
        <v>53</v>
      </c>
      <c r="D3921" s="4">
        <v>8</v>
      </c>
      <c r="E3921" s="4" t="s">
        <v>1069</v>
      </c>
      <c r="F3921" s="4" t="s">
        <v>8197</v>
      </c>
    </row>
    <row r="3922" spans="1:6">
      <c r="A3922" s="4" t="s">
        <v>8198</v>
      </c>
      <c r="B3922" s="6" t="s">
        <v>8196</v>
      </c>
      <c r="C3922" s="4" t="s">
        <v>53</v>
      </c>
      <c r="D3922" s="4">
        <v>8</v>
      </c>
      <c r="E3922" s="4" t="s">
        <v>1069</v>
      </c>
      <c r="F3922" s="4" t="s">
        <v>8197</v>
      </c>
    </row>
    <row r="3923" spans="1:6">
      <c r="A3923" s="4" t="s">
        <v>8199</v>
      </c>
      <c r="B3923" s="6" t="s">
        <v>8200</v>
      </c>
      <c r="C3923" s="4" t="s">
        <v>351</v>
      </c>
      <c r="D3923" s="4">
        <v>10</v>
      </c>
      <c r="E3923" s="4" t="s">
        <v>8201</v>
      </c>
      <c r="F3923" s="4" t="s">
        <v>8202</v>
      </c>
    </row>
    <row r="3924" spans="1:6">
      <c r="A3924" s="4" t="s">
        <v>8203</v>
      </c>
      <c r="B3924" s="6" t="s">
        <v>8200</v>
      </c>
      <c r="C3924" s="4" t="s">
        <v>351</v>
      </c>
      <c r="D3924" s="4">
        <v>11</v>
      </c>
      <c r="E3924" s="4" t="s">
        <v>8201</v>
      </c>
      <c r="F3924" s="4" t="s">
        <v>8202</v>
      </c>
    </row>
    <row r="3925" spans="1:6">
      <c r="A3925" s="4" t="s">
        <v>8204</v>
      </c>
      <c r="B3925" s="6" t="s">
        <v>8200</v>
      </c>
      <c r="C3925" s="4" t="s">
        <v>1756</v>
      </c>
      <c r="D3925" s="4">
        <v>16</v>
      </c>
      <c r="E3925" s="4" t="s">
        <v>6193</v>
      </c>
      <c r="F3925" s="4" t="s">
        <v>8205</v>
      </c>
    </row>
    <row r="3926" spans="1:6">
      <c r="A3926" s="4" t="s">
        <v>8206</v>
      </c>
      <c r="B3926" s="6" t="s">
        <v>8200</v>
      </c>
      <c r="C3926" s="4" t="s">
        <v>254</v>
      </c>
      <c r="D3926" s="4">
        <v>4</v>
      </c>
      <c r="E3926" s="4" t="s">
        <v>1019</v>
      </c>
    </row>
    <row r="3927" spans="1:6">
      <c r="A3927" s="4" t="s">
        <v>8207</v>
      </c>
      <c r="B3927" s="6" t="s">
        <v>8208</v>
      </c>
      <c r="C3927" s="4" t="s">
        <v>19</v>
      </c>
      <c r="D3927" s="4">
        <v>12</v>
      </c>
      <c r="E3927" s="4" t="s">
        <v>5321</v>
      </c>
      <c r="F3927" s="4" t="s">
        <v>8202</v>
      </c>
    </row>
    <row r="3928" spans="1:6">
      <c r="A3928" s="4" t="s">
        <v>8209</v>
      </c>
      <c r="B3928" s="6" t="s">
        <v>8210</v>
      </c>
      <c r="C3928" s="4" t="s">
        <v>19</v>
      </c>
      <c r="D3928" s="4">
        <v>12</v>
      </c>
      <c r="E3928" s="4" t="s">
        <v>5321</v>
      </c>
      <c r="F3928" s="4" t="s">
        <v>8202</v>
      </c>
    </row>
    <row r="3929" spans="1:6">
      <c r="A3929" s="4" t="s">
        <v>8211</v>
      </c>
      <c r="B3929" s="6" t="s">
        <v>8212</v>
      </c>
      <c r="C3929" s="4" t="s">
        <v>81</v>
      </c>
      <c r="D3929" s="4">
        <v>10</v>
      </c>
      <c r="E3929" s="4" t="s">
        <v>1069</v>
      </c>
    </row>
    <row r="3930" spans="1:6">
      <c r="A3930" s="4" t="s">
        <v>8213</v>
      </c>
      <c r="B3930" s="6" t="s">
        <v>8212</v>
      </c>
      <c r="C3930" s="4" t="s">
        <v>81</v>
      </c>
      <c r="D3930" s="4">
        <v>15</v>
      </c>
      <c r="E3930" s="4" t="s">
        <v>1069</v>
      </c>
    </row>
    <row r="3931" spans="1:6">
      <c r="A3931" s="4" t="s">
        <v>8214</v>
      </c>
      <c r="B3931" s="6" t="s">
        <v>8215</v>
      </c>
      <c r="C3931" s="4" t="s">
        <v>1359</v>
      </c>
      <c r="D3931" s="4">
        <v>19</v>
      </c>
      <c r="E3931" s="4" t="s">
        <v>5321</v>
      </c>
    </row>
    <row r="3932" spans="1:6">
      <c r="A3932" s="4" t="s">
        <v>8216</v>
      </c>
      <c r="B3932" s="6" t="s">
        <v>8217</v>
      </c>
      <c r="C3932" s="4" t="s">
        <v>223</v>
      </c>
      <c r="D3932" s="4">
        <v>10</v>
      </c>
      <c r="E3932" s="4" t="s">
        <v>1004</v>
      </c>
      <c r="F3932" s="4" t="s">
        <v>8218</v>
      </c>
    </row>
    <row r="3933" spans="1:6">
      <c r="A3933" s="4" t="s">
        <v>8219</v>
      </c>
      <c r="B3933" s="6" t="s">
        <v>8217</v>
      </c>
      <c r="C3933" s="4" t="s">
        <v>1282</v>
      </c>
      <c r="D3933" s="4">
        <v>14</v>
      </c>
      <c r="E3933" s="4" t="s">
        <v>1004</v>
      </c>
    </row>
    <row r="3934" spans="1:6">
      <c r="A3934" s="4" t="s">
        <v>8220</v>
      </c>
      <c r="B3934" s="6" t="s">
        <v>8221</v>
      </c>
      <c r="C3934" s="4" t="s">
        <v>301</v>
      </c>
      <c r="D3934" s="4">
        <v>13</v>
      </c>
      <c r="E3934" s="4" t="s">
        <v>6738</v>
      </c>
      <c r="F3934" s="4" t="s">
        <v>8222</v>
      </c>
    </row>
    <row r="3935" spans="1:6">
      <c r="A3935" s="4" t="s">
        <v>8223</v>
      </c>
      <c r="B3935" s="6" t="s">
        <v>8221</v>
      </c>
      <c r="C3935" s="4" t="s">
        <v>254</v>
      </c>
      <c r="D3935" s="4">
        <v>9</v>
      </c>
      <c r="E3935" s="4" t="s">
        <v>6738</v>
      </c>
    </row>
    <row r="3936" spans="1:6">
      <c r="A3936" s="4" t="s">
        <v>8224</v>
      </c>
      <c r="B3936" s="6" t="s">
        <v>8225</v>
      </c>
      <c r="C3936" s="4" t="s">
        <v>37</v>
      </c>
      <c r="D3936" s="4">
        <v>11</v>
      </c>
      <c r="E3936" s="4" t="s">
        <v>1069</v>
      </c>
    </row>
    <row r="3937" spans="1:6">
      <c r="A3937" s="4" t="s">
        <v>8226</v>
      </c>
      <c r="B3937" s="6" t="s">
        <v>8225</v>
      </c>
      <c r="C3937" s="4" t="s">
        <v>221</v>
      </c>
      <c r="D3937" s="4">
        <v>13</v>
      </c>
      <c r="E3937" s="4" t="s">
        <v>1069</v>
      </c>
    </row>
    <row r="3938" spans="1:6">
      <c r="A3938" s="4" t="s">
        <v>8227</v>
      </c>
      <c r="B3938" s="6" t="s">
        <v>8225</v>
      </c>
      <c r="C3938" s="4" t="s">
        <v>37</v>
      </c>
      <c r="D3938" s="4">
        <v>14</v>
      </c>
      <c r="E3938" s="4" t="s">
        <v>8228</v>
      </c>
      <c r="F3938" s="4" t="s">
        <v>8229</v>
      </c>
    </row>
    <row r="3939" spans="1:6">
      <c r="A3939" s="4" t="s">
        <v>8230</v>
      </c>
      <c r="B3939" s="6" t="s">
        <v>8231</v>
      </c>
      <c r="C3939" s="4" t="s">
        <v>354</v>
      </c>
      <c r="D3939" s="4">
        <v>15</v>
      </c>
      <c r="E3939" s="4" t="s">
        <v>6398</v>
      </c>
    </row>
    <row r="3940" spans="1:6">
      <c r="A3940" s="4" t="s">
        <v>8232</v>
      </c>
      <c r="B3940" s="6" t="s">
        <v>8231</v>
      </c>
      <c r="C3940" s="4" t="s">
        <v>81</v>
      </c>
      <c r="D3940" s="4">
        <v>11</v>
      </c>
      <c r="E3940" s="4" t="s">
        <v>6398</v>
      </c>
    </row>
    <row r="3941" spans="1:6">
      <c r="A3941" s="4" t="s">
        <v>8233</v>
      </c>
      <c r="B3941" s="6" t="s">
        <v>8231</v>
      </c>
      <c r="C3941" s="4" t="s">
        <v>76</v>
      </c>
      <c r="D3941" s="4">
        <v>13</v>
      </c>
      <c r="E3941" s="4" t="s">
        <v>6398</v>
      </c>
    </row>
    <row r="3942" spans="1:6">
      <c r="A3942" s="4" t="s">
        <v>8234</v>
      </c>
      <c r="B3942" s="6" t="s">
        <v>8235</v>
      </c>
      <c r="C3942" s="4" t="s">
        <v>87</v>
      </c>
      <c r="D3942" s="4">
        <v>12</v>
      </c>
      <c r="E3942" s="4" t="s">
        <v>5513</v>
      </c>
    </row>
    <row r="3943" spans="1:6">
      <c r="A3943" s="4" t="s">
        <v>8236</v>
      </c>
      <c r="B3943" s="6" t="s">
        <v>8235</v>
      </c>
      <c r="C3943" s="4" t="s">
        <v>81</v>
      </c>
      <c r="D3943" s="4">
        <v>9</v>
      </c>
      <c r="E3943" s="4" t="s">
        <v>1047</v>
      </c>
      <c r="F3943" s="4" t="s">
        <v>8237</v>
      </c>
    </row>
    <row r="3944" spans="1:6">
      <c r="A3944" s="4" t="s">
        <v>8238</v>
      </c>
      <c r="B3944" s="6" t="s">
        <v>8235</v>
      </c>
      <c r="C3944" s="4" t="s">
        <v>458</v>
      </c>
      <c r="D3944" s="4">
        <v>7</v>
      </c>
      <c r="E3944" s="4" t="s">
        <v>1047</v>
      </c>
      <c r="F3944" s="4" t="s">
        <v>8239</v>
      </c>
    </row>
    <row r="3945" spans="1:6">
      <c r="A3945" s="4" t="s">
        <v>8240</v>
      </c>
      <c r="B3945" s="6" t="s">
        <v>8235</v>
      </c>
      <c r="C3945" s="4" t="s">
        <v>453</v>
      </c>
      <c r="D3945" s="4">
        <v>13</v>
      </c>
      <c r="E3945" s="4" t="s">
        <v>1047</v>
      </c>
    </row>
    <row r="3946" spans="1:6">
      <c r="A3946" s="4" t="s">
        <v>8241</v>
      </c>
      <c r="B3946" s="6" t="s">
        <v>8235</v>
      </c>
      <c r="C3946" s="4" t="s">
        <v>14</v>
      </c>
      <c r="D3946" s="4">
        <v>9</v>
      </c>
      <c r="E3946" s="4" t="s">
        <v>1047</v>
      </c>
      <c r="F3946" s="4" t="s">
        <v>8242</v>
      </c>
    </row>
    <row r="3947" spans="1:6">
      <c r="A3947" s="4" t="s">
        <v>8243</v>
      </c>
      <c r="B3947" s="6" t="s">
        <v>8235</v>
      </c>
      <c r="C3947" s="4" t="s">
        <v>81</v>
      </c>
      <c r="D3947" s="4">
        <v>10</v>
      </c>
      <c r="E3947" s="4" t="s">
        <v>1047</v>
      </c>
    </row>
    <row r="3948" spans="1:6">
      <c r="A3948" s="4" t="s">
        <v>8244</v>
      </c>
      <c r="B3948" s="6" t="s">
        <v>8235</v>
      </c>
      <c r="C3948" s="4" t="s">
        <v>876</v>
      </c>
      <c r="D3948" s="4">
        <v>12</v>
      </c>
      <c r="E3948" s="4" t="s">
        <v>1047</v>
      </c>
      <c r="F3948" s="4" t="s">
        <v>6489</v>
      </c>
    </row>
    <row r="3949" spans="1:6">
      <c r="A3949" s="4" t="s">
        <v>8245</v>
      </c>
      <c r="B3949" s="6" t="s">
        <v>8235</v>
      </c>
      <c r="C3949" s="4" t="s">
        <v>3020</v>
      </c>
      <c r="D3949" s="4">
        <v>16</v>
      </c>
      <c r="E3949" s="4" t="s">
        <v>1047</v>
      </c>
      <c r="F3949" s="4" t="s">
        <v>8246</v>
      </c>
    </row>
    <row r="3950" spans="1:6">
      <c r="A3950" s="4" t="s">
        <v>8247</v>
      </c>
      <c r="B3950" s="6" t="s">
        <v>8235</v>
      </c>
      <c r="C3950" s="4" t="s">
        <v>41</v>
      </c>
      <c r="D3950" s="4">
        <v>15</v>
      </c>
      <c r="E3950" s="4" t="s">
        <v>1047</v>
      </c>
    </row>
    <row r="3951" spans="1:6">
      <c r="A3951" s="4" t="s">
        <v>8248</v>
      </c>
      <c r="B3951" s="6" t="s">
        <v>8235</v>
      </c>
      <c r="C3951" s="4" t="s">
        <v>254</v>
      </c>
      <c r="D3951" s="4">
        <v>11</v>
      </c>
      <c r="E3951" s="4" t="s">
        <v>6246</v>
      </c>
      <c r="F3951" s="4" t="s">
        <v>5247</v>
      </c>
    </row>
    <row r="3952" spans="1:6">
      <c r="A3952" s="4" t="s">
        <v>8249</v>
      </c>
      <c r="B3952" s="6" t="s">
        <v>8235</v>
      </c>
      <c r="C3952" s="4" t="s">
        <v>708</v>
      </c>
      <c r="D3952" s="4">
        <v>7</v>
      </c>
      <c r="E3952" s="4" t="s">
        <v>1047</v>
      </c>
    </row>
    <row r="3953" spans="1:6">
      <c r="A3953" s="4" t="s">
        <v>8250</v>
      </c>
      <c r="B3953" s="6" t="s">
        <v>8251</v>
      </c>
      <c r="C3953" s="4" t="s">
        <v>23</v>
      </c>
      <c r="D3953" s="4">
        <v>5</v>
      </c>
      <c r="E3953" s="4" t="s">
        <v>1047</v>
      </c>
      <c r="F3953" s="4" t="s">
        <v>8252</v>
      </c>
    </row>
    <row r="3954" spans="1:6">
      <c r="A3954" s="4" t="s">
        <v>8907</v>
      </c>
      <c r="B3954" s="6" t="s">
        <v>8254</v>
      </c>
      <c r="C3954" s="24" t="s">
        <v>8909</v>
      </c>
      <c r="D3954" s="4">
        <v>17</v>
      </c>
      <c r="E3954" s="24" t="s">
        <v>8908</v>
      </c>
    </row>
    <row r="3955" spans="1:6">
      <c r="A3955" s="4" t="s">
        <v>8253</v>
      </c>
      <c r="B3955" s="6" t="s">
        <v>8254</v>
      </c>
    </row>
    <row r="3956" spans="1:6">
      <c r="A3956" s="4" t="s">
        <v>8255</v>
      </c>
      <c r="B3956" s="6" t="s">
        <v>8254</v>
      </c>
      <c r="C3956" s="4" t="s">
        <v>870</v>
      </c>
      <c r="D3956" s="4">
        <v>12</v>
      </c>
      <c r="E3956" s="4" t="s">
        <v>1157</v>
      </c>
      <c r="F3956" s="4" t="s">
        <v>8256</v>
      </c>
    </row>
    <row r="3957" spans="1:6">
      <c r="A3957" s="4" t="s">
        <v>8257</v>
      </c>
      <c r="B3957" s="6" t="s">
        <v>8254</v>
      </c>
      <c r="C3957" s="4" t="s">
        <v>87</v>
      </c>
      <c r="D3957" s="4">
        <v>15</v>
      </c>
      <c r="E3957" s="4" t="s">
        <v>1069</v>
      </c>
    </row>
    <row r="3958" spans="1:6">
      <c r="A3958" s="4" t="s">
        <v>8258</v>
      </c>
      <c r="B3958" s="6" t="s">
        <v>8259</v>
      </c>
      <c r="C3958" s="4" t="s">
        <v>403</v>
      </c>
      <c r="D3958" s="4">
        <v>15</v>
      </c>
      <c r="E3958" s="4" t="s">
        <v>6198</v>
      </c>
      <c r="F3958" s="4" t="s">
        <v>2702</v>
      </c>
    </row>
    <row r="3959" spans="1:6">
      <c r="A3959" s="4" t="s">
        <v>8260</v>
      </c>
      <c r="B3959" s="6" t="s">
        <v>8261</v>
      </c>
      <c r="C3959" s="4" t="s">
        <v>995</v>
      </c>
      <c r="D3959" s="4">
        <v>9</v>
      </c>
      <c r="E3959" s="4" t="s">
        <v>6198</v>
      </c>
      <c r="F3959" s="4" t="s">
        <v>3916</v>
      </c>
    </row>
    <row r="3960" spans="1:6">
      <c r="A3960" s="4" t="s">
        <v>8262</v>
      </c>
      <c r="B3960" s="6" t="s">
        <v>8261</v>
      </c>
      <c r="C3960" s="4" t="s">
        <v>1180</v>
      </c>
      <c r="D3960" s="4">
        <v>11</v>
      </c>
      <c r="E3960" s="4" t="s">
        <v>1069</v>
      </c>
    </row>
    <row r="3961" spans="1:6">
      <c r="A3961" s="4" t="s">
        <v>8263</v>
      </c>
      <c r="B3961" s="6" t="s">
        <v>8264</v>
      </c>
      <c r="C3961" s="4" t="s">
        <v>6878</v>
      </c>
      <c r="D3961" s="4">
        <v>17</v>
      </c>
      <c r="E3961" s="4" t="s">
        <v>1263</v>
      </c>
    </row>
    <row r="3962" spans="1:6">
      <c r="A3962" s="4" t="s">
        <v>8265</v>
      </c>
      <c r="B3962" s="6" t="s">
        <v>8264</v>
      </c>
      <c r="C3962" s="4" t="s">
        <v>271</v>
      </c>
      <c r="D3962" s="4">
        <v>9</v>
      </c>
      <c r="E3962" s="4" t="s">
        <v>6208</v>
      </c>
      <c r="F3962" s="4" t="s">
        <v>8266</v>
      </c>
    </row>
    <row r="3963" spans="1:6">
      <c r="A3963" s="4" t="s">
        <v>8267</v>
      </c>
      <c r="B3963" s="6" t="s">
        <v>8264</v>
      </c>
      <c r="C3963" s="4" t="s">
        <v>1106</v>
      </c>
      <c r="D3963" s="4">
        <v>11</v>
      </c>
      <c r="E3963" s="4" t="s">
        <v>8268</v>
      </c>
      <c r="F3963" s="4" t="s">
        <v>8269</v>
      </c>
    </row>
    <row r="3964" spans="1:6">
      <c r="A3964" s="4" t="s">
        <v>8270</v>
      </c>
      <c r="B3964" s="6" t="s">
        <v>8264</v>
      </c>
      <c r="C3964" s="4" t="s">
        <v>23</v>
      </c>
      <c r="D3964" s="4">
        <v>21</v>
      </c>
      <c r="E3964" s="4" t="s">
        <v>1263</v>
      </c>
    </row>
    <row r="3965" spans="1:6">
      <c r="A3965" s="4" t="s">
        <v>8271</v>
      </c>
      <c r="B3965" s="6" t="s">
        <v>8272</v>
      </c>
      <c r="C3965" s="4" t="s">
        <v>1180</v>
      </c>
      <c r="D3965" s="4">
        <v>10</v>
      </c>
      <c r="E3965" s="4" t="s">
        <v>1069</v>
      </c>
      <c r="F3965" s="4" t="s">
        <v>8273</v>
      </c>
    </row>
    <row r="3966" spans="1:6">
      <c r="A3966" s="4" t="s">
        <v>8274</v>
      </c>
      <c r="B3966" s="6" t="s">
        <v>8275</v>
      </c>
      <c r="C3966" s="4" t="s">
        <v>461</v>
      </c>
      <c r="D3966" s="4">
        <v>10</v>
      </c>
      <c r="E3966" s="4" t="s">
        <v>1069</v>
      </c>
    </row>
    <row r="3967" spans="1:6">
      <c r="A3967" s="4" t="s">
        <v>8276</v>
      </c>
      <c r="B3967" s="6" t="s">
        <v>8275</v>
      </c>
      <c r="C3967" s="4" t="s">
        <v>37</v>
      </c>
      <c r="D3967" s="4">
        <v>13</v>
      </c>
      <c r="E3967" s="4" t="s">
        <v>1069</v>
      </c>
      <c r="F3967" s="4" t="s">
        <v>8277</v>
      </c>
    </row>
    <row r="3968" spans="1:6">
      <c r="A3968" s="4" t="s">
        <v>8278</v>
      </c>
      <c r="B3968" s="6" t="s">
        <v>8275</v>
      </c>
      <c r="C3968" s="4" t="s">
        <v>1679</v>
      </c>
      <c r="D3968" s="4">
        <v>12</v>
      </c>
      <c r="E3968" s="4" t="s">
        <v>1069</v>
      </c>
      <c r="F3968" s="4" t="s">
        <v>2419</v>
      </c>
    </row>
    <row r="3969" spans="1:6">
      <c r="A3969" s="4" t="s">
        <v>8279</v>
      </c>
      <c r="B3969" s="6" t="s">
        <v>8275</v>
      </c>
      <c r="C3969" s="4" t="s">
        <v>53</v>
      </c>
      <c r="D3969" s="4">
        <v>17</v>
      </c>
      <c r="E3969" s="4" t="s">
        <v>1069</v>
      </c>
    </row>
    <row r="3970" spans="1:6">
      <c r="A3970" s="4" t="s">
        <v>8280</v>
      </c>
      <c r="B3970" s="6" t="s">
        <v>8275</v>
      </c>
      <c r="C3970" s="4" t="s">
        <v>27</v>
      </c>
      <c r="D3970" s="4">
        <v>16</v>
      </c>
      <c r="E3970" s="4" t="s">
        <v>1069</v>
      </c>
    </row>
    <row r="3971" spans="1:6">
      <c r="A3971" s="4" t="s">
        <v>8281</v>
      </c>
      <c r="B3971" s="6" t="s">
        <v>8275</v>
      </c>
      <c r="C3971" s="4" t="s">
        <v>41</v>
      </c>
      <c r="D3971" s="4">
        <v>9</v>
      </c>
      <c r="E3971" s="4" t="s">
        <v>1069</v>
      </c>
    </row>
    <row r="3972" spans="1:6">
      <c r="A3972" s="4" t="s">
        <v>8282</v>
      </c>
      <c r="B3972" s="6" t="s">
        <v>8283</v>
      </c>
      <c r="C3972" s="4" t="s">
        <v>49</v>
      </c>
      <c r="D3972" s="4">
        <v>16</v>
      </c>
      <c r="E3972" s="4" t="s">
        <v>8284</v>
      </c>
    </row>
    <row r="3973" spans="1:6">
      <c r="A3973" s="4" t="s">
        <v>8285</v>
      </c>
      <c r="B3973" s="6" t="s">
        <v>8286</v>
      </c>
      <c r="C3973" s="4" t="s">
        <v>121</v>
      </c>
      <c r="D3973" s="4">
        <v>13</v>
      </c>
      <c r="E3973" s="4" t="s">
        <v>1069</v>
      </c>
      <c r="F3973" s="4" t="s">
        <v>3701</v>
      </c>
    </row>
    <row r="3974" spans="1:6">
      <c r="A3974" s="4" t="s">
        <v>8287</v>
      </c>
      <c r="B3974" s="6" t="s">
        <v>8286</v>
      </c>
      <c r="C3974" s="4" t="s">
        <v>81</v>
      </c>
      <c r="D3974" s="4">
        <v>13</v>
      </c>
      <c r="E3974" s="4" t="s">
        <v>6193</v>
      </c>
      <c r="F3974" s="4" t="s">
        <v>8237</v>
      </c>
    </row>
    <row r="3975" spans="1:6">
      <c r="A3975" s="4" t="s">
        <v>8288</v>
      </c>
      <c r="B3975" s="6" t="s">
        <v>8286</v>
      </c>
      <c r="C3975" s="4" t="s">
        <v>121</v>
      </c>
      <c r="D3975" s="4">
        <v>14</v>
      </c>
      <c r="E3975" s="4" t="s">
        <v>1069</v>
      </c>
      <c r="F3975" s="4" t="s">
        <v>3701</v>
      </c>
    </row>
    <row r="3976" spans="1:6">
      <c r="A3976" s="4" t="s">
        <v>8289</v>
      </c>
      <c r="B3976" s="6" t="s">
        <v>8290</v>
      </c>
      <c r="C3976" s="4" t="s">
        <v>2393</v>
      </c>
      <c r="D3976" s="4">
        <v>12</v>
      </c>
      <c r="E3976" s="4" t="s">
        <v>8291</v>
      </c>
    </row>
    <row r="3977" spans="1:6">
      <c r="A3977" s="4" t="s">
        <v>8292</v>
      </c>
      <c r="B3977" s="6" t="s">
        <v>8290</v>
      </c>
      <c r="C3977" s="4" t="s">
        <v>254</v>
      </c>
      <c r="D3977" s="4">
        <v>14</v>
      </c>
      <c r="E3977" s="4" t="s">
        <v>8293</v>
      </c>
    </row>
    <row r="3978" spans="1:6">
      <c r="A3978" s="4" t="s">
        <v>8294</v>
      </c>
      <c r="B3978" s="6" t="s">
        <v>8290</v>
      </c>
      <c r="C3978" s="4" t="s">
        <v>2818</v>
      </c>
      <c r="D3978" s="4">
        <v>7</v>
      </c>
      <c r="E3978" s="4" t="s">
        <v>1069</v>
      </c>
      <c r="F3978" s="4" t="s">
        <v>1324</v>
      </c>
    </row>
    <row r="3979" spans="1:6">
      <c r="A3979" s="4" t="s">
        <v>8295</v>
      </c>
      <c r="B3979" s="6" t="s">
        <v>8290</v>
      </c>
      <c r="C3979" s="4" t="s">
        <v>53</v>
      </c>
      <c r="D3979" s="4">
        <v>16</v>
      </c>
      <c r="E3979" s="4" t="s">
        <v>1069</v>
      </c>
      <c r="F3979" s="4" t="s">
        <v>8296</v>
      </c>
    </row>
    <row r="3980" spans="1:6">
      <c r="A3980" s="4" t="s">
        <v>8297</v>
      </c>
      <c r="B3980" s="6" t="s">
        <v>8298</v>
      </c>
      <c r="C3980" s="4" t="s">
        <v>34</v>
      </c>
      <c r="D3980" s="4">
        <v>11</v>
      </c>
      <c r="E3980" s="4" t="s">
        <v>6193</v>
      </c>
    </row>
    <row r="3981" spans="1:6">
      <c r="A3981" s="4" t="s">
        <v>8299</v>
      </c>
      <c r="B3981" s="6" t="s">
        <v>8300</v>
      </c>
      <c r="C3981" s="4" t="s">
        <v>453</v>
      </c>
      <c r="D3981" s="4">
        <v>15</v>
      </c>
      <c r="E3981" s="4" t="s">
        <v>1047</v>
      </c>
      <c r="F3981" s="4" t="s">
        <v>8301</v>
      </c>
    </row>
    <row r="3982" spans="1:6">
      <c r="A3982" s="4" t="s">
        <v>8302</v>
      </c>
      <c r="B3982" s="6" t="s">
        <v>8300</v>
      </c>
      <c r="C3982" s="4" t="s">
        <v>1335</v>
      </c>
      <c r="D3982" s="4">
        <v>5</v>
      </c>
      <c r="E3982" s="4" t="s">
        <v>1047</v>
      </c>
      <c r="F3982" s="4" t="s">
        <v>8303</v>
      </c>
    </row>
    <row r="3983" spans="1:6">
      <c r="A3983" s="4" t="s">
        <v>8304</v>
      </c>
      <c r="B3983" s="6" t="s">
        <v>8300</v>
      </c>
      <c r="C3983" s="4" t="s">
        <v>87</v>
      </c>
      <c r="D3983" s="4">
        <v>8</v>
      </c>
      <c r="E3983" s="4" t="s">
        <v>1047</v>
      </c>
    </row>
    <row r="3984" spans="1:6">
      <c r="A3984" s="4" t="s">
        <v>8305</v>
      </c>
      <c r="B3984" s="6" t="s">
        <v>8306</v>
      </c>
      <c r="C3984" s="4" t="s">
        <v>81</v>
      </c>
      <c r="D3984" s="4">
        <v>10</v>
      </c>
      <c r="E3984" s="4" t="s">
        <v>7876</v>
      </c>
      <c r="F3984" s="4" t="s">
        <v>8187</v>
      </c>
    </row>
    <row r="3985" spans="1:6">
      <c r="A3985" s="4" t="s">
        <v>8307</v>
      </c>
      <c r="B3985" s="6" t="s">
        <v>8306</v>
      </c>
      <c r="C3985" s="4" t="s">
        <v>173</v>
      </c>
      <c r="D3985" s="4">
        <v>7</v>
      </c>
      <c r="E3985" s="4" t="s">
        <v>6723</v>
      </c>
      <c r="F3985" s="4" t="s">
        <v>8308</v>
      </c>
    </row>
    <row r="3986" spans="1:6">
      <c r="A3986" s="4" t="s">
        <v>8309</v>
      </c>
      <c r="B3986" s="6" t="s">
        <v>8306</v>
      </c>
      <c r="C3986" s="4" t="s">
        <v>23</v>
      </c>
      <c r="D3986" s="4">
        <v>12</v>
      </c>
      <c r="E3986" s="4" t="s">
        <v>7876</v>
      </c>
    </row>
    <row r="3987" spans="1:6">
      <c r="A3987" s="4" t="s">
        <v>8310</v>
      </c>
      <c r="B3987" s="6" t="s">
        <v>8311</v>
      </c>
      <c r="C3987" s="4" t="s">
        <v>485</v>
      </c>
      <c r="D3987" s="4">
        <v>14</v>
      </c>
      <c r="E3987" s="4" t="s">
        <v>5513</v>
      </c>
    </row>
    <row r="3988" spans="1:6">
      <c r="A3988" s="4" t="s">
        <v>8312</v>
      </c>
      <c r="B3988" s="6" t="s">
        <v>8311</v>
      </c>
      <c r="C3988" s="4" t="s">
        <v>554</v>
      </c>
      <c r="D3988" s="4">
        <v>13</v>
      </c>
      <c r="E3988" s="4" t="s">
        <v>7112</v>
      </c>
      <c r="F3988" s="4" t="s">
        <v>8313</v>
      </c>
    </row>
    <row r="3989" spans="1:6">
      <c r="A3989" s="4" t="s">
        <v>8314</v>
      </c>
      <c r="B3989" s="6" t="s">
        <v>8311</v>
      </c>
      <c r="C3989" s="4" t="s">
        <v>37</v>
      </c>
      <c r="D3989" s="4">
        <v>12</v>
      </c>
      <c r="E3989" s="4" t="s">
        <v>1047</v>
      </c>
      <c r="F3989" s="4" t="s">
        <v>8315</v>
      </c>
    </row>
    <row r="3990" spans="1:6">
      <c r="A3990" s="4" t="s">
        <v>8316</v>
      </c>
      <c r="B3990" s="6" t="s">
        <v>8311</v>
      </c>
      <c r="C3990" s="4" t="s">
        <v>81</v>
      </c>
      <c r="D3990" s="4">
        <v>13</v>
      </c>
      <c r="E3990" s="4" t="s">
        <v>5513</v>
      </c>
      <c r="F3990" s="4" t="s">
        <v>8317</v>
      </c>
    </row>
    <row r="3991" spans="1:6">
      <c r="A3991" s="4" t="s">
        <v>8318</v>
      </c>
      <c r="B3991" s="6" t="s">
        <v>8311</v>
      </c>
      <c r="C3991" s="4" t="s">
        <v>351</v>
      </c>
      <c r="D3991" s="4">
        <v>10</v>
      </c>
      <c r="E3991" s="4" t="s">
        <v>7375</v>
      </c>
      <c r="F3991" s="4" t="s">
        <v>8319</v>
      </c>
    </row>
    <row r="3992" spans="1:6">
      <c r="A3992" s="4" t="s">
        <v>8320</v>
      </c>
      <c r="B3992" s="6" t="s">
        <v>8311</v>
      </c>
      <c r="C3992" s="4" t="s">
        <v>708</v>
      </c>
      <c r="D3992" s="4">
        <v>12</v>
      </c>
      <c r="E3992" s="4" t="s">
        <v>7112</v>
      </c>
    </row>
    <row r="3993" spans="1:6">
      <c r="A3993" s="4" t="s">
        <v>8321</v>
      </c>
      <c r="B3993" s="6" t="s">
        <v>8311</v>
      </c>
      <c r="C3993" s="4" t="s">
        <v>461</v>
      </c>
      <c r="D3993" s="4">
        <v>10</v>
      </c>
      <c r="E3993" s="4" t="s">
        <v>1047</v>
      </c>
      <c r="F3993" s="4" t="s">
        <v>8322</v>
      </c>
    </row>
    <row r="3994" spans="1:6">
      <c r="A3994" s="4" t="s">
        <v>8323</v>
      </c>
      <c r="B3994" s="6" t="s">
        <v>8324</v>
      </c>
      <c r="C3994" s="4" t="s">
        <v>301</v>
      </c>
      <c r="D3994" s="4">
        <v>12</v>
      </c>
      <c r="E3994" s="4" t="s">
        <v>1047</v>
      </c>
      <c r="F3994" s="4" t="s">
        <v>8325</v>
      </c>
    </row>
    <row r="3995" spans="1:6">
      <c r="A3995" s="4" t="s">
        <v>8326</v>
      </c>
      <c r="B3995" s="6" t="s">
        <v>8324</v>
      </c>
      <c r="C3995" s="4" t="s">
        <v>544</v>
      </c>
      <c r="D3995" s="4">
        <v>6</v>
      </c>
      <c r="E3995" s="4" t="s">
        <v>1047</v>
      </c>
      <c r="F3995" s="4" t="s">
        <v>8327</v>
      </c>
    </row>
    <row r="3996" spans="1:6">
      <c r="A3996" s="4" t="s">
        <v>8328</v>
      </c>
      <c r="B3996" s="6" t="s">
        <v>8324</v>
      </c>
      <c r="C3996" s="4" t="s">
        <v>275</v>
      </c>
      <c r="D3996" s="4">
        <v>5</v>
      </c>
      <c r="F3996" s="4" t="s">
        <v>8329</v>
      </c>
    </row>
    <row r="3997" spans="1:6">
      <c r="A3997" s="4" t="s">
        <v>8330</v>
      </c>
      <c r="B3997" s="6" t="s">
        <v>8324</v>
      </c>
      <c r="C3997" s="4" t="s">
        <v>53</v>
      </c>
      <c r="D3997" s="4">
        <v>11</v>
      </c>
      <c r="E3997" s="4" t="s">
        <v>1047</v>
      </c>
      <c r="F3997" s="4" t="s">
        <v>8331</v>
      </c>
    </row>
    <row r="3998" spans="1:6">
      <c r="A3998" s="4" t="s">
        <v>708</v>
      </c>
      <c r="B3998" s="6" t="s">
        <v>8332</v>
      </c>
      <c r="C3998" s="4" t="s">
        <v>708</v>
      </c>
      <c r="D3998" s="4">
        <v>3</v>
      </c>
      <c r="E3998" s="4" t="s">
        <v>1047</v>
      </c>
      <c r="F3998" s="4" t="s">
        <v>8333</v>
      </c>
    </row>
    <row r="3999" spans="1:6">
      <c r="A3999" s="4" t="s">
        <v>8334</v>
      </c>
      <c r="B3999" s="6" t="s">
        <v>8335</v>
      </c>
      <c r="C3999" s="4" t="s">
        <v>1262</v>
      </c>
      <c r="D3999" s="4">
        <v>10</v>
      </c>
      <c r="E3999" s="4" t="s">
        <v>1157</v>
      </c>
      <c r="F3999" s="4" t="s">
        <v>8336</v>
      </c>
    </row>
    <row r="4000" spans="1:6">
      <c r="A4000" s="4" t="s">
        <v>8337</v>
      </c>
      <c r="B4000" s="6" t="s">
        <v>8338</v>
      </c>
      <c r="C4000" s="4" t="s">
        <v>301</v>
      </c>
      <c r="D4000" s="4">
        <v>14</v>
      </c>
      <c r="E4000" s="4" t="s">
        <v>8339</v>
      </c>
      <c r="F4000" s="4" t="s">
        <v>8340</v>
      </c>
    </row>
    <row r="4001" spans="1:6">
      <c r="A4001" s="4" t="s">
        <v>8341</v>
      </c>
      <c r="B4001" s="6" t="s">
        <v>8338</v>
      </c>
      <c r="C4001" s="4" t="s">
        <v>8341</v>
      </c>
      <c r="D4001" s="4">
        <v>6</v>
      </c>
      <c r="E4001" s="4" t="s">
        <v>7112</v>
      </c>
      <c r="F4001" s="4" t="s">
        <v>8342</v>
      </c>
    </row>
    <row r="4002" spans="1:6">
      <c r="A4002" s="4" t="s">
        <v>8343</v>
      </c>
      <c r="B4002" s="6" t="s">
        <v>8338</v>
      </c>
      <c r="C4002" s="4" t="s">
        <v>254</v>
      </c>
      <c r="D4002" s="4">
        <v>7</v>
      </c>
      <c r="E4002" s="4" t="s">
        <v>5513</v>
      </c>
      <c r="F4002" s="4" t="s">
        <v>1293</v>
      </c>
    </row>
    <row r="4003" spans="1:6">
      <c r="A4003" s="4" t="s">
        <v>8344</v>
      </c>
      <c r="B4003" s="6" t="s">
        <v>8338</v>
      </c>
      <c r="C4003" s="4" t="s">
        <v>195</v>
      </c>
      <c r="D4003" s="4">
        <v>13</v>
      </c>
      <c r="E4003" s="4" t="s">
        <v>1047</v>
      </c>
      <c r="F4003" s="4" t="s">
        <v>4503</v>
      </c>
    </row>
    <row r="4004" spans="1:6">
      <c r="A4004" s="4" t="s">
        <v>8345</v>
      </c>
      <c r="B4004" s="6" t="s">
        <v>8338</v>
      </c>
      <c r="C4004" s="4" t="s">
        <v>1756</v>
      </c>
      <c r="D4004" s="4">
        <v>9</v>
      </c>
      <c r="E4004" s="4" t="s">
        <v>7375</v>
      </c>
    </row>
    <row r="4005" spans="1:6">
      <c r="A4005" s="4" t="s">
        <v>8346</v>
      </c>
      <c r="B4005" s="6" t="s">
        <v>8338</v>
      </c>
      <c r="C4005" s="4" t="s">
        <v>23</v>
      </c>
      <c r="D4005" s="4">
        <v>13</v>
      </c>
      <c r="E4005" s="4" t="s">
        <v>1047</v>
      </c>
    </row>
    <row r="4006" spans="1:6">
      <c r="A4006" s="4" t="s">
        <v>8347</v>
      </c>
      <c r="B4006" s="6" t="s">
        <v>8338</v>
      </c>
      <c r="C4006" s="4" t="s">
        <v>1180</v>
      </c>
      <c r="D4006" s="4">
        <v>6</v>
      </c>
      <c r="E4006" s="4" t="s">
        <v>5513</v>
      </c>
      <c r="F4006" s="4" t="s">
        <v>8348</v>
      </c>
    </row>
    <row r="4007" spans="1:6">
      <c r="A4007" s="4" t="s">
        <v>8349</v>
      </c>
      <c r="B4007" s="6" t="s">
        <v>8338</v>
      </c>
      <c r="C4007" s="4" t="s">
        <v>708</v>
      </c>
      <c r="D4007" s="4">
        <v>6</v>
      </c>
      <c r="E4007" s="4" t="s">
        <v>5513</v>
      </c>
      <c r="F4007" s="4" t="s">
        <v>1099</v>
      </c>
    </row>
    <row r="4008" spans="1:6">
      <c r="A4008" s="4" t="s">
        <v>8350</v>
      </c>
      <c r="B4008" s="6" t="s">
        <v>8338</v>
      </c>
      <c r="C4008" s="4" t="s">
        <v>41</v>
      </c>
      <c r="D4008" s="4">
        <v>7</v>
      </c>
      <c r="E4008" s="4" t="s">
        <v>7375</v>
      </c>
    </row>
    <row r="4009" spans="1:6">
      <c r="A4009" s="4" t="s">
        <v>8351</v>
      </c>
      <c r="B4009" s="6" t="s">
        <v>8338</v>
      </c>
      <c r="C4009" s="4" t="s">
        <v>414</v>
      </c>
      <c r="D4009" s="4">
        <v>11</v>
      </c>
      <c r="E4009" s="4" t="s">
        <v>7375</v>
      </c>
    </row>
    <row r="4010" spans="1:6">
      <c r="A4010" s="4" t="s">
        <v>8352</v>
      </c>
      <c r="B4010" s="6" t="s">
        <v>8338</v>
      </c>
      <c r="C4010" s="4" t="s">
        <v>1328</v>
      </c>
      <c r="D4010" s="4">
        <v>11</v>
      </c>
      <c r="E4010" s="4" t="s">
        <v>7375</v>
      </c>
    </row>
    <row r="4011" spans="1:6">
      <c r="A4011" s="4" t="s">
        <v>8353</v>
      </c>
      <c r="B4011" s="6" t="s">
        <v>8354</v>
      </c>
      <c r="C4011" s="4" t="s">
        <v>87</v>
      </c>
      <c r="D4011" s="4">
        <v>8</v>
      </c>
      <c r="E4011" s="4" t="s">
        <v>7372</v>
      </c>
    </row>
    <row r="4012" spans="1:6">
      <c r="A4012" s="4" t="s">
        <v>8355</v>
      </c>
      <c r="B4012" s="6" t="s">
        <v>8356</v>
      </c>
      <c r="C4012" s="4" t="s">
        <v>4475</v>
      </c>
      <c r="D4012" s="4">
        <v>12</v>
      </c>
      <c r="E4012" s="4" t="s">
        <v>1004</v>
      </c>
      <c r="F4012" s="4" t="s">
        <v>8357</v>
      </c>
    </row>
    <row r="4013" spans="1:6">
      <c r="A4013" s="4" t="s">
        <v>8358</v>
      </c>
      <c r="B4013" s="6" t="s">
        <v>8359</v>
      </c>
      <c r="C4013" s="4" t="s">
        <v>37</v>
      </c>
      <c r="D4013" s="4">
        <v>16</v>
      </c>
      <c r="E4013" s="4" t="s">
        <v>1047</v>
      </c>
      <c r="F4013" s="4" t="s">
        <v>2377</v>
      </c>
    </row>
    <row r="4014" spans="1:6">
      <c r="A4014" s="4" t="s">
        <v>8360</v>
      </c>
      <c r="B4014" s="6" t="s">
        <v>8361</v>
      </c>
      <c r="C4014" s="4" t="s">
        <v>23</v>
      </c>
      <c r="D4014" s="4">
        <v>9</v>
      </c>
      <c r="E4014" s="4" t="s">
        <v>1047</v>
      </c>
    </row>
    <row r="4015" spans="1:6">
      <c r="A4015" s="4" t="s">
        <v>8362</v>
      </c>
      <c r="B4015" s="6" t="s">
        <v>8363</v>
      </c>
      <c r="C4015" s="4" t="s">
        <v>263</v>
      </c>
      <c r="D4015" s="4">
        <v>9</v>
      </c>
      <c r="E4015" s="4" t="s">
        <v>391</v>
      </c>
      <c r="F4015" s="4" t="s">
        <v>8364</v>
      </c>
    </row>
    <row r="4016" spans="1:6">
      <c r="A4016" s="4" t="s">
        <v>8365</v>
      </c>
      <c r="B4016" s="6" t="s">
        <v>8366</v>
      </c>
      <c r="C4016" s="4" t="s">
        <v>87</v>
      </c>
      <c r="D4016" s="4">
        <v>14</v>
      </c>
      <c r="E4016" s="4" t="s">
        <v>1047</v>
      </c>
      <c r="F4016" s="4" t="s">
        <v>8367</v>
      </c>
    </row>
    <row r="4017" spans="1:6">
      <c r="A4017" s="4" t="s">
        <v>8368</v>
      </c>
      <c r="B4017" s="6" t="s">
        <v>8366</v>
      </c>
      <c r="C4017" s="4" t="s">
        <v>41</v>
      </c>
      <c r="D4017" s="4">
        <v>7</v>
      </c>
      <c r="E4017" s="4" t="s">
        <v>391</v>
      </c>
      <c r="F4017" s="4" t="s">
        <v>8369</v>
      </c>
    </row>
    <row r="4018" spans="1:6">
      <c r="A4018" s="4" t="s">
        <v>8370</v>
      </c>
      <c r="B4018" s="6" t="s">
        <v>8371</v>
      </c>
      <c r="C4018" s="4" t="s">
        <v>49</v>
      </c>
      <c r="D4018" s="4">
        <v>9</v>
      </c>
      <c r="E4018" s="4" t="s">
        <v>7112</v>
      </c>
      <c r="F4018" s="4" t="s">
        <v>1500</v>
      </c>
    </row>
    <row r="4019" spans="1:6">
      <c r="A4019" s="4" t="s">
        <v>8372</v>
      </c>
      <c r="B4019" s="6" t="s">
        <v>8371</v>
      </c>
      <c r="C4019" s="4" t="s">
        <v>53</v>
      </c>
      <c r="D4019" s="4">
        <v>8</v>
      </c>
      <c r="E4019" s="4" t="s">
        <v>569</v>
      </c>
    </row>
    <row r="4020" spans="1:6">
      <c r="A4020" s="4" t="s">
        <v>8373</v>
      </c>
      <c r="B4020" s="6" t="s">
        <v>8371</v>
      </c>
      <c r="C4020" s="4" t="s">
        <v>76</v>
      </c>
      <c r="D4020" s="4">
        <v>11</v>
      </c>
      <c r="E4020" s="4" t="s">
        <v>1047</v>
      </c>
      <c r="F4020" s="4" t="s">
        <v>8374</v>
      </c>
    </row>
    <row r="4021" spans="1:6">
      <c r="A4021" s="4" t="s">
        <v>8375</v>
      </c>
      <c r="B4021" s="6" t="s">
        <v>8371</v>
      </c>
      <c r="C4021" s="4" t="s">
        <v>354</v>
      </c>
      <c r="D4021" s="4">
        <v>11</v>
      </c>
      <c r="E4021" s="4" t="s">
        <v>391</v>
      </c>
    </row>
    <row r="4022" spans="1:6">
      <c r="A4022" s="4" t="s">
        <v>8376</v>
      </c>
      <c r="B4022" s="6" t="s">
        <v>8371</v>
      </c>
      <c r="C4022" s="4" t="s">
        <v>218</v>
      </c>
      <c r="D4022" s="4">
        <v>12</v>
      </c>
      <c r="E4022" s="4" t="s">
        <v>569</v>
      </c>
    </row>
    <row r="4023" spans="1:6">
      <c r="A4023" s="4" t="s">
        <v>8377</v>
      </c>
      <c r="B4023" s="6" t="s">
        <v>8371</v>
      </c>
      <c r="C4023" s="4" t="s">
        <v>14</v>
      </c>
      <c r="D4023" s="4">
        <v>11</v>
      </c>
      <c r="E4023" s="4" t="s">
        <v>391</v>
      </c>
    </row>
    <row r="4024" spans="1:6">
      <c r="A4024" s="4" t="s">
        <v>8378</v>
      </c>
      <c r="B4024" s="6" t="s">
        <v>8379</v>
      </c>
      <c r="C4024" s="4" t="s">
        <v>57</v>
      </c>
      <c r="D4024" s="4">
        <v>19</v>
      </c>
      <c r="E4024" s="4" t="s">
        <v>5513</v>
      </c>
    </row>
    <row r="4025" spans="1:6">
      <c r="A4025" s="4" t="s">
        <v>8380</v>
      </c>
      <c r="B4025" s="6" t="s">
        <v>8379</v>
      </c>
      <c r="C4025" s="4" t="s">
        <v>14</v>
      </c>
      <c r="D4025" s="4">
        <v>7</v>
      </c>
      <c r="E4025" s="4" t="s">
        <v>391</v>
      </c>
    </row>
    <row r="4026" spans="1:6">
      <c r="A4026" s="4" t="s">
        <v>8381</v>
      </c>
      <c r="B4026" s="6" t="s">
        <v>8382</v>
      </c>
      <c r="C4026" s="4" t="s">
        <v>14</v>
      </c>
      <c r="D4026" s="4">
        <v>8</v>
      </c>
      <c r="E4026" s="4" t="s">
        <v>1047</v>
      </c>
      <c r="F4026" s="4" t="s">
        <v>7380</v>
      </c>
    </row>
    <row r="4027" spans="1:6">
      <c r="A4027" s="4" t="s">
        <v>8383</v>
      </c>
      <c r="B4027" s="6" t="s">
        <v>8382</v>
      </c>
      <c r="C4027" s="4" t="s">
        <v>254</v>
      </c>
      <c r="D4027" s="4">
        <v>10</v>
      </c>
      <c r="E4027" s="4" t="s">
        <v>8384</v>
      </c>
    </row>
    <row r="4028" spans="1:6">
      <c r="A4028" s="4" t="s">
        <v>8385</v>
      </c>
      <c r="B4028" s="6" t="s">
        <v>8386</v>
      </c>
      <c r="C4028" s="4" t="s">
        <v>8385</v>
      </c>
      <c r="D4028" s="4">
        <v>4</v>
      </c>
      <c r="E4028" s="4" t="s">
        <v>569</v>
      </c>
      <c r="F4028" s="4" t="s">
        <v>2577</v>
      </c>
    </row>
    <row r="4029" spans="1:6">
      <c r="A4029" s="4" t="s">
        <v>8387</v>
      </c>
      <c r="B4029" s="6" t="s">
        <v>8388</v>
      </c>
      <c r="C4029" s="4" t="s">
        <v>254</v>
      </c>
      <c r="D4029" s="4">
        <v>7</v>
      </c>
      <c r="E4029" s="4" t="s">
        <v>1047</v>
      </c>
      <c r="F4029" s="4" t="s">
        <v>8389</v>
      </c>
    </row>
    <row r="4030" spans="1:6">
      <c r="A4030" s="4" t="s">
        <v>8390</v>
      </c>
      <c r="B4030" s="6" t="s">
        <v>8391</v>
      </c>
      <c r="C4030" s="4" t="s">
        <v>275</v>
      </c>
      <c r="D4030" s="4">
        <v>16</v>
      </c>
      <c r="E4030" s="4" t="s">
        <v>391</v>
      </c>
      <c r="F4030" s="4" t="s">
        <v>8392</v>
      </c>
    </row>
    <row r="4031" spans="1:6">
      <c r="A4031" s="4" t="s">
        <v>2756</v>
      </c>
      <c r="B4031" s="6" t="s">
        <v>8391</v>
      </c>
      <c r="C4031" s="4" t="s">
        <v>2756</v>
      </c>
      <c r="D4031" s="4">
        <v>14</v>
      </c>
      <c r="E4031" s="4" t="s">
        <v>617</v>
      </c>
      <c r="F4031" s="4" t="s">
        <v>2981</v>
      </c>
    </row>
    <row r="4032" spans="1:6">
      <c r="A4032" s="4" t="s">
        <v>8393</v>
      </c>
      <c r="B4032" s="6" t="s">
        <v>8391</v>
      </c>
      <c r="C4032" s="4" t="s">
        <v>214</v>
      </c>
      <c r="D4032" s="4">
        <v>3</v>
      </c>
      <c r="E4032" s="4" t="s">
        <v>1047</v>
      </c>
      <c r="F4032" s="4" t="s">
        <v>6900</v>
      </c>
    </row>
    <row r="4033" spans="1:6">
      <c r="A4033" s="4" t="s">
        <v>8394</v>
      </c>
      <c r="B4033" s="6" t="s">
        <v>8391</v>
      </c>
      <c r="C4033" s="4" t="s">
        <v>23</v>
      </c>
      <c r="D4033" s="4">
        <v>17</v>
      </c>
      <c r="E4033" s="4" t="s">
        <v>8395</v>
      </c>
    </row>
    <row r="4034" spans="1:6">
      <c r="A4034" s="4" t="s">
        <v>8396</v>
      </c>
      <c r="B4034" s="6" t="s">
        <v>8397</v>
      </c>
      <c r="C4034" s="4" t="s">
        <v>149</v>
      </c>
      <c r="D4034" s="4">
        <v>9</v>
      </c>
      <c r="E4034" s="4" t="s">
        <v>177</v>
      </c>
      <c r="F4034" s="4" t="s">
        <v>8398</v>
      </c>
    </row>
    <row r="4035" spans="1:6">
      <c r="A4035" s="4" t="s">
        <v>8399</v>
      </c>
      <c r="B4035" s="6" t="s">
        <v>8400</v>
      </c>
      <c r="C4035" s="4" t="s">
        <v>53</v>
      </c>
      <c r="D4035" s="4">
        <v>25</v>
      </c>
      <c r="E4035" s="4" t="s">
        <v>8401</v>
      </c>
    </row>
    <row r="4036" spans="1:6">
      <c r="A4036" s="4" t="s">
        <v>8402</v>
      </c>
      <c r="B4036" s="6" t="s">
        <v>8400</v>
      </c>
      <c r="C4036" s="4" t="s">
        <v>8403</v>
      </c>
      <c r="D4036" s="4">
        <v>29</v>
      </c>
      <c r="E4036" s="4" t="s">
        <v>8401</v>
      </c>
    </row>
    <row r="4037" spans="1:6">
      <c r="A4037" s="4" t="s">
        <v>8404</v>
      </c>
      <c r="B4037" s="6" t="s">
        <v>8405</v>
      </c>
      <c r="C4037" s="4" t="s">
        <v>27</v>
      </c>
      <c r="D4037" s="4">
        <v>16</v>
      </c>
      <c r="E4037" s="4" t="s">
        <v>188</v>
      </c>
    </row>
    <row r="4038" spans="1:6">
      <c r="A4038" s="4" t="s">
        <v>8406</v>
      </c>
      <c r="B4038" s="6" t="s">
        <v>8405</v>
      </c>
      <c r="C4038" s="4" t="s">
        <v>76</v>
      </c>
      <c r="D4038" s="4">
        <v>23</v>
      </c>
      <c r="E4038" s="4" t="s">
        <v>188</v>
      </c>
    </row>
    <row r="4039" spans="1:6">
      <c r="A4039" s="4" t="s">
        <v>8407</v>
      </c>
      <c r="B4039" s="6" t="s">
        <v>8405</v>
      </c>
      <c r="C4039" s="4" t="s">
        <v>41</v>
      </c>
      <c r="D4039" s="4">
        <v>21</v>
      </c>
      <c r="E4039" s="4" t="s">
        <v>188</v>
      </c>
    </row>
    <row r="4040" spans="1:6">
      <c r="A4040" s="4" t="s">
        <v>8408</v>
      </c>
      <c r="B4040" s="6" t="s">
        <v>8409</v>
      </c>
      <c r="C4040" s="4" t="s">
        <v>87</v>
      </c>
      <c r="D4040" s="4">
        <v>7</v>
      </c>
      <c r="E4040" s="4" t="s">
        <v>54</v>
      </c>
    </row>
    <row r="4041" spans="1:6">
      <c r="A4041" s="4" t="s">
        <v>8410</v>
      </c>
      <c r="B4041" s="6" t="s">
        <v>8411</v>
      </c>
      <c r="C4041" s="4" t="s">
        <v>53</v>
      </c>
      <c r="D4041" s="4">
        <v>8</v>
      </c>
      <c r="E4041" s="4" t="s">
        <v>54</v>
      </c>
    </row>
    <row r="4042" spans="1:6">
      <c r="A4042" s="4" t="s">
        <v>8412</v>
      </c>
      <c r="B4042" s="6" t="s">
        <v>8413</v>
      </c>
      <c r="C4042" s="4" t="s">
        <v>14</v>
      </c>
      <c r="D4042" s="4">
        <v>9</v>
      </c>
      <c r="E4042" s="4" t="s">
        <v>1609</v>
      </c>
      <c r="F4042" s="4" t="s">
        <v>2675</v>
      </c>
    </row>
    <row r="4043" spans="1:6">
      <c r="A4043" s="4" t="s">
        <v>8414</v>
      </c>
      <c r="B4043" s="6" t="s">
        <v>8415</v>
      </c>
      <c r="C4043" s="4" t="s">
        <v>87</v>
      </c>
      <c r="D4043" s="4">
        <v>11</v>
      </c>
      <c r="E4043" s="4" t="s">
        <v>1634</v>
      </c>
      <c r="F4043" s="4" t="s">
        <v>8416</v>
      </c>
    </row>
    <row r="4044" spans="1:6">
      <c r="A4044" s="4" t="s">
        <v>8417</v>
      </c>
      <c r="B4044" s="6" t="s">
        <v>8418</v>
      </c>
      <c r="C4044" s="4" t="s">
        <v>45</v>
      </c>
      <c r="D4044" s="4">
        <v>8</v>
      </c>
      <c r="E4044" s="4" t="s">
        <v>1634</v>
      </c>
      <c r="F4044" s="4" t="s">
        <v>8419</v>
      </c>
    </row>
    <row r="4045" spans="1:6">
      <c r="A4045" s="4" t="s">
        <v>8420</v>
      </c>
      <c r="B4045" s="6" t="s">
        <v>8418</v>
      </c>
      <c r="C4045" s="4" t="s">
        <v>49</v>
      </c>
      <c r="D4045" s="4">
        <v>8</v>
      </c>
      <c r="E4045" s="4" t="s">
        <v>5542</v>
      </c>
      <c r="F4045" s="4" t="s">
        <v>8421</v>
      </c>
    </row>
    <row r="4046" spans="1:6">
      <c r="A4046" s="4" t="s">
        <v>8422</v>
      </c>
      <c r="B4046" s="6" t="s">
        <v>8418</v>
      </c>
      <c r="C4046" s="4" t="s">
        <v>427</v>
      </c>
      <c r="D4046" s="4">
        <v>14</v>
      </c>
      <c r="E4046" s="4" t="s">
        <v>1634</v>
      </c>
    </row>
    <row r="4047" spans="1:6">
      <c r="A4047" s="4" t="s">
        <v>8423</v>
      </c>
      <c r="B4047" s="6" t="s">
        <v>8418</v>
      </c>
      <c r="C4047" s="4" t="s">
        <v>14</v>
      </c>
      <c r="D4047" s="4">
        <v>11</v>
      </c>
      <c r="E4047" s="4" t="s">
        <v>1634</v>
      </c>
    </row>
    <row r="4048" spans="1:6">
      <c r="A4048" s="4" t="s">
        <v>8424</v>
      </c>
      <c r="B4048" s="6" t="s">
        <v>8425</v>
      </c>
      <c r="C4048" s="4" t="s">
        <v>1180</v>
      </c>
      <c r="D4048" s="4">
        <v>11</v>
      </c>
      <c r="E4048" s="4" t="s">
        <v>1609</v>
      </c>
    </row>
    <row r="4049" spans="1:6">
      <c r="A4049" s="4" t="s">
        <v>8426</v>
      </c>
      <c r="B4049" s="6" t="s">
        <v>8425</v>
      </c>
      <c r="C4049" s="4" t="s">
        <v>81</v>
      </c>
      <c r="D4049" s="4">
        <v>15</v>
      </c>
      <c r="E4049" s="4" t="s">
        <v>1609</v>
      </c>
      <c r="F4049" s="4" t="s">
        <v>8427</v>
      </c>
    </row>
    <row r="4050" spans="1:6">
      <c r="A4050" s="4" t="s">
        <v>8428</v>
      </c>
      <c r="B4050" s="6" t="s">
        <v>8429</v>
      </c>
      <c r="C4050" s="4" t="s">
        <v>179</v>
      </c>
      <c r="D4050" s="4">
        <v>9</v>
      </c>
      <c r="E4050" s="4" t="s">
        <v>1830</v>
      </c>
    </row>
    <row r="4051" spans="1:6">
      <c r="A4051" s="4" t="s">
        <v>8430</v>
      </c>
      <c r="B4051" s="6" t="s">
        <v>8431</v>
      </c>
      <c r="C4051" s="4" t="s">
        <v>595</v>
      </c>
      <c r="D4051" s="4">
        <v>18</v>
      </c>
      <c r="E4051" s="4" t="s">
        <v>191</v>
      </c>
      <c r="F4051" s="4" t="s">
        <v>6101</v>
      </c>
    </row>
    <row r="4052" spans="1:6">
      <c r="A4052" s="4" t="s">
        <v>8432</v>
      </c>
      <c r="B4052" s="6" t="s">
        <v>8433</v>
      </c>
      <c r="C4052" s="4" t="s">
        <v>49</v>
      </c>
      <c r="D4052" s="4">
        <v>11</v>
      </c>
      <c r="E4052" s="4" t="s">
        <v>1609</v>
      </c>
      <c r="F4052" s="4" t="s">
        <v>8434</v>
      </c>
    </row>
    <row r="4053" spans="1:6">
      <c r="A4053" s="4" t="s">
        <v>8435</v>
      </c>
      <c r="B4053" s="6" t="s">
        <v>8436</v>
      </c>
      <c r="C4053" s="4" t="s">
        <v>254</v>
      </c>
      <c r="D4053" s="4">
        <v>14</v>
      </c>
      <c r="E4053" s="4" t="s">
        <v>3212</v>
      </c>
    </row>
    <row r="4054" spans="1:6">
      <c r="A4054" s="4" t="s">
        <v>8437</v>
      </c>
      <c r="B4054" s="6" t="s">
        <v>8438</v>
      </c>
      <c r="C4054" s="4" t="s">
        <v>34</v>
      </c>
      <c r="D4054" s="4">
        <v>16</v>
      </c>
      <c r="E4054" s="4" t="s">
        <v>188</v>
      </c>
      <c r="F4054" s="4" t="s">
        <v>8439</v>
      </c>
    </row>
    <row r="4055" spans="1:6">
      <c r="A4055" s="4" t="s">
        <v>8440</v>
      </c>
      <c r="B4055" s="6" t="s">
        <v>8441</v>
      </c>
      <c r="C4055" s="4" t="s">
        <v>14</v>
      </c>
      <c r="D4055" s="4">
        <v>8</v>
      </c>
      <c r="E4055" s="4" t="s">
        <v>1609</v>
      </c>
      <c r="F4055" s="4" t="s">
        <v>8442</v>
      </c>
    </row>
    <row r="4056" spans="1:6">
      <c r="A4056" s="4" t="s">
        <v>8443</v>
      </c>
      <c r="B4056" s="6" t="s">
        <v>8444</v>
      </c>
      <c r="C4056" s="4" t="s">
        <v>296</v>
      </c>
      <c r="D4056" s="4">
        <v>8</v>
      </c>
      <c r="E4056" s="4" t="s">
        <v>5555</v>
      </c>
      <c r="F4056" s="4" t="s">
        <v>8340</v>
      </c>
    </row>
    <row r="4057" spans="1:6">
      <c r="A4057" s="4" t="s">
        <v>8445</v>
      </c>
      <c r="B4057" s="6" t="s">
        <v>8444</v>
      </c>
      <c r="C4057" s="4" t="s">
        <v>23</v>
      </c>
      <c r="D4057" s="4">
        <v>11</v>
      </c>
      <c r="E4057" s="4" t="s">
        <v>8446</v>
      </c>
    </row>
    <row r="4058" spans="1:6">
      <c r="A4058" s="4" t="s">
        <v>8447</v>
      </c>
      <c r="B4058" s="6" t="s">
        <v>8448</v>
      </c>
      <c r="C4058" s="4" t="s">
        <v>132</v>
      </c>
      <c r="D4058" s="4">
        <v>24</v>
      </c>
      <c r="E4058" s="4" t="s">
        <v>188</v>
      </c>
      <c r="F4058" s="4" t="s">
        <v>8449</v>
      </c>
    </row>
    <row r="4059" spans="1:6">
      <c r="A4059" s="4" t="s">
        <v>8450</v>
      </c>
      <c r="B4059" s="6" t="s">
        <v>8448</v>
      </c>
      <c r="C4059" s="4" t="s">
        <v>354</v>
      </c>
      <c r="D4059" s="4">
        <v>17</v>
      </c>
      <c r="E4059" s="4" t="s">
        <v>188</v>
      </c>
    </row>
    <row r="4060" spans="1:6">
      <c r="A4060" s="4" t="s">
        <v>8451</v>
      </c>
      <c r="B4060" s="6" t="s">
        <v>8452</v>
      </c>
      <c r="C4060" s="4" t="s">
        <v>121</v>
      </c>
      <c r="D4060" s="4">
        <v>5</v>
      </c>
      <c r="E4060" s="4" t="s">
        <v>54</v>
      </c>
    </row>
    <row r="4061" spans="1:6">
      <c r="A4061" s="4" t="s">
        <v>8453</v>
      </c>
      <c r="B4061" s="6" t="s">
        <v>8452</v>
      </c>
      <c r="C4061" s="4" t="s">
        <v>544</v>
      </c>
      <c r="D4061" s="4">
        <v>9</v>
      </c>
      <c r="E4061" s="4" t="s">
        <v>54</v>
      </c>
    </row>
    <row r="4062" spans="1:6">
      <c r="A4062" s="4" t="s">
        <v>8454</v>
      </c>
      <c r="B4062" s="6" t="s">
        <v>8455</v>
      </c>
      <c r="C4062" s="4" t="s">
        <v>87</v>
      </c>
      <c r="D4062" s="4">
        <v>8</v>
      </c>
      <c r="E4062" s="4" t="s">
        <v>8456</v>
      </c>
    </row>
    <row r="4063" spans="1:6">
      <c r="A4063" s="4" t="s">
        <v>8457</v>
      </c>
      <c r="B4063" s="6" t="s">
        <v>8458</v>
      </c>
      <c r="C4063" s="4" t="s">
        <v>301</v>
      </c>
      <c r="D4063" s="4">
        <v>9</v>
      </c>
      <c r="E4063" s="4" t="s">
        <v>96</v>
      </c>
    </row>
    <row r="4064" spans="1:6">
      <c r="A4064" s="4" t="s">
        <v>8459</v>
      </c>
      <c r="B4064" s="6" t="s">
        <v>8458</v>
      </c>
      <c r="C4064" s="4" t="s">
        <v>14</v>
      </c>
      <c r="D4064" s="4">
        <v>6</v>
      </c>
      <c r="E4064" s="4" t="s">
        <v>1263</v>
      </c>
    </row>
    <row r="4065" spans="1:6">
      <c r="A4065" s="4" t="s">
        <v>8460</v>
      </c>
      <c r="B4065" s="6" t="s">
        <v>8461</v>
      </c>
      <c r="C4065" s="4" t="s">
        <v>81</v>
      </c>
      <c r="D4065" s="4">
        <v>8</v>
      </c>
      <c r="E4065" s="4" t="s">
        <v>54</v>
      </c>
    </row>
    <row r="4066" spans="1:6">
      <c r="A4066" s="4" t="s">
        <v>8462</v>
      </c>
      <c r="B4066" s="6" t="s">
        <v>8463</v>
      </c>
      <c r="C4066" s="4" t="s">
        <v>254</v>
      </c>
      <c r="D4066" s="4">
        <v>17</v>
      </c>
      <c r="E4066" s="4" t="s">
        <v>177</v>
      </c>
      <c r="F4066" s="4" t="s">
        <v>8464</v>
      </c>
    </row>
    <row r="4067" spans="1:6">
      <c r="A4067" s="4" t="s">
        <v>8465</v>
      </c>
      <c r="B4067" s="6" t="s">
        <v>8463</v>
      </c>
      <c r="C4067" s="4" t="s">
        <v>81</v>
      </c>
      <c r="D4067" s="4">
        <v>15</v>
      </c>
      <c r="E4067" s="4" t="s">
        <v>177</v>
      </c>
      <c r="F4067" s="4" t="s">
        <v>8466</v>
      </c>
    </row>
    <row r="4068" spans="1:6">
      <c r="A4068" s="4" t="s">
        <v>8467</v>
      </c>
      <c r="B4068" s="6" t="s">
        <v>8468</v>
      </c>
      <c r="C4068" s="4" t="s">
        <v>254</v>
      </c>
      <c r="D4068" s="4">
        <v>15</v>
      </c>
      <c r="E4068" s="4" t="s">
        <v>8469</v>
      </c>
    </row>
    <row r="4069" spans="1:6">
      <c r="A4069" s="4" t="s">
        <v>8470</v>
      </c>
      <c r="B4069" s="6" t="s">
        <v>8468</v>
      </c>
      <c r="C4069" s="4" t="s">
        <v>81</v>
      </c>
      <c r="D4069" s="4">
        <v>16</v>
      </c>
      <c r="E4069" s="4" t="s">
        <v>8469</v>
      </c>
    </row>
    <row r="4070" spans="1:6">
      <c r="A4070" s="4" t="s">
        <v>8471</v>
      </c>
      <c r="B4070" s="6" t="s">
        <v>8468</v>
      </c>
      <c r="C4070" s="4" t="s">
        <v>34</v>
      </c>
      <c r="D4070" s="4">
        <v>7</v>
      </c>
      <c r="E4070" s="4" t="s">
        <v>1601</v>
      </c>
      <c r="F4070" s="4" t="s">
        <v>8472</v>
      </c>
    </row>
    <row r="4071" spans="1:6">
      <c r="A4071" s="4" t="s">
        <v>8473</v>
      </c>
      <c r="B4071" s="6" t="s">
        <v>8468</v>
      </c>
      <c r="C4071" s="4" t="s">
        <v>354</v>
      </c>
      <c r="D4071" s="4">
        <v>17</v>
      </c>
      <c r="E4071" s="4" t="s">
        <v>8469</v>
      </c>
    </row>
    <row r="4072" spans="1:6">
      <c r="A4072" s="4" t="s">
        <v>8474</v>
      </c>
      <c r="B4072" s="6" t="s">
        <v>8475</v>
      </c>
      <c r="C4072" s="4" t="s">
        <v>81</v>
      </c>
      <c r="D4072" s="4">
        <v>7</v>
      </c>
      <c r="E4072" s="4" t="s">
        <v>54</v>
      </c>
      <c r="F4072" s="4" t="s">
        <v>8476</v>
      </c>
    </row>
    <row r="4073" spans="1:6">
      <c r="A4073" s="4" t="s">
        <v>8477</v>
      </c>
      <c r="B4073" s="6" t="s">
        <v>8475</v>
      </c>
      <c r="C4073" s="4" t="s">
        <v>81</v>
      </c>
      <c r="D4073" s="4">
        <v>17</v>
      </c>
      <c r="E4073" s="4" t="s">
        <v>54</v>
      </c>
      <c r="F4073" s="4" t="s">
        <v>8476</v>
      </c>
    </row>
    <row r="4074" spans="1:6">
      <c r="A4074" s="4" t="s">
        <v>8478</v>
      </c>
      <c r="B4074" s="6" t="s">
        <v>8479</v>
      </c>
      <c r="C4074" s="4" t="s">
        <v>140</v>
      </c>
      <c r="D4074" s="4">
        <v>17</v>
      </c>
      <c r="E4074" s="4" t="s">
        <v>177</v>
      </c>
    </row>
    <row r="4075" spans="1:6">
      <c r="A4075" s="4" t="s">
        <v>8480</v>
      </c>
      <c r="B4075" s="6" t="s">
        <v>8481</v>
      </c>
      <c r="C4075" s="4" t="s">
        <v>427</v>
      </c>
      <c r="D4075" s="4">
        <v>20</v>
      </c>
      <c r="E4075" s="4" t="s">
        <v>50</v>
      </c>
    </row>
    <row r="4076" spans="1:6">
      <c r="A4076" s="4" t="s">
        <v>8482</v>
      </c>
      <c r="B4076" s="6" t="s">
        <v>8483</v>
      </c>
      <c r="C4076" s="4" t="s">
        <v>104</v>
      </c>
      <c r="D4076" s="4">
        <v>12</v>
      </c>
      <c r="E4076" s="4" t="s">
        <v>8484</v>
      </c>
    </row>
    <row r="4077" spans="1:6">
      <c r="A4077" s="4" t="s">
        <v>8485</v>
      </c>
      <c r="B4077" s="6" t="s">
        <v>8483</v>
      </c>
      <c r="C4077" s="4" t="s">
        <v>34</v>
      </c>
      <c r="D4077" s="4">
        <v>11</v>
      </c>
      <c r="E4077" s="4" t="s">
        <v>8484</v>
      </c>
      <c r="F4077" s="4" t="s">
        <v>1589</v>
      </c>
    </row>
    <row r="4078" spans="1:6">
      <c r="A4078" s="4" t="s">
        <v>8486</v>
      </c>
      <c r="B4078" s="6" t="s">
        <v>8487</v>
      </c>
      <c r="C4078" s="4" t="s">
        <v>351</v>
      </c>
      <c r="D4078" s="4">
        <v>8</v>
      </c>
      <c r="E4078" s="4" t="s">
        <v>54</v>
      </c>
    </row>
    <row r="4079" spans="1:6">
      <c r="A4079" s="4" t="s">
        <v>8488</v>
      </c>
      <c r="B4079" s="6" t="s">
        <v>8489</v>
      </c>
      <c r="C4079" s="4" t="s">
        <v>448</v>
      </c>
      <c r="D4079" s="4">
        <v>3</v>
      </c>
      <c r="E4079" s="4" t="s">
        <v>4465</v>
      </c>
      <c r="F4079" s="4" t="s">
        <v>8490</v>
      </c>
    </row>
    <row r="4080" spans="1:6">
      <c r="A4080" s="4" t="s">
        <v>8491</v>
      </c>
      <c r="B4080" s="6" t="s">
        <v>8489</v>
      </c>
      <c r="C4080" s="4" t="s">
        <v>263</v>
      </c>
      <c r="D4080" s="4">
        <v>6</v>
      </c>
      <c r="E4080" s="4" t="s">
        <v>4465</v>
      </c>
      <c r="F4080" s="4" t="s">
        <v>8492</v>
      </c>
    </row>
    <row r="4081" spans="1:6">
      <c r="A4081" s="4" t="s">
        <v>8493</v>
      </c>
      <c r="B4081" s="6" t="s">
        <v>8494</v>
      </c>
      <c r="C4081" s="4" t="s">
        <v>63</v>
      </c>
      <c r="D4081" s="4">
        <v>12</v>
      </c>
      <c r="E4081" s="4" t="s">
        <v>5567</v>
      </c>
      <c r="F4081" s="4" t="s">
        <v>8495</v>
      </c>
    </row>
    <row r="4082" spans="1:6">
      <c r="A4082" s="4" t="s">
        <v>8496</v>
      </c>
      <c r="B4082" s="6" t="s">
        <v>8494</v>
      </c>
      <c r="C4082" s="4" t="s">
        <v>74</v>
      </c>
      <c r="D4082" s="4">
        <v>4</v>
      </c>
      <c r="E4082" s="4" t="s">
        <v>5567</v>
      </c>
      <c r="F4082" s="4" t="s">
        <v>8497</v>
      </c>
    </row>
    <row r="4083" spans="1:6">
      <c r="A4083" s="4" t="s">
        <v>8498</v>
      </c>
      <c r="B4083" s="6" t="s">
        <v>8499</v>
      </c>
      <c r="C4083" s="4" t="s">
        <v>23</v>
      </c>
      <c r="D4083" s="4">
        <v>11</v>
      </c>
      <c r="E4083" s="4" t="s">
        <v>4729</v>
      </c>
      <c r="F4083" s="4" t="s">
        <v>8500</v>
      </c>
    </row>
    <row r="4084" spans="1:6">
      <c r="A4084" s="4" t="s">
        <v>8501</v>
      </c>
      <c r="B4084" s="6" t="s">
        <v>8502</v>
      </c>
      <c r="C4084" s="4" t="s">
        <v>544</v>
      </c>
      <c r="D4084" s="4">
        <v>14</v>
      </c>
      <c r="E4084" s="4" t="s">
        <v>164</v>
      </c>
    </row>
    <row r="4085" spans="1:6">
      <c r="A4085" s="4" t="s">
        <v>8503</v>
      </c>
      <c r="B4085" s="6" t="s">
        <v>8502</v>
      </c>
      <c r="C4085" s="4" t="s">
        <v>271</v>
      </c>
      <c r="D4085" s="4">
        <v>6</v>
      </c>
      <c r="E4085" s="4" t="s">
        <v>5685</v>
      </c>
      <c r="F4085" s="4" t="s">
        <v>323</v>
      </c>
    </row>
    <row r="4086" spans="1:6">
      <c r="A4086" s="4" t="s">
        <v>8504</v>
      </c>
      <c r="B4086" s="6" t="s">
        <v>8502</v>
      </c>
      <c r="C4086" s="4" t="s">
        <v>23</v>
      </c>
      <c r="D4086" s="4">
        <v>7</v>
      </c>
      <c r="E4086" s="4" t="s">
        <v>8505</v>
      </c>
    </row>
    <row r="4087" spans="1:6">
      <c r="A4087" s="4" t="s">
        <v>8506</v>
      </c>
      <c r="B4087" s="6" t="s">
        <v>8507</v>
      </c>
      <c r="C4087" s="4" t="s">
        <v>275</v>
      </c>
      <c r="D4087" s="4">
        <v>12</v>
      </c>
      <c r="E4087" s="4" t="s">
        <v>5567</v>
      </c>
      <c r="F4087" s="4" t="s">
        <v>8508</v>
      </c>
    </row>
    <row r="4088" spans="1:6">
      <c r="A4088" s="4" t="s">
        <v>8509</v>
      </c>
      <c r="B4088" s="6" t="s">
        <v>8507</v>
      </c>
      <c r="C4088" s="4" t="s">
        <v>156</v>
      </c>
      <c r="D4088" s="4">
        <v>19</v>
      </c>
      <c r="E4088" s="4" t="s">
        <v>8510</v>
      </c>
    </row>
    <row r="4089" spans="1:6">
      <c r="A4089" s="4" t="s">
        <v>8511</v>
      </c>
      <c r="B4089" s="6" t="s">
        <v>8512</v>
      </c>
      <c r="C4089" s="4" t="s">
        <v>2111</v>
      </c>
      <c r="D4089" s="4">
        <v>8</v>
      </c>
      <c r="E4089" s="4" t="s">
        <v>8513</v>
      </c>
      <c r="F4089" s="4" t="s">
        <v>2611</v>
      </c>
    </row>
    <row r="4090" spans="1:6">
      <c r="A4090" s="4" t="s">
        <v>8514</v>
      </c>
      <c r="B4090" s="6" t="s">
        <v>8512</v>
      </c>
      <c r="C4090" s="4" t="s">
        <v>81</v>
      </c>
      <c r="D4090" s="4">
        <v>12</v>
      </c>
      <c r="E4090" s="4" t="s">
        <v>6193</v>
      </c>
    </row>
    <row r="4091" spans="1:6">
      <c r="A4091" s="4" t="s">
        <v>8515</v>
      </c>
      <c r="B4091" s="6" t="s">
        <v>8512</v>
      </c>
      <c r="C4091" s="4" t="s">
        <v>243</v>
      </c>
      <c r="D4091" s="4">
        <v>4</v>
      </c>
      <c r="E4091" s="4" t="s">
        <v>8516</v>
      </c>
      <c r="F4091" s="4" t="s">
        <v>8517</v>
      </c>
    </row>
    <row r="4092" spans="1:6">
      <c r="A4092" s="4" t="s">
        <v>8518</v>
      </c>
      <c r="B4092" s="6" t="s">
        <v>8519</v>
      </c>
      <c r="C4092" s="4" t="s">
        <v>301</v>
      </c>
      <c r="D4092" s="4">
        <v>10</v>
      </c>
      <c r="E4092" s="4" t="s">
        <v>4729</v>
      </c>
    </row>
    <row r="4093" spans="1:6">
      <c r="A4093" s="4" t="s">
        <v>8520</v>
      </c>
      <c r="B4093" s="6" t="s">
        <v>8519</v>
      </c>
      <c r="C4093" s="4" t="s">
        <v>427</v>
      </c>
      <c r="D4093" s="4">
        <v>10</v>
      </c>
      <c r="E4093" s="4" t="s">
        <v>8521</v>
      </c>
      <c r="F4093" s="4" t="s">
        <v>8522</v>
      </c>
    </row>
    <row r="4094" spans="1:6">
      <c r="A4094" s="4" t="s">
        <v>8523</v>
      </c>
      <c r="B4094" s="6" t="s">
        <v>8519</v>
      </c>
      <c r="C4094" s="4" t="s">
        <v>1282</v>
      </c>
      <c r="D4094" s="4">
        <v>14</v>
      </c>
      <c r="E4094" s="4" t="s">
        <v>8524</v>
      </c>
      <c r="F4094" s="4" t="s">
        <v>2952</v>
      </c>
    </row>
    <row r="4095" spans="1:6">
      <c r="A4095" s="4" t="s">
        <v>226</v>
      </c>
      <c r="B4095" s="6" t="s">
        <v>8519</v>
      </c>
      <c r="C4095" s="4" t="s">
        <v>226</v>
      </c>
      <c r="D4095" s="4">
        <v>4</v>
      </c>
      <c r="E4095" s="4" t="s">
        <v>8524</v>
      </c>
      <c r="F4095" s="4" t="s">
        <v>8525</v>
      </c>
    </row>
    <row r="4096" spans="1:6">
      <c r="A4096" s="4" t="s">
        <v>8526</v>
      </c>
      <c r="B4096" s="6" t="s">
        <v>8527</v>
      </c>
      <c r="C4096" s="4" t="s">
        <v>301</v>
      </c>
      <c r="D4096" s="4">
        <v>10</v>
      </c>
      <c r="E4096" s="4" t="s">
        <v>4578</v>
      </c>
    </row>
    <row r="4097" spans="1:6">
      <c r="A4097" s="4" t="s">
        <v>8528</v>
      </c>
      <c r="B4097" s="6" t="s">
        <v>8529</v>
      </c>
      <c r="C4097" s="4" t="s">
        <v>1420</v>
      </c>
      <c r="D4097" s="4">
        <v>16</v>
      </c>
      <c r="E4097" s="4" t="s">
        <v>50</v>
      </c>
    </row>
    <row r="4098" spans="1:6">
      <c r="A4098" s="4" t="s">
        <v>8530</v>
      </c>
      <c r="B4098" s="6" t="s">
        <v>8529</v>
      </c>
      <c r="C4098" s="4" t="s">
        <v>1420</v>
      </c>
      <c r="D4098" s="4">
        <v>16</v>
      </c>
      <c r="E4098" s="4" t="s">
        <v>50</v>
      </c>
    </row>
    <row r="4099" spans="1:6">
      <c r="A4099" s="4" t="s">
        <v>8531</v>
      </c>
      <c r="B4099" s="6" t="s">
        <v>8532</v>
      </c>
      <c r="C4099" s="4" t="s">
        <v>275</v>
      </c>
      <c r="D4099" s="4">
        <v>13</v>
      </c>
      <c r="E4099" s="4" t="s">
        <v>1609</v>
      </c>
      <c r="F4099" s="4" t="s">
        <v>8533</v>
      </c>
    </row>
    <row r="4100" spans="1:6">
      <c r="A4100" s="4" t="s">
        <v>8534</v>
      </c>
      <c r="B4100" s="6" t="s">
        <v>8532</v>
      </c>
      <c r="C4100" s="4" t="s">
        <v>1335</v>
      </c>
      <c r="D4100" s="4">
        <v>7</v>
      </c>
      <c r="E4100" s="4" t="s">
        <v>1609</v>
      </c>
      <c r="F4100" s="4" t="s">
        <v>8535</v>
      </c>
    </row>
    <row r="4101" spans="1:6">
      <c r="A4101" s="4" t="s">
        <v>8536</v>
      </c>
      <c r="B4101" s="6" t="s">
        <v>8532</v>
      </c>
      <c r="C4101" s="4" t="s">
        <v>686</v>
      </c>
      <c r="D4101" s="4">
        <v>9</v>
      </c>
      <c r="E4101" s="4" t="s">
        <v>1609</v>
      </c>
      <c r="F4101" s="4" t="s">
        <v>8537</v>
      </c>
    </row>
    <row r="4102" spans="1:6">
      <c r="A4102" s="4" t="s">
        <v>8538</v>
      </c>
      <c r="B4102" s="6" t="s">
        <v>8532</v>
      </c>
      <c r="C4102" s="4" t="s">
        <v>351</v>
      </c>
      <c r="D4102" s="4">
        <v>13</v>
      </c>
      <c r="E4102" s="4" t="s">
        <v>617</v>
      </c>
      <c r="F4102" s="4" t="s">
        <v>8398</v>
      </c>
    </row>
    <row r="4103" spans="1:6">
      <c r="A4103" s="4" t="s">
        <v>8539</v>
      </c>
      <c r="B4103" s="6" t="s">
        <v>8532</v>
      </c>
      <c r="C4103" s="4" t="s">
        <v>49</v>
      </c>
      <c r="D4103" s="4">
        <v>12</v>
      </c>
      <c r="E4103" s="4" t="s">
        <v>1609</v>
      </c>
      <c r="F4103" s="4" t="s">
        <v>1480</v>
      </c>
    </row>
    <row r="4104" spans="1:6">
      <c r="A4104" s="4" t="s">
        <v>8540</v>
      </c>
      <c r="B4104" s="6" t="s">
        <v>8532</v>
      </c>
      <c r="C4104" s="4" t="s">
        <v>49</v>
      </c>
      <c r="D4104" s="4">
        <v>16</v>
      </c>
      <c r="E4104" s="4" t="s">
        <v>617</v>
      </c>
      <c r="F4104" s="4" t="s">
        <v>8541</v>
      </c>
    </row>
    <row r="4105" spans="1:6">
      <c r="A4105" s="4" t="s">
        <v>1335</v>
      </c>
      <c r="B4105" s="6" t="s">
        <v>8532</v>
      </c>
      <c r="C4105" s="4" t="s">
        <v>1335</v>
      </c>
      <c r="D4105" s="4">
        <v>3</v>
      </c>
      <c r="E4105" s="4" t="s">
        <v>8542</v>
      </c>
    </row>
    <row r="4106" spans="1:6">
      <c r="A4106" s="4" t="s">
        <v>8543</v>
      </c>
      <c r="B4106" s="6" t="s">
        <v>8532</v>
      </c>
      <c r="C4106" s="4" t="s">
        <v>1335</v>
      </c>
      <c r="D4106" s="4">
        <v>12</v>
      </c>
      <c r="E4106" s="4" t="s">
        <v>8544</v>
      </c>
    </row>
    <row r="4107" spans="1:6">
      <c r="A4107" s="4" t="s">
        <v>8545</v>
      </c>
      <c r="B4107" s="6" t="s">
        <v>8532</v>
      </c>
      <c r="C4107" s="4" t="s">
        <v>238</v>
      </c>
      <c r="D4107" s="4">
        <v>12</v>
      </c>
      <c r="E4107" s="4" t="s">
        <v>1609</v>
      </c>
    </row>
    <row r="4108" spans="1:6">
      <c r="A4108" s="4" t="s">
        <v>8546</v>
      </c>
      <c r="B4108" s="6" t="s">
        <v>8547</v>
      </c>
      <c r="C4108" s="4" t="s">
        <v>686</v>
      </c>
      <c r="D4108" s="4">
        <v>8</v>
      </c>
      <c r="E4108" s="4" t="s">
        <v>1634</v>
      </c>
      <c r="F4108" s="4" t="s">
        <v>8548</v>
      </c>
    </row>
    <row r="4109" spans="1:6">
      <c r="A4109" s="4" t="s">
        <v>8549</v>
      </c>
      <c r="B4109" s="6" t="s">
        <v>8550</v>
      </c>
      <c r="C4109" s="4" t="s">
        <v>1248</v>
      </c>
      <c r="D4109" s="4">
        <v>12</v>
      </c>
      <c r="E4109" s="4" t="s">
        <v>1634</v>
      </c>
      <c r="F4109" s="4" t="s">
        <v>8551</v>
      </c>
    </row>
    <row r="4110" spans="1:6">
      <c r="A4110" s="4" t="s">
        <v>8552</v>
      </c>
      <c r="B4110" s="6" t="s">
        <v>8550</v>
      </c>
      <c r="C4110" s="4" t="s">
        <v>917</v>
      </c>
      <c r="D4110" s="4">
        <v>4</v>
      </c>
      <c r="E4110" s="4" t="s">
        <v>1634</v>
      </c>
      <c r="F4110" s="4" t="s">
        <v>8553</v>
      </c>
    </row>
    <row r="4111" spans="1:6">
      <c r="A4111" s="4" t="s">
        <v>8554</v>
      </c>
      <c r="B4111" s="6" t="s">
        <v>8550</v>
      </c>
      <c r="C4111" s="4" t="s">
        <v>23</v>
      </c>
      <c r="D4111" s="4">
        <v>10</v>
      </c>
      <c r="E4111" s="4" t="s">
        <v>164</v>
      </c>
    </row>
    <row r="4112" spans="1:6">
      <c r="A4112" s="4" t="s">
        <v>8555</v>
      </c>
      <c r="B4112" s="6" t="s">
        <v>8550</v>
      </c>
      <c r="C4112" s="4" t="s">
        <v>1335</v>
      </c>
      <c r="D4112" s="4">
        <v>13</v>
      </c>
      <c r="E4112" s="4" t="s">
        <v>1634</v>
      </c>
      <c r="F4112" s="4" t="s">
        <v>8421</v>
      </c>
    </row>
    <row r="4113" spans="1:6">
      <c r="A4113" s="4" t="s">
        <v>8556</v>
      </c>
      <c r="B4113" s="6" t="s">
        <v>8550</v>
      </c>
      <c r="C4113" s="4" t="s">
        <v>27</v>
      </c>
      <c r="D4113" s="4">
        <v>9</v>
      </c>
      <c r="E4113" s="4" t="s">
        <v>1634</v>
      </c>
      <c r="F4113" s="4" t="s">
        <v>7140</v>
      </c>
    </row>
    <row r="4114" spans="1:6">
      <c r="A4114" s="4" t="s">
        <v>8557</v>
      </c>
      <c r="B4114" s="6" t="s">
        <v>8550</v>
      </c>
      <c r="C4114" s="4" t="s">
        <v>1335</v>
      </c>
      <c r="D4114" s="4">
        <v>13</v>
      </c>
      <c r="E4114" s="4" t="s">
        <v>1634</v>
      </c>
      <c r="F4114" s="4" t="s">
        <v>8553</v>
      </c>
    </row>
    <row r="4115" spans="1:6">
      <c r="A4115" s="4" t="s">
        <v>8558</v>
      </c>
      <c r="B4115" s="6" t="s">
        <v>8550</v>
      </c>
      <c r="C4115" s="4" t="s">
        <v>223</v>
      </c>
      <c r="D4115" s="4">
        <v>10</v>
      </c>
      <c r="E4115" s="4" t="s">
        <v>1634</v>
      </c>
    </row>
    <row r="4116" spans="1:6">
      <c r="A4116" s="4" t="s">
        <v>766</v>
      </c>
      <c r="B4116" s="6" t="s">
        <v>8559</v>
      </c>
      <c r="C4116" s="4" t="s">
        <v>766</v>
      </c>
      <c r="D4116" s="4">
        <v>4</v>
      </c>
      <c r="E4116" s="4" t="s">
        <v>1795</v>
      </c>
      <c r="F4116" s="4" t="s">
        <v>8560</v>
      </c>
    </row>
    <row r="4117" spans="1:6">
      <c r="A4117" s="4" t="s">
        <v>8561</v>
      </c>
      <c r="B4117" s="6" t="s">
        <v>8562</v>
      </c>
      <c r="C4117" s="4" t="s">
        <v>275</v>
      </c>
      <c r="D4117" s="4">
        <v>13</v>
      </c>
      <c r="E4117" s="4" t="s">
        <v>5542</v>
      </c>
      <c r="F4117" s="4" t="s">
        <v>8563</v>
      </c>
    </row>
    <row r="4118" spans="1:6">
      <c r="A4118" s="4" t="s">
        <v>8564</v>
      </c>
      <c r="B4118" s="6" t="s">
        <v>8565</v>
      </c>
      <c r="C4118" s="4" t="s">
        <v>19</v>
      </c>
      <c r="D4118" s="4">
        <v>10</v>
      </c>
      <c r="E4118" s="4" t="s">
        <v>8566</v>
      </c>
    </row>
    <row r="4119" spans="1:6">
      <c r="A4119" s="4" t="s">
        <v>8567</v>
      </c>
      <c r="B4119" s="6" t="s">
        <v>8565</v>
      </c>
      <c r="C4119" s="4" t="s">
        <v>14</v>
      </c>
      <c r="D4119" s="4">
        <v>12</v>
      </c>
      <c r="E4119" s="4" t="s">
        <v>1634</v>
      </c>
      <c r="F4119" s="4" t="s">
        <v>1385</v>
      </c>
    </row>
    <row r="4120" spans="1:6">
      <c r="A4120" s="4" t="s">
        <v>8568</v>
      </c>
      <c r="B4120" s="6" t="s">
        <v>8569</v>
      </c>
      <c r="C4120" s="4" t="s">
        <v>34</v>
      </c>
      <c r="D4120" s="4">
        <v>12</v>
      </c>
      <c r="E4120" s="4" t="s">
        <v>1634</v>
      </c>
    </row>
    <row r="4121" spans="1:6">
      <c r="A4121" s="4" t="s">
        <v>8570</v>
      </c>
      <c r="B4121" s="6" t="s">
        <v>8571</v>
      </c>
      <c r="C4121" s="4" t="s">
        <v>1431</v>
      </c>
      <c r="D4121" s="4">
        <v>12</v>
      </c>
      <c r="E4121" s="4" t="s">
        <v>1795</v>
      </c>
      <c r="F4121" s="4" t="s">
        <v>4386</v>
      </c>
    </row>
    <row r="4122" spans="1:6">
      <c r="A4122" s="4" t="s">
        <v>8572</v>
      </c>
      <c r="B4122" s="6" t="s">
        <v>8571</v>
      </c>
      <c r="C4122" s="4" t="s">
        <v>1078</v>
      </c>
      <c r="D4122" s="4">
        <v>5</v>
      </c>
      <c r="E4122" s="4" t="s">
        <v>1795</v>
      </c>
    </row>
    <row r="4123" spans="1:6">
      <c r="A4123" s="4" t="s">
        <v>8573</v>
      </c>
      <c r="B4123" s="6" t="s">
        <v>8571</v>
      </c>
      <c r="C4123" s="4" t="s">
        <v>1211</v>
      </c>
      <c r="D4123" s="4">
        <v>12</v>
      </c>
      <c r="E4123" s="4" t="s">
        <v>1795</v>
      </c>
    </row>
    <row r="4124" spans="1:6">
      <c r="A4124" s="4" t="s">
        <v>8574</v>
      </c>
      <c r="B4124" s="6" t="s">
        <v>8575</v>
      </c>
      <c r="C4124" s="4" t="s">
        <v>53</v>
      </c>
      <c r="D4124" s="4">
        <v>9</v>
      </c>
      <c r="E4124" s="4" t="s">
        <v>50</v>
      </c>
      <c r="F4124" s="4" t="s">
        <v>8576</v>
      </c>
    </row>
    <row r="4125" spans="1:6">
      <c r="A4125" s="4" t="s">
        <v>8577</v>
      </c>
      <c r="B4125" s="6" t="s">
        <v>8575</v>
      </c>
      <c r="C4125" s="4" t="s">
        <v>53</v>
      </c>
      <c r="D4125" s="4">
        <v>14</v>
      </c>
      <c r="E4125" s="4" t="s">
        <v>50</v>
      </c>
      <c r="F4125" s="4" t="s">
        <v>8576</v>
      </c>
    </row>
    <row r="4126" spans="1:6">
      <c r="A4126" s="4" t="s">
        <v>8578</v>
      </c>
      <c r="B4126" s="6" t="s">
        <v>8579</v>
      </c>
      <c r="C4126" s="4" t="s">
        <v>301</v>
      </c>
      <c r="D4126" s="4">
        <v>16</v>
      </c>
      <c r="E4126" s="4" t="s">
        <v>1609</v>
      </c>
    </row>
    <row r="4127" spans="1:6">
      <c r="A4127" s="4" t="s">
        <v>8580</v>
      </c>
      <c r="B4127" s="6" t="s">
        <v>8579</v>
      </c>
      <c r="C4127" s="4" t="s">
        <v>254</v>
      </c>
      <c r="D4127" s="4">
        <v>12</v>
      </c>
      <c r="E4127" s="4" t="s">
        <v>1609</v>
      </c>
      <c r="F4127" s="4" t="s">
        <v>8581</v>
      </c>
    </row>
    <row r="4128" spans="1:6">
      <c r="A4128" s="4" t="s">
        <v>8582</v>
      </c>
      <c r="B4128" s="6" t="s">
        <v>8579</v>
      </c>
      <c r="C4128" s="4" t="s">
        <v>605</v>
      </c>
      <c r="D4128" s="4">
        <v>7</v>
      </c>
      <c r="E4128" s="4" t="s">
        <v>617</v>
      </c>
      <c r="F4128" s="4" t="s">
        <v>8340</v>
      </c>
    </row>
    <row r="4129" spans="1:6">
      <c r="A4129" s="4" t="s">
        <v>8583</v>
      </c>
      <c r="B4129" s="6" t="s">
        <v>8579</v>
      </c>
      <c r="C4129" s="4" t="s">
        <v>53</v>
      </c>
      <c r="D4129" s="4">
        <v>11</v>
      </c>
      <c r="E4129" s="4" t="s">
        <v>617</v>
      </c>
      <c r="F4129" s="4" t="s">
        <v>7504</v>
      </c>
    </row>
    <row r="4130" spans="1:6">
      <c r="A4130" s="4" t="s">
        <v>8584</v>
      </c>
      <c r="B4130" s="6" t="s">
        <v>8585</v>
      </c>
      <c r="C4130" s="4" t="s">
        <v>87</v>
      </c>
      <c r="D4130" s="4">
        <v>5</v>
      </c>
      <c r="E4130" s="4" t="s">
        <v>50</v>
      </c>
      <c r="F4130" s="4" t="s">
        <v>8055</v>
      </c>
    </row>
    <row r="4131" spans="1:6">
      <c r="A4131" s="4" t="s">
        <v>8586</v>
      </c>
      <c r="B4131" s="6" t="s">
        <v>8587</v>
      </c>
      <c r="C4131" s="4" t="s">
        <v>354</v>
      </c>
      <c r="D4131" s="4">
        <v>9</v>
      </c>
      <c r="E4131" s="4" t="s">
        <v>1609</v>
      </c>
    </row>
    <row r="4132" spans="1:6">
      <c r="A4132" s="4" t="s">
        <v>8588</v>
      </c>
      <c r="B4132" s="6" t="s">
        <v>8587</v>
      </c>
      <c r="C4132" s="4" t="s">
        <v>254</v>
      </c>
      <c r="D4132" s="4">
        <v>7</v>
      </c>
      <c r="E4132" s="4" t="s">
        <v>1609</v>
      </c>
      <c r="F4132" s="4" t="s">
        <v>8589</v>
      </c>
    </row>
    <row r="4133" spans="1:6">
      <c r="A4133" s="4" t="s">
        <v>8590</v>
      </c>
      <c r="B4133" s="6" t="s">
        <v>8587</v>
      </c>
      <c r="C4133" s="4" t="s">
        <v>23</v>
      </c>
      <c r="D4133" s="4">
        <v>8</v>
      </c>
      <c r="E4133" s="4" t="s">
        <v>4699</v>
      </c>
      <c r="F4133" s="4" t="s">
        <v>8591</v>
      </c>
    </row>
    <row r="4134" spans="1:6">
      <c r="A4134" s="4" t="s">
        <v>8592</v>
      </c>
      <c r="B4134" s="6" t="s">
        <v>8587</v>
      </c>
      <c r="C4134" s="4" t="s">
        <v>427</v>
      </c>
      <c r="D4134" s="4">
        <v>15</v>
      </c>
      <c r="E4134" s="4" t="s">
        <v>1609</v>
      </c>
    </row>
    <row r="4135" spans="1:6">
      <c r="A4135" s="4" t="s">
        <v>8593</v>
      </c>
      <c r="B4135" s="6" t="s">
        <v>8587</v>
      </c>
      <c r="C4135" s="4" t="s">
        <v>23</v>
      </c>
      <c r="D4135" s="4">
        <v>12</v>
      </c>
      <c r="E4135" s="4" t="s">
        <v>1378</v>
      </c>
    </row>
    <row r="4136" spans="1:6">
      <c r="A4136" s="4" t="s">
        <v>8594</v>
      </c>
      <c r="B4136" s="6" t="s">
        <v>8595</v>
      </c>
      <c r="C4136" s="4" t="s">
        <v>53</v>
      </c>
      <c r="D4136" s="4">
        <v>5</v>
      </c>
      <c r="E4136" s="4" t="s">
        <v>4699</v>
      </c>
      <c r="F4136" s="4" t="s">
        <v>8596</v>
      </c>
    </row>
    <row r="4137" spans="1:6">
      <c r="A4137" s="4" t="s">
        <v>8597</v>
      </c>
      <c r="B4137" s="6" t="s">
        <v>8598</v>
      </c>
      <c r="C4137" s="4" t="s">
        <v>87</v>
      </c>
      <c r="D4137" s="4">
        <v>8</v>
      </c>
      <c r="E4137" s="4" t="s">
        <v>8599</v>
      </c>
      <c r="F4137" s="4" t="s">
        <v>8600</v>
      </c>
    </row>
    <row r="4138" spans="1:6">
      <c r="A4138" s="4" t="s">
        <v>8601</v>
      </c>
      <c r="B4138" s="6" t="s">
        <v>8598</v>
      </c>
      <c r="C4138" s="4" t="s">
        <v>37</v>
      </c>
      <c r="D4138" s="4">
        <v>12</v>
      </c>
      <c r="E4138" s="4" t="s">
        <v>50</v>
      </c>
      <c r="F4138" s="4" t="s">
        <v>8602</v>
      </c>
    </row>
    <row r="4139" spans="1:6">
      <c r="A4139" s="4" t="s">
        <v>8603</v>
      </c>
      <c r="B4139" s="6" t="s">
        <v>8598</v>
      </c>
      <c r="C4139" s="4" t="s">
        <v>23</v>
      </c>
      <c r="D4139" s="4">
        <v>8</v>
      </c>
      <c r="E4139" s="4" t="s">
        <v>8599</v>
      </c>
    </row>
    <row r="4140" spans="1:6">
      <c r="A4140" s="4" t="s">
        <v>8604</v>
      </c>
      <c r="B4140" s="6" t="s">
        <v>8605</v>
      </c>
      <c r="C4140" s="4" t="s">
        <v>81</v>
      </c>
      <c r="D4140" s="4">
        <v>7</v>
      </c>
      <c r="E4140" s="4" t="s">
        <v>4469</v>
      </c>
      <c r="F4140" s="4" t="s">
        <v>8606</v>
      </c>
    </row>
    <row r="4141" spans="1:6">
      <c r="A4141" s="4" t="s">
        <v>8607</v>
      </c>
      <c r="B4141" s="6" t="s">
        <v>8608</v>
      </c>
      <c r="C4141" s="4" t="s">
        <v>405</v>
      </c>
      <c r="D4141" s="4">
        <v>3</v>
      </c>
      <c r="E4141" s="4" t="s">
        <v>4469</v>
      </c>
      <c r="F4141" s="4" t="s">
        <v>1672</v>
      </c>
    </row>
    <row r="4142" spans="1:6">
      <c r="A4142" s="4" t="s">
        <v>8609</v>
      </c>
      <c r="B4142" s="6" t="s">
        <v>8610</v>
      </c>
      <c r="C4142" s="4" t="s">
        <v>301</v>
      </c>
      <c r="D4142" s="4">
        <v>14</v>
      </c>
      <c r="E4142" s="4" t="s">
        <v>4478</v>
      </c>
      <c r="F4142" s="4" t="s">
        <v>8611</v>
      </c>
    </row>
    <row r="4143" spans="1:6">
      <c r="A4143" s="4" t="s">
        <v>8612</v>
      </c>
      <c r="B4143" s="6" t="s">
        <v>8610</v>
      </c>
      <c r="C4143" s="4" t="s">
        <v>81</v>
      </c>
      <c r="D4143" s="4">
        <v>11</v>
      </c>
      <c r="E4143" s="4" t="s">
        <v>4469</v>
      </c>
    </row>
    <row r="4144" spans="1:6">
      <c r="A4144" s="4" t="s">
        <v>390</v>
      </c>
      <c r="B4144" s="6" t="s">
        <v>8610</v>
      </c>
      <c r="C4144" s="4" t="s">
        <v>390</v>
      </c>
      <c r="D4144" s="4">
        <v>6</v>
      </c>
      <c r="E4144" s="4" t="s">
        <v>8613</v>
      </c>
    </row>
    <row r="4145" spans="1:6">
      <c r="A4145" s="4" t="s">
        <v>8614</v>
      </c>
      <c r="B4145" s="6" t="s">
        <v>8610</v>
      </c>
      <c r="C4145" s="4" t="s">
        <v>3168</v>
      </c>
      <c r="D4145" s="4">
        <v>18</v>
      </c>
      <c r="E4145" s="4" t="s">
        <v>4478</v>
      </c>
    </row>
    <row r="4146" spans="1:6">
      <c r="A4146" s="4" t="s">
        <v>8615</v>
      </c>
      <c r="B4146" s="6" t="s">
        <v>8610</v>
      </c>
      <c r="C4146" s="4" t="s">
        <v>390</v>
      </c>
      <c r="D4146" s="4">
        <v>8</v>
      </c>
      <c r="E4146" s="4" t="s">
        <v>8616</v>
      </c>
    </row>
    <row r="4147" spans="1:6">
      <c r="A4147" s="4" t="s">
        <v>8617</v>
      </c>
      <c r="B4147" s="6" t="s">
        <v>8618</v>
      </c>
      <c r="C4147" s="4" t="s">
        <v>57</v>
      </c>
      <c r="D4147" s="4">
        <v>11</v>
      </c>
      <c r="E4147" s="4" t="s">
        <v>4469</v>
      </c>
      <c r="F4147" s="4" t="s">
        <v>4018</v>
      </c>
    </row>
    <row r="4148" spans="1:6">
      <c r="A4148" s="4" t="s">
        <v>8619</v>
      </c>
      <c r="B4148" s="6" t="s">
        <v>8620</v>
      </c>
      <c r="C4148" s="4" t="s">
        <v>14</v>
      </c>
      <c r="D4148" s="4">
        <v>6</v>
      </c>
      <c r="E4148" s="4" t="s">
        <v>4484</v>
      </c>
      <c r="F4148" s="4" t="s">
        <v>8621</v>
      </c>
    </row>
    <row r="4149" spans="1:6">
      <c r="A4149" s="4" t="s">
        <v>8622</v>
      </c>
      <c r="B4149" s="6" t="s">
        <v>8623</v>
      </c>
      <c r="C4149" s="4" t="s">
        <v>81</v>
      </c>
      <c r="D4149" s="4">
        <v>15</v>
      </c>
      <c r="E4149" s="4" t="s">
        <v>5933</v>
      </c>
    </row>
    <row r="4150" spans="1:6">
      <c r="A4150" s="4" t="s">
        <v>3845</v>
      </c>
      <c r="B4150" s="6" t="s">
        <v>8623</v>
      </c>
      <c r="C4150" s="4" t="s">
        <v>3845</v>
      </c>
      <c r="D4150" s="4">
        <v>4</v>
      </c>
      <c r="E4150" s="4" t="s">
        <v>8624</v>
      </c>
    </row>
    <row r="4151" spans="1:6">
      <c r="A4151" s="4" t="s">
        <v>8625</v>
      </c>
      <c r="B4151" s="6" t="s">
        <v>8626</v>
      </c>
      <c r="C4151" s="4" t="s">
        <v>686</v>
      </c>
      <c r="D4151" s="4">
        <v>12</v>
      </c>
      <c r="E4151" s="4" t="s">
        <v>8624</v>
      </c>
      <c r="F4151" s="4" t="s">
        <v>8627</v>
      </c>
    </row>
    <row r="4152" spans="1:6">
      <c r="A4152" s="4" t="s">
        <v>8628</v>
      </c>
      <c r="B4152" s="6" t="s">
        <v>8626</v>
      </c>
      <c r="C4152" s="4" t="s">
        <v>23</v>
      </c>
      <c r="D4152" s="4">
        <v>15</v>
      </c>
      <c r="E4152" s="4" t="s">
        <v>5933</v>
      </c>
    </row>
    <row r="4153" spans="1:6">
      <c r="A4153" s="4" t="s">
        <v>1835</v>
      </c>
      <c r="B4153" s="6" t="s">
        <v>8629</v>
      </c>
      <c r="C4153" s="4" t="s">
        <v>1835</v>
      </c>
      <c r="D4153" s="4">
        <v>4</v>
      </c>
      <c r="E4153" s="4" t="s">
        <v>4587</v>
      </c>
      <c r="F4153" s="4" t="s">
        <v>4588</v>
      </c>
    </row>
    <row r="4154" spans="1:6">
      <c r="A4154" s="4" t="s">
        <v>5258</v>
      </c>
      <c r="B4154" s="6" t="s">
        <v>8910</v>
      </c>
      <c r="C4154" s="4" t="s">
        <v>275</v>
      </c>
      <c r="D4154" s="4">
        <v>5</v>
      </c>
      <c r="F4154" s="4" t="s">
        <v>5260</v>
      </c>
    </row>
    <row r="4155" spans="1:6">
      <c r="A4155" s="4" t="s">
        <v>8630</v>
      </c>
      <c r="B4155" s="6" t="s">
        <v>8631</v>
      </c>
      <c r="C4155" s="4" t="s">
        <v>74</v>
      </c>
      <c r="D4155" s="4">
        <v>3</v>
      </c>
      <c r="E4155" s="4" t="s">
        <v>208</v>
      </c>
    </row>
    <row r="4156" spans="1:6">
      <c r="A4156" s="4" t="s">
        <v>8632</v>
      </c>
      <c r="B4156" s="6" t="s">
        <v>8631</v>
      </c>
      <c r="C4156" s="4" t="s">
        <v>342</v>
      </c>
      <c r="D4156" s="4">
        <v>8</v>
      </c>
      <c r="E4156" s="4" t="s">
        <v>208</v>
      </c>
    </row>
    <row r="4157" spans="1:6">
      <c r="A4157" s="4" t="s">
        <v>8633</v>
      </c>
      <c r="B4157" s="6" t="s">
        <v>8631</v>
      </c>
      <c r="C4157" s="4" t="s">
        <v>275</v>
      </c>
      <c r="D4157" s="4">
        <v>6</v>
      </c>
      <c r="E4157" s="4" t="s">
        <v>208</v>
      </c>
    </row>
    <row r="4158" spans="1:6">
      <c r="A4158" s="4" t="s">
        <v>8634</v>
      </c>
      <c r="B4158" s="6" t="s">
        <v>8631</v>
      </c>
      <c r="C4158" s="4" t="s">
        <v>49</v>
      </c>
      <c r="D4158" s="4">
        <v>15</v>
      </c>
      <c r="E4158" s="4" t="s">
        <v>5933</v>
      </c>
    </row>
    <row r="4159" spans="1:6">
      <c r="A4159" s="4" t="s">
        <v>8635</v>
      </c>
      <c r="B4159" s="6" t="s">
        <v>8631</v>
      </c>
      <c r="C4159" s="4" t="s">
        <v>1323</v>
      </c>
      <c r="D4159" s="4">
        <v>7</v>
      </c>
      <c r="E4159" s="4" t="s">
        <v>629</v>
      </c>
      <c r="F4159" s="4" t="s">
        <v>8636</v>
      </c>
    </row>
    <row r="4160" spans="1:6">
      <c r="A4160" s="4" t="s">
        <v>8637</v>
      </c>
      <c r="B4160" s="6" t="s">
        <v>8631</v>
      </c>
      <c r="C4160" s="4" t="s">
        <v>37</v>
      </c>
      <c r="D4160" s="4">
        <v>14</v>
      </c>
      <c r="E4160" s="4" t="s">
        <v>449</v>
      </c>
    </row>
    <row r="4161" spans="1:6">
      <c r="A4161" s="4" t="s">
        <v>1679</v>
      </c>
      <c r="B4161" s="6" t="s">
        <v>8638</v>
      </c>
      <c r="C4161" s="4" t="s">
        <v>1679</v>
      </c>
      <c r="D4161" s="4">
        <v>6</v>
      </c>
      <c r="E4161" s="4" t="s">
        <v>208</v>
      </c>
      <c r="F4161" s="4" t="s">
        <v>8639</v>
      </c>
    </row>
    <row r="4162" spans="1:6">
      <c r="A4162" s="4" t="s">
        <v>8640</v>
      </c>
      <c r="B4162" s="6" t="s">
        <v>8638</v>
      </c>
      <c r="C4162" s="4" t="s">
        <v>8641</v>
      </c>
      <c r="D4162" s="4">
        <v>15</v>
      </c>
      <c r="E4162" s="4" t="s">
        <v>5933</v>
      </c>
      <c r="F4162" s="4" t="s">
        <v>8642</v>
      </c>
    </row>
    <row r="4163" spans="1:6">
      <c r="A4163" s="4" t="s">
        <v>8643</v>
      </c>
      <c r="B4163" s="6" t="s">
        <v>8638</v>
      </c>
      <c r="C4163" s="4" t="s">
        <v>45</v>
      </c>
      <c r="D4163" s="4">
        <v>6</v>
      </c>
      <c r="E4163" s="4" t="s">
        <v>208</v>
      </c>
    </row>
    <row r="4164" spans="1:6">
      <c r="A4164" s="4" t="s">
        <v>8644</v>
      </c>
      <c r="B4164" s="6" t="s">
        <v>8638</v>
      </c>
      <c r="C4164" s="4" t="s">
        <v>41</v>
      </c>
      <c r="D4164" s="4">
        <v>15</v>
      </c>
      <c r="E4164" s="4" t="s">
        <v>5933</v>
      </c>
    </row>
    <row r="4165" spans="1:6">
      <c r="A4165" s="4" t="s">
        <v>8645</v>
      </c>
      <c r="B4165" s="6" t="s">
        <v>8646</v>
      </c>
      <c r="C4165" s="4" t="s">
        <v>675</v>
      </c>
      <c r="D4165" s="4">
        <v>8</v>
      </c>
      <c r="E4165" s="4" t="s">
        <v>5933</v>
      </c>
      <c r="F4165" s="4" t="s">
        <v>8647</v>
      </c>
    </row>
    <row r="4166" spans="1:6">
      <c r="A4166" s="4" t="s">
        <v>63</v>
      </c>
      <c r="B4166" s="6" t="s">
        <v>8648</v>
      </c>
      <c r="C4166" s="4" t="s">
        <v>63</v>
      </c>
      <c r="D4166" s="4">
        <v>8</v>
      </c>
      <c r="E4166" s="4" t="s">
        <v>208</v>
      </c>
      <c r="F4166" s="4" t="s">
        <v>7027</v>
      </c>
    </row>
    <row r="4167" spans="1:6">
      <c r="A4167" s="4" t="s">
        <v>8649</v>
      </c>
      <c r="B4167" s="6" t="s">
        <v>8650</v>
      </c>
      <c r="C4167" s="4" t="s">
        <v>254</v>
      </c>
      <c r="D4167" s="4">
        <v>8</v>
      </c>
      <c r="E4167" s="4" t="s">
        <v>5933</v>
      </c>
      <c r="F4167" s="4" t="s">
        <v>8651</v>
      </c>
    </row>
    <row r="4168" spans="1:6">
      <c r="A4168" s="4" t="s">
        <v>8652</v>
      </c>
      <c r="B4168" s="6" t="s">
        <v>8653</v>
      </c>
      <c r="C4168" s="4" t="s">
        <v>705</v>
      </c>
      <c r="D4168" s="4">
        <v>11</v>
      </c>
      <c r="E4168" s="4" t="s">
        <v>4758</v>
      </c>
      <c r="F4168" s="4" t="s">
        <v>8654</v>
      </c>
    </row>
    <row r="4169" spans="1:6">
      <c r="A4169" s="4" t="s">
        <v>8655</v>
      </c>
      <c r="B4169" s="6" t="s">
        <v>8653</v>
      </c>
      <c r="C4169" s="4" t="s">
        <v>63</v>
      </c>
      <c r="D4169" s="4">
        <v>19</v>
      </c>
      <c r="E4169" s="4" t="s">
        <v>4758</v>
      </c>
      <c r="F4169" s="4" t="s">
        <v>2413</v>
      </c>
    </row>
    <row r="4170" spans="1:6">
      <c r="A4170" s="4" t="s">
        <v>57</v>
      </c>
      <c r="B4170" s="6" t="s">
        <v>8656</v>
      </c>
      <c r="C4170" s="4" t="s">
        <v>57</v>
      </c>
      <c r="D4170" s="4">
        <v>4</v>
      </c>
      <c r="E4170" s="4" t="s">
        <v>54</v>
      </c>
      <c r="F4170" s="4" t="s">
        <v>8657</v>
      </c>
    </row>
    <row r="4171" spans="1:6">
      <c r="A4171" s="4" t="s">
        <v>8658</v>
      </c>
      <c r="B4171" s="6" t="s">
        <v>8659</v>
      </c>
      <c r="C4171" s="4" t="s">
        <v>420</v>
      </c>
      <c r="D4171" s="4">
        <v>9</v>
      </c>
      <c r="F4171" s="4" t="s">
        <v>2411</v>
      </c>
    </row>
    <row r="4172" spans="1:6">
      <c r="A4172" s="4" t="s">
        <v>8660</v>
      </c>
      <c r="B4172" s="6" t="s">
        <v>8661</v>
      </c>
      <c r="C4172" s="4" t="s">
        <v>104</v>
      </c>
      <c r="D4172" s="4">
        <v>8</v>
      </c>
      <c r="E4172" s="4" t="s">
        <v>54</v>
      </c>
    </row>
    <row r="4173" spans="1:6">
      <c r="A4173" s="4" t="s">
        <v>8662</v>
      </c>
      <c r="B4173" s="6" t="s">
        <v>8663</v>
      </c>
      <c r="C4173" s="4" t="s">
        <v>76</v>
      </c>
      <c r="D4173" s="4">
        <v>9</v>
      </c>
      <c r="E4173" s="4" t="s">
        <v>177</v>
      </c>
      <c r="F4173" s="4" t="s">
        <v>8664</v>
      </c>
    </row>
    <row r="4174" spans="1:6">
      <c r="A4174" s="4" t="s">
        <v>8665</v>
      </c>
      <c r="B4174" s="6" t="s">
        <v>8663</v>
      </c>
      <c r="C4174" s="4" t="s">
        <v>4475</v>
      </c>
      <c r="D4174" s="4">
        <v>4</v>
      </c>
      <c r="E4174" s="4" t="s">
        <v>8666</v>
      </c>
      <c r="F4174" s="4" t="s">
        <v>7709</v>
      </c>
    </row>
    <row r="4175" spans="1:6">
      <c r="A4175" s="4" t="s">
        <v>8667</v>
      </c>
      <c r="B4175" s="6" t="s">
        <v>8668</v>
      </c>
      <c r="C4175" s="4" t="s">
        <v>27</v>
      </c>
      <c r="D4175" s="4">
        <v>11</v>
      </c>
      <c r="E4175" s="4" t="s">
        <v>8669</v>
      </c>
    </row>
    <row r="4176" spans="1:6">
      <c r="A4176" s="4" t="s">
        <v>8670</v>
      </c>
      <c r="B4176" s="6" t="s">
        <v>8671</v>
      </c>
      <c r="C4176" s="4" t="s">
        <v>104</v>
      </c>
      <c r="D4176" s="4">
        <v>13</v>
      </c>
      <c r="E4176" s="4" t="s">
        <v>5567</v>
      </c>
    </row>
    <row r="4177" spans="1:6">
      <c r="A4177" s="4" t="s">
        <v>8672</v>
      </c>
      <c r="B4177" s="6" t="s">
        <v>8673</v>
      </c>
      <c r="C4177" s="4" t="s">
        <v>1624</v>
      </c>
      <c r="D4177" s="4">
        <v>10</v>
      </c>
      <c r="E4177" s="4" t="s">
        <v>1609</v>
      </c>
    </row>
    <row r="4178" spans="1:6">
      <c r="A4178" s="4" t="s">
        <v>574</v>
      </c>
      <c r="B4178" s="6" t="s">
        <v>8674</v>
      </c>
      <c r="C4178" s="4" t="s">
        <v>574</v>
      </c>
      <c r="D4178" s="4">
        <v>7</v>
      </c>
      <c r="E4178" s="4" t="s">
        <v>983</v>
      </c>
      <c r="F4178" s="4" t="s">
        <v>8675</v>
      </c>
    </row>
    <row r="4179" spans="1:6">
      <c r="A4179" s="4" t="s">
        <v>8676</v>
      </c>
      <c r="B4179" s="6" t="s">
        <v>8674</v>
      </c>
      <c r="C4179" s="4" t="s">
        <v>254</v>
      </c>
      <c r="D4179" s="4">
        <v>9</v>
      </c>
      <c r="F4179" s="4" t="s">
        <v>8675</v>
      </c>
    </row>
    <row r="4180" spans="1:6">
      <c r="A4180" s="4" t="s">
        <v>8677</v>
      </c>
      <c r="B4180" s="6" t="s">
        <v>8674</v>
      </c>
      <c r="C4180" s="4" t="s">
        <v>121</v>
      </c>
      <c r="D4180" s="4">
        <v>12</v>
      </c>
      <c r="E4180" s="4" t="s">
        <v>983</v>
      </c>
      <c r="F4180" s="4" t="s">
        <v>8678</v>
      </c>
    </row>
    <row r="4181" spans="1:6">
      <c r="A4181" s="4" t="s">
        <v>8679</v>
      </c>
      <c r="B4181" s="6" t="s">
        <v>8680</v>
      </c>
      <c r="C4181" s="4" t="s">
        <v>8681</v>
      </c>
      <c r="D4181" s="4">
        <v>11</v>
      </c>
      <c r="E4181" s="4" t="s">
        <v>983</v>
      </c>
      <c r="F4181" s="4" t="s">
        <v>8682</v>
      </c>
    </row>
    <row r="4182" spans="1:6">
      <c r="A4182" s="4" t="s">
        <v>8683</v>
      </c>
      <c r="B4182" s="6" t="s">
        <v>8680</v>
      </c>
      <c r="C4182" s="4" t="s">
        <v>254</v>
      </c>
      <c r="D4182" s="4">
        <v>8</v>
      </c>
      <c r="E4182" s="4" t="s">
        <v>983</v>
      </c>
    </row>
    <row r="4183" spans="1:6">
      <c r="A4183" s="4" t="s">
        <v>8684</v>
      </c>
      <c r="B4183" s="6" t="s">
        <v>8680</v>
      </c>
      <c r="C4183" s="4" t="s">
        <v>285</v>
      </c>
      <c r="D4183" s="4">
        <v>7</v>
      </c>
      <c r="E4183" s="4" t="s">
        <v>1904</v>
      </c>
    </row>
    <row r="4184" spans="1:6">
      <c r="A4184" s="4" t="s">
        <v>8685</v>
      </c>
      <c r="B4184" s="6" t="s">
        <v>8686</v>
      </c>
      <c r="C4184" s="4" t="s">
        <v>163</v>
      </c>
      <c r="D4184" s="4">
        <v>11</v>
      </c>
      <c r="E4184" s="4" t="s">
        <v>789</v>
      </c>
      <c r="F4184" s="4" t="s">
        <v>2482</v>
      </c>
    </row>
    <row r="4185" spans="1:6">
      <c r="A4185" s="4" t="s">
        <v>8687</v>
      </c>
      <c r="B4185" s="6" t="s">
        <v>8686</v>
      </c>
      <c r="C4185" s="4" t="s">
        <v>485</v>
      </c>
      <c r="D4185" s="4">
        <v>15</v>
      </c>
      <c r="E4185" s="4" t="s">
        <v>789</v>
      </c>
      <c r="F4185" s="4" t="s">
        <v>8688</v>
      </c>
    </row>
    <row r="4186" spans="1:6">
      <c r="A4186" s="4" t="s">
        <v>8689</v>
      </c>
      <c r="B4186" s="6" t="s">
        <v>8690</v>
      </c>
      <c r="C4186" s="4" t="s">
        <v>686</v>
      </c>
      <c r="D4186" s="4">
        <v>17</v>
      </c>
      <c r="E4186" s="4" t="s">
        <v>6184</v>
      </c>
    </row>
    <row r="4187" spans="1:6">
      <c r="A4187" s="4" t="s">
        <v>8691</v>
      </c>
      <c r="B4187" s="6" t="s">
        <v>8692</v>
      </c>
      <c r="C4187" s="4" t="s">
        <v>427</v>
      </c>
      <c r="D4187" s="4">
        <v>11</v>
      </c>
      <c r="E4187" s="4" t="s">
        <v>8693</v>
      </c>
      <c r="F4187" s="4" t="s">
        <v>8694</v>
      </c>
    </row>
    <row r="4188" spans="1:6">
      <c r="A4188" s="4" t="s">
        <v>8695</v>
      </c>
      <c r="B4188" s="6" t="s">
        <v>8696</v>
      </c>
      <c r="C4188" s="4" t="s">
        <v>1323</v>
      </c>
      <c r="D4188" s="4">
        <v>5</v>
      </c>
      <c r="E4188" s="4" t="s">
        <v>752</v>
      </c>
      <c r="F4188" s="4" t="s">
        <v>8697</v>
      </c>
    </row>
    <row r="4189" spans="1:6">
      <c r="A4189" s="4" t="s">
        <v>8698</v>
      </c>
      <c r="B4189" s="6" t="s">
        <v>8699</v>
      </c>
      <c r="C4189" s="4" t="s">
        <v>461</v>
      </c>
      <c r="D4189" s="4">
        <v>7</v>
      </c>
      <c r="E4189" s="4" t="s">
        <v>983</v>
      </c>
      <c r="F4189" s="4" t="s">
        <v>8700</v>
      </c>
    </row>
    <row r="4190" spans="1:6">
      <c r="A4190" s="4" t="s">
        <v>8701</v>
      </c>
      <c r="B4190" s="6" t="s">
        <v>8702</v>
      </c>
      <c r="C4190" s="4" t="s">
        <v>1180</v>
      </c>
      <c r="D4190" s="4">
        <v>10</v>
      </c>
      <c r="E4190" s="4" t="s">
        <v>983</v>
      </c>
      <c r="F4190" s="4" t="s">
        <v>1198</v>
      </c>
    </row>
    <row r="4191" spans="1:6">
      <c r="A4191" s="4" t="s">
        <v>8703</v>
      </c>
      <c r="B4191" s="6" t="s">
        <v>8702</v>
      </c>
      <c r="C4191" s="4" t="s">
        <v>1231</v>
      </c>
      <c r="D4191" s="4">
        <v>21</v>
      </c>
      <c r="E4191" s="4" t="s">
        <v>8704</v>
      </c>
    </row>
    <row r="4192" spans="1:6">
      <c r="A4192" s="4" t="s">
        <v>8705</v>
      </c>
      <c r="B4192" s="6" t="s">
        <v>8706</v>
      </c>
      <c r="C4192" s="4" t="s">
        <v>254</v>
      </c>
      <c r="D4192" s="4">
        <v>9</v>
      </c>
      <c r="E4192" s="4" t="s">
        <v>989</v>
      </c>
      <c r="F4192" s="4" t="s">
        <v>4558</v>
      </c>
    </row>
    <row r="4193" spans="1:6">
      <c r="A4193" s="4" t="s">
        <v>8707</v>
      </c>
      <c r="B4193" s="6" t="s">
        <v>8708</v>
      </c>
      <c r="C4193" s="4" t="s">
        <v>427</v>
      </c>
      <c r="D4193" s="4">
        <v>10</v>
      </c>
      <c r="E4193" s="4" t="s">
        <v>1047</v>
      </c>
    </row>
    <row r="4194" spans="1:6">
      <c r="A4194" s="4" t="s">
        <v>8709</v>
      </c>
      <c r="B4194" s="6" t="s">
        <v>8710</v>
      </c>
      <c r="C4194" s="4" t="s">
        <v>104</v>
      </c>
      <c r="D4194" s="4">
        <v>16</v>
      </c>
      <c r="E4194" s="4" t="s">
        <v>1064</v>
      </c>
    </row>
    <row r="4195" spans="1:6">
      <c r="A4195" s="4" t="s">
        <v>8711</v>
      </c>
      <c r="B4195" s="6" t="s">
        <v>8712</v>
      </c>
      <c r="C4195" s="4" t="s">
        <v>34</v>
      </c>
      <c r="D4195" s="4">
        <v>12</v>
      </c>
      <c r="E4195" s="4" t="s">
        <v>1043</v>
      </c>
    </row>
    <row r="4196" spans="1:6">
      <c r="A4196" s="4" t="s">
        <v>8713</v>
      </c>
      <c r="B4196" s="6" t="s">
        <v>8714</v>
      </c>
      <c r="C4196" s="4" t="s">
        <v>254</v>
      </c>
      <c r="D4196" s="4">
        <v>6</v>
      </c>
      <c r="E4196" s="4" t="s">
        <v>1378</v>
      </c>
      <c r="F4196" s="4" t="s">
        <v>8715</v>
      </c>
    </row>
    <row r="4197" spans="1:6">
      <c r="A4197" s="4" t="s">
        <v>8716</v>
      </c>
      <c r="B4197" s="6" t="s">
        <v>8714</v>
      </c>
      <c r="C4197" s="4" t="s">
        <v>95</v>
      </c>
      <c r="D4197" s="4">
        <v>11</v>
      </c>
      <c r="E4197" s="4" t="s">
        <v>1047</v>
      </c>
      <c r="F4197" s="4" t="s">
        <v>6333</v>
      </c>
    </row>
    <row r="4198" spans="1:6">
      <c r="A4198" s="4" t="s">
        <v>8717</v>
      </c>
      <c r="B4198" s="6" t="s">
        <v>8714</v>
      </c>
      <c r="C4198" s="4" t="s">
        <v>238</v>
      </c>
      <c r="D4198" s="4">
        <v>15</v>
      </c>
      <c r="E4198" s="4" t="s">
        <v>1047</v>
      </c>
      <c r="F4198" s="4" t="s">
        <v>8718</v>
      </c>
    </row>
    <row r="4199" spans="1:6">
      <c r="A4199" s="4" t="s">
        <v>8681</v>
      </c>
      <c r="B4199" s="6" t="s">
        <v>8719</v>
      </c>
      <c r="C4199" s="4" t="s">
        <v>8681</v>
      </c>
      <c r="D4199" s="4">
        <v>7</v>
      </c>
      <c r="E4199" s="4" t="s">
        <v>7602</v>
      </c>
      <c r="F4199" s="4" t="s">
        <v>920</v>
      </c>
    </row>
    <row r="4200" spans="1:6">
      <c r="A4200" s="4" t="s">
        <v>8720</v>
      </c>
      <c r="B4200" s="6" t="s">
        <v>8719</v>
      </c>
      <c r="C4200" s="4" t="s">
        <v>605</v>
      </c>
      <c r="D4200" s="4">
        <v>4</v>
      </c>
      <c r="E4200" s="4" t="s">
        <v>7101</v>
      </c>
    </row>
    <row r="4201" spans="1:6">
      <c r="A4201" s="4" t="s">
        <v>8721</v>
      </c>
      <c r="B4201" s="6" t="s">
        <v>8719</v>
      </c>
      <c r="C4201" s="4" t="s">
        <v>876</v>
      </c>
      <c r="D4201" s="4">
        <v>5</v>
      </c>
      <c r="E4201" s="4" t="s">
        <v>1107</v>
      </c>
      <c r="F4201" s="4" t="s">
        <v>8722</v>
      </c>
    </row>
    <row r="4202" spans="1:6">
      <c r="A4202" s="4" t="s">
        <v>8723</v>
      </c>
      <c r="B4202" s="6" t="s">
        <v>8719</v>
      </c>
      <c r="C4202" s="4" t="s">
        <v>23</v>
      </c>
      <c r="D4202" s="4">
        <v>7</v>
      </c>
      <c r="F4202" s="4" t="s">
        <v>8724</v>
      </c>
    </row>
    <row r="4203" spans="1:6">
      <c r="A4203" s="4" t="s">
        <v>4179</v>
      </c>
      <c r="B4203" s="6" t="s">
        <v>8725</v>
      </c>
      <c r="C4203" s="4" t="s">
        <v>4179</v>
      </c>
      <c r="D4203" s="4">
        <v>12</v>
      </c>
      <c r="E4203" s="4" t="s">
        <v>1047</v>
      </c>
      <c r="F4203" s="4" t="s">
        <v>1631</v>
      </c>
    </row>
    <row r="4204" spans="1:6">
      <c r="A4204" s="4" t="s">
        <v>92</v>
      </c>
      <c r="B4204" s="6" t="s">
        <v>8725</v>
      </c>
      <c r="C4204" s="4" t="s">
        <v>92</v>
      </c>
      <c r="D4204" s="4">
        <v>15</v>
      </c>
      <c r="E4204" s="4" t="s">
        <v>1047</v>
      </c>
      <c r="F4204" s="4" t="s">
        <v>1631</v>
      </c>
    </row>
    <row r="4205" spans="1:6">
      <c r="A4205" s="4" t="s">
        <v>8726</v>
      </c>
      <c r="B4205" s="6" t="s">
        <v>8725</v>
      </c>
      <c r="C4205" s="4" t="s">
        <v>254</v>
      </c>
      <c r="D4205" s="4">
        <v>8</v>
      </c>
      <c r="E4205" s="4" t="s">
        <v>1047</v>
      </c>
    </row>
    <row r="4206" spans="1:6">
      <c r="A4206" s="4" t="s">
        <v>8727</v>
      </c>
      <c r="B4206" s="6" t="s">
        <v>8728</v>
      </c>
      <c r="C4206" s="4" t="s">
        <v>34</v>
      </c>
      <c r="D4206" s="4">
        <v>6</v>
      </c>
      <c r="E4206" s="4" t="s">
        <v>8729</v>
      </c>
    </row>
    <row r="4207" spans="1:6">
      <c r="A4207" s="4" t="s">
        <v>8730</v>
      </c>
      <c r="B4207" s="6" t="s">
        <v>8728</v>
      </c>
      <c r="C4207" s="4" t="s">
        <v>1756</v>
      </c>
      <c r="D4207" s="4">
        <v>3</v>
      </c>
      <c r="E4207" s="4" t="s">
        <v>6169</v>
      </c>
    </row>
    <row r="4208" spans="1:6">
      <c r="A4208" s="4" t="s">
        <v>8731</v>
      </c>
      <c r="B4208" s="6" t="s">
        <v>8732</v>
      </c>
      <c r="C4208" s="4" t="s">
        <v>53</v>
      </c>
      <c r="D4208" s="4">
        <v>16</v>
      </c>
      <c r="E4208" s="4" t="s">
        <v>6368</v>
      </c>
    </row>
    <row r="4209" spans="1:6">
      <c r="A4209" s="4" t="s">
        <v>8733</v>
      </c>
      <c r="B4209" s="6" t="s">
        <v>8734</v>
      </c>
      <c r="C4209" s="4" t="s">
        <v>53</v>
      </c>
      <c r="D4209" s="4">
        <v>8</v>
      </c>
      <c r="E4209" s="4" t="s">
        <v>6368</v>
      </c>
    </row>
    <row r="4210" spans="1:6">
      <c r="A4210" s="4" t="s">
        <v>8735</v>
      </c>
      <c r="B4210" s="6" t="s">
        <v>8736</v>
      </c>
      <c r="C4210" s="4" t="s">
        <v>104</v>
      </c>
      <c r="D4210" s="4">
        <v>9</v>
      </c>
      <c r="E4210" s="4" t="s">
        <v>7159</v>
      </c>
      <c r="F4210" s="4" t="s">
        <v>8737</v>
      </c>
    </row>
    <row r="4211" spans="1:6">
      <c r="A4211" s="4" t="s">
        <v>8738</v>
      </c>
      <c r="B4211" s="6" t="s">
        <v>8739</v>
      </c>
      <c r="C4211" s="4" t="s">
        <v>53</v>
      </c>
      <c r="D4211" s="4">
        <v>13</v>
      </c>
      <c r="E4211" s="4" t="s">
        <v>8740</v>
      </c>
      <c r="F4211" s="4" t="s">
        <v>8741</v>
      </c>
    </row>
    <row r="4212" spans="1:6">
      <c r="A4212" s="4" t="s">
        <v>8742</v>
      </c>
      <c r="B4212" s="6" t="s">
        <v>8743</v>
      </c>
      <c r="C4212" s="4" t="s">
        <v>3255</v>
      </c>
      <c r="D4212" s="4">
        <v>11</v>
      </c>
      <c r="E4212" s="4" t="s">
        <v>8744</v>
      </c>
      <c r="F4212" s="4" t="s">
        <v>8745</v>
      </c>
    </row>
    <row r="4213" spans="1:6">
      <c r="A4213" s="4" t="s">
        <v>8746</v>
      </c>
      <c r="B4213" s="6" t="s">
        <v>8743</v>
      </c>
      <c r="C4213" s="4" t="s">
        <v>69</v>
      </c>
      <c r="D4213" s="4">
        <v>5</v>
      </c>
      <c r="E4213" s="4" t="s">
        <v>8747</v>
      </c>
      <c r="F4213" s="4" t="s">
        <v>8748</v>
      </c>
    </row>
    <row r="4214" spans="1:6">
      <c r="A4214" s="4" t="s">
        <v>8749</v>
      </c>
      <c r="B4214" s="6" t="s">
        <v>8743</v>
      </c>
      <c r="C4214" s="4" t="s">
        <v>427</v>
      </c>
      <c r="D4214" s="4">
        <v>17</v>
      </c>
      <c r="E4214" s="4" t="s">
        <v>8747</v>
      </c>
    </row>
    <row r="4215" spans="1:6">
      <c r="A4215" s="4" t="s">
        <v>8750</v>
      </c>
      <c r="B4215" s="6" t="s">
        <v>8751</v>
      </c>
      <c r="C4215" s="4" t="s">
        <v>92</v>
      </c>
      <c r="D4215" s="4">
        <v>20</v>
      </c>
      <c r="E4215" s="4" t="s">
        <v>8752</v>
      </c>
    </row>
    <row r="4216" spans="1:6">
      <c r="A4216" s="4" t="s">
        <v>8753</v>
      </c>
      <c r="B4216" s="6" t="s">
        <v>8754</v>
      </c>
      <c r="C4216" s="4" t="s">
        <v>81</v>
      </c>
      <c r="D4216" s="4">
        <v>13</v>
      </c>
      <c r="E4216" s="4" t="s">
        <v>7159</v>
      </c>
    </row>
    <row r="4217" spans="1:6">
      <c r="A4217" s="4" t="s">
        <v>8755</v>
      </c>
      <c r="B4217" s="6" t="s">
        <v>8756</v>
      </c>
      <c r="C4217" s="4" t="s">
        <v>87</v>
      </c>
      <c r="D4217" s="4">
        <v>7</v>
      </c>
      <c r="E4217" s="4" t="s">
        <v>8757</v>
      </c>
      <c r="F4217" s="4" t="s">
        <v>8758</v>
      </c>
    </row>
    <row r="4218" spans="1:6">
      <c r="A4218" s="4" t="s">
        <v>8759</v>
      </c>
      <c r="B4218" s="6" t="s">
        <v>8756</v>
      </c>
      <c r="C4218" s="4" t="s">
        <v>1420</v>
      </c>
      <c r="D4218" s="4">
        <v>15</v>
      </c>
      <c r="E4218" s="4" t="s">
        <v>1175</v>
      </c>
      <c r="F4218" s="4" t="s">
        <v>483</v>
      </c>
    </row>
    <row r="4219" spans="1:6">
      <c r="A4219" s="4" t="s">
        <v>8760</v>
      </c>
      <c r="B4219" s="6" t="s">
        <v>8756</v>
      </c>
      <c r="C4219" s="4" t="s">
        <v>470</v>
      </c>
      <c r="D4219" s="4">
        <v>6</v>
      </c>
      <c r="E4219" s="4" t="s">
        <v>1161</v>
      </c>
    </row>
    <row r="4220" spans="1:6">
      <c r="A4220" s="4" t="s">
        <v>8761</v>
      </c>
      <c r="B4220" s="6" t="s">
        <v>8762</v>
      </c>
      <c r="C4220" s="4" t="s">
        <v>686</v>
      </c>
      <c r="D4220" s="4">
        <v>8</v>
      </c>
      <c r="E4220" s="4" t="s">
        <v>6398</v>
      </c>
      <c r="F4220" s="4" t="s">
        <v>8763</v>
      </c>
    </row>
    <row r="4221" spans="1:6">
      <c r="A4221" s="4" t="s">
        <v>8764</v>
      </c>
      <c r="B4221" s="6" t="s">
        <v>8765</v>
      </c>
      <c r="C4221" s="4" t="s">
        <v>23</v>
      </c>
      <c r="D4221" s="4">
        <v>7</v>
      </c>
      <c r="E4221" s="4" t="s">
        <v>6398</v>
      </c>
      <c r="F4221" s="4" t="s">
        <v>6708</v>
      </c>
    </row>
    <row r="4222" spans="1:6">
      <c r="A4222" s="4" t="s">
        <v>1003</v>
      </c>
      <c r="B4222" s="6" t="s">
        <v>8766</v>
      </c>
      <c r="C4222" s="4" t="s">
        <v>8767</v>
      </c>
      <c r="D4222" s="4">
        <v>3</v>
      </c>
      <c r="E4222" s="4" t="s">
        <v>1064</v>
      </c>
      <c r="F4222" s="4" t="s">
        <v>592</v>
      </c>
    </row>
    <row r="4223" spans="1:6">
      <c r="A4223" s="4" t="s">
        <v>8767</v>
      </c>
      <c r="B4223" s="6" t="s">
        <v>8766</v>
      </c>
      <c r="C4223" s="4" t="s">
        <v>8767</v>
      </c>
      <c r="D4223" s="4">
        <v>3</v>
      </c>
      <c r="E4223" s="4" t="s">
        <v>1064</v>
      </c>
      <c r="F4223" s="4" t="s">
        <v>592</v>
      </c>
    </row>
    <row r="4224" spans="1:6">
      <c r="A4224" s="4" t="s">
        <v>8768</v>
      </c>
      <c r="B4224" s="6" t="s">
        <v>8769</v>
      </c>
      <c r="C4224" s="4" t="s">
        <v>53</v>
      </c>
      <c r="D4224" s="4">
        <v>10</v>
      </c>
      <c r="E4224" s="4" t="s">
        <v>1064</v>
      </c>
    </row>
    <row r="4225" spans="1:6">
      <c r="A4225" s="4" t="s">
        <v>8770</v>
      </c>
      <c r="B4225" s="6" t="s">
        <v>8771</v>
      </c>
      <c r="C4225" s="4" t="s">
        <v>315</v>
      </c>
      <c r="D4225" s="4">
        <v>11</v>
      </c>
      <c r="E4225" s="4" t="s">
        <v>1064</v>
      </c>
    </row>
    <row r="4226" spans="1:6">
      <c r="A4226" s="4" t="s">
        <v>8772</v>
      </c>
      <c r="B4226" s="6" t="s">
        <v>8773</v>
      </c>
      <c r="C4226" s="4" t="s">
        <v>23</v>
      </c>
      <c r="D4226" s="4">
        <v>11</v>
      </c>
      <c r="E4226" s="4" t="s">
        <v>8774</v>
      </c>
    </row>
    <row r="4227" spans="1:6">
      <c r="A4227" s="4" t="s">
        <v>8775</v>
      </c>
      <c r="B4227" s="6" t="s">
        <v>8776</v>
      </c>
      <c r="C4227" s="4" t="s">
        <v>8341</v>
      </c>
      <c r="D4227" s="4">
        <v>9</v>
      </c>
      <c r="E4227" s="4" t="s">
        <v>1004</v>
      </c>
      <c r="F4227" s="4" t="s">
        <v>8777</v>
      </c>
    </row>
    <row r="4228" spans="1:6">
      <c r="A4228" s="4" t="s">
        <v>8778</v>
      </c>
      <c r="B4228" s="6" t="s">
        <v>8776</v>
      </c>
      <c r="C4228" s="4" t="s">
        <v>1262</v>
      </c>
      <c r="D4228" s="4">
        <v>17</v>
      </c>
      <c r="E4228" s="4" t="s">
        <v>1004</v>
      </c>
      <c r="F4228" s="4" t="s">
        <v>8779</v>
      </c>
    </row>
    <row r="4229" spans="1:6">
      <c r="A4229" s="4" t="s">
        <v>8780</v>
      </c>
      <c r="B4229" s="6" t="s">
        <v>8781</v>
      </c>
      <c r="C4229" s="4" t="s">
        <v>2570</v>
      </c>
      <c r="D4229" s="4">
        <v>13</v>
      </c>
      <c r="E4229" s="4" t="s">
        <v>8782</v>
      </c>
      <c r="F4229" s="4" t="s">
        <v>8783</v>
      </c>
    </row>
    <row r="4230" spans="1:6">
      <c r="A4230" s="4" t="s">
        <v>8784</v>
      </c>
      <c r="B4230" s="6" t="s">
        <v>8781</v>
      </c>
      <c r="C4230" s="4" t="s">
        <v>254</v>
      </c>
      <c r="D4230" s="4">
        <v>9</v>
      </c>
      <c r="E4230" s="4" t="s">
        <v>6723</v>
      </c>
      <c r="F4230" s="4" t="s">
        <v>8785</v>
      </c>
    </row>
    <row r="4231" spans="1:6">
      <c r="A4231" s="4" t="s">
        <v>8786</v>
      </c>
      <c r="B4231" s="6" t="s">
        <v>8781</v>
      </c>
      <c r="C4231" s="4" t="s">
        <v>439</v>
      </c>
      <c r="D4231" s="4">
        <v>19</v>
      </c>
      <c r="E4231" s="4" t="s">
        <v>1004</v>
      </c>
      <c r="F4231" s="4" t="s">
        <v>8787</v>
      </c>
    </row>
    <row r="4232" spans="1:6">
      <c r="A4232" s="4" t="s">
        <v>8788</v>
      </c>
      <c r="B4232" s="6" t="s">
        <v>8781</v>
      </c>
      <c r="C4232" s="4" t="s">
        <v>92</v>
      </c>
      <c r="D4232" s="4">
        <v>22</v>
      </c>
      <c r="E4232" s="4" t="s">
        <v>6208</v>
      </c>
    </row>
    <row r="4233" spans="1:6">
      <c r="A4233" s="4" t="s">
        <v>8789</v>
      </c>
      <c r="B4233" s="6" t="s">
        <v>8790</v>
      </c>
      <c r="C4233" s="4" t="s">
        <v>53</v>
      </c>
      <c r="D4233" s="4">
        <v>11</v>
      </c>
      <c r="E4233" s="4" t="s">
        <v>1249</v>
      </c>
    </row>
    <row r="4234" spans="1:6">
      <c r="A4234" s="4" t="s">
        <v>8791</v>
      </c>
      <c r="B4234" s="6" t="s">
        <v>8792</v>
      </c>
      <c r="C4234" s="4" t="s">
        <v>458</v>
      </c>
      <c r="D4234" s="4">
        <v>10</v>
      </c>
      <c r="E4234" s="4" t="s">
        <v>1069</v>
      </c>
      <c r="F4234" s="4" t="s">
        <v>8793</v>
      </c>
    </row>
    <row r="4235" spans="1:6">
      <c r="A4235" s="4" t="s">
        <v>8794</v>
      </c>
      <c r="B4235" s="6" t="s">
        <v>8795</v>
      </c>
      <c r="C4235" s="4" t="s">
        <v>104</v>
      </c>
      <c r="D4235" s="4">
        <v>8</v>
      </c>
      <c r="E4235" s="4" t="s">
        <v>1069</v>
      </c>
    </row>
    <row r="4236" spans="1:6">
      <c r="A4236" s="4" t="s">
        <v>8796</v>
      </c>
      <c r="B4236" s="6" t="s">
        <v>8797</v>
      </c>
      <c r="C4236" s="4" t="s">
        <v>23</v>
      </c>
      <c r="D4236" s="4">
        <v>11</v>
      </c>
      <c r="E4236" s="4" t="s">
        <v>1069</v>
      </c>
      <c r="F4236" s="4" t="s">
        <v>8798</v>
      </c>
    </row>
    <row r="4237" spans="1:6">
      <c r="A4237" s="4" t="s">
        <v>8799</v>
      </c>
      <c r="B4237" s="6" t="s">
        <v>8797</v>
      </c>
      <c r="C4237" s="4" t="s">
        <v>254</v>
      </c>
      <c r="D4237" s="4">
        <v>10</v>
      </c>
      <c r="E4237" s="4" t="s">
        <v>1069</v>
      </c>
    </row>
    <row r="4238" spans="1:6">
      <c r="A4238" s="4" t="s">
        <v>8800</v>
      </c>
      <c r="B4238" s="6" t="s">
        <v>8797</v>
      </c>
      <c r="C4238" s="4" t="s">
        <v>14</v>
      </c>
      <c r="D4238" s="4">
        <v>11</v>
      </c>
      <c r="E4238" s="4" t="s">
        <v>1069</v>
      </c>
    </row>
    <row r="4239" spans="1:6">
      <c r="A4239" s="4" t="s">
        <v>8801</v>
      </c>
      <c r="B4239" s="6" t="s">
        <v>8802</v>
      </c>
      <c r="C4239" s="4" t="s">
        <v>95</v>
      </c>
      <c r="D4239" s="4">
        <v>14</v>
      </c>
      <c r="E4239" s="4" t="s">
        <v>1069</v>
      </c>
    </row>
    <row r="4240" spans="1:6">
      <c r="A4240" s="4" t="s">
        <v>8803</v>
      </c>
      <c r="B4240" s="6" t="s">
        <v>8802</v>
      </c>
      <c r="C4240" s="4" t="s">
        <v>41</v>
      </c>
      <c r="D4240" s="4">
        <v>15</v>
      </c>
      <c r="E4240" s="4" t="s">
        <v>1069</v>
      </c>
    </row>
    <row r="4241" spans="1:6">
      <c r="A4241" s="4" t="s">
        <v>8804</v>
      </c>
      <c r="B4241" s="6" t="s">
        <v>8805</v>
      </c>
      <c r="C4241" s="4" t="s">
        <v>458</v>
      </c>
      <c r="D4241" s="4">
        <v>10</v>
      </c>
      <c r="E4241" s="4" t="s">
        <v>1069</v>
      </c>
      <c r="F4241" s="4" t="s">
        <v>8806</v>
      </c>
    </row>
    <row r="4242" spans="1:6">
      <c r="A4242" s="4" t="s">
        <v>8807</v>
      </c>
      <c r="B4242" s="6" t="s">
        <v>8808</v>
      </c>
      <c r="C4242" s="4" t="s">
        <v>3181</v>
      </c>
      <c r="D4242" s="4">
        <v>11</v>
      </c>
      <c r="E4242" s="4" t="s">
        <v>1244</v>
      </c>
      <c r="F4242" s="4" t="s">
        <v>6386</v>
      </c>
    </row>
    <row r="4243" spans="1:6">
      <c r="A4243" s="4" t="s">
        <v>8809</v>
      </c>
      <c r="B4243" s="6" t="s">
        <v>8810</v>
      </c>
      <c r="C4243" s="4" t="s">
        <v>487</v>
      </c>
      <c r="D4243" s="4">
        <v>5</v>
      </c>
      <c r="E4243" s="4" t="s">
        <v>1244</v>
      </c>
      <c r="F4243" s="4" t="s">
        <v>6386</v>
      </c>
    </row>
    <row r="4244" spans="1:6">
      <c r="A4244" s="4" t="s">
        <v>223</v>
      </c>
      <c r="B4244" s="6" t="s">
        <v>8811</v>
      </c>
      <c r="C4244" s="4" t="s">
        <v>223</v>
      </c>
      <c r="D4244" s="4">
        <v>6</v>
      </c>
      <c r="E4244" s="4" t="s">
        <v>8544</v>
      </c>
      <c r="F4244" s="4" t="s">
        <v>8812</v>
      </c>
    </row>
    <row r="4245" spans="1:6">
      <c r="A4245" s="4" t="s">
        <v>8813</v>
      </c>
      <c r="B4245" s="6" t="s">
        <v>8811</v>
      </c>
      <c r="C4245" s="4" t="s">
        <v>2818</v>
      </c>
      <c r="D4245" s="4">
        <v>8</v>
      </c>
      <c r="E4245" s="4" t="s">
        <v>1609</v>
      </c>
    </row>
    <row r="4246" spans="1:6">
      <c r="A4246" s="4" t="s">
        <v>8814</v>
      </c>
      <c r="B4246" s="6" t="s">
        <v>8811</v>
      </c>
      <c r="C4246" s="4" t="s">
        <v>254</v>
      </c>
      <c r="D4246" s="4">
        <v>6</v>
      </c>
      <c r="E4246" s="4" t="s">
        <v>1609</v>
      </c>
    </row>
    <row r="4247" spans="1:6">
      <c r="A4247" s="4" t="s">
        <v>8815</v>
      </c>
      <c r="B4247" s="6" t="s">
        <v>8811</v>
      </c>
      <c r="C4247" s="4" t="s">
        <v>31</v>
      </c>
      <c r="D4247" s="4">
        <v>12</v>
      </c>
      <c r="E4247" s="4" t="s">
        <v>8816</v>
      </c>
    </row>
    <row r="4248" spans="1:6">
      <c r="A4248" s="4" t="s">
        <v>8817</v>
      </c>
      <c r="B4248" s="6" t="s">
        <v>8818</v>
      </c>
      <c r="C4248" s="4" t="s">
        <v>254</v>
      </c>
      <c r="D4248" s="4">
        <v>10</v>
      </c>
      <c r="E4248" s="4" t="s">
        <v>1634</v>
      </c>
      <c r="F4248" s="4" t="s">
        <v>8819</v>
      </c>
    </row>
    <row r="4249" spans="1:6">
      <c r="A4249" s="4" t="s">
        <v>8820</v>
      </c>
      <c r="B4249" s="6" t="s">
        <v>8821</v>
      </c>
      <c r="C4249" s="4" t="s">
        <v>686</v>
      </c>
      <c r="D4249" s="4">
        <v>13</v>
      </c>
      <c r="E4249" s="4" t="s">
        <v>1634</v>
      </c>
      <c r="F4249" s="4" t="s">
        <v>8822</v>
      </c>
    </row>
    <row r="4250" spans="1:6">
      <c r="A4250" s="4" t="s">
        <v>8823</v>
      </c>
      <c r="B4250" s="6" t="s">
        <v>8821</v>
      </c>
      <c r="C4250" s="4" t="s">
        <v>686</v>
      </c>
      <c r="D4250" s="4">
        <v>11</v>
      </c>
      <c r="E4250" s="4" t="s">
        <v>1634</v>
      </c>
    </row>
    <row r="4251" spans="1:6">
      <c r="A4251" s="4" t="s">
        <v>8824</v>
      </c>
      <c r="B4251" s="6" t="s">
        <v>8821</v>
      </c>
      <c r="C4251" s="4" t="s">
        <v>27</v>
      </c>
      <c r="D4251" s="4">
        <v>12</v>
      </c>
      <c r="E4251" s="4" t="s">
        <v>164</v>
      </c>
    </row>
    <row r="4252" spans="1:6">
      <c r="A4252" s="4" t="s">
        <v>8825</v>
      </c>
      <c r="B4252" s="6" t="s">
        <v>8821</v>
      </c>
      <c r="C4252" s="4" t="s">
        <v>14</v>
      </c>
      <c r="D4252" s="4">
        <v>14</v>
      </c>
      <c r="E4252" s="4" t="s">
        <v>1634</v>
      </c>
    </row>
    <row r="4253" spans="1:6">
      <c r="A4253" s="4" t="s">
        <v>8826</v>
      </c>
      <c r="B4253" s="6" t="s">
        <v>8827</v>
      </c>
      <c r="C4253" s="4" t="s">
        <v>354</v>
      </c>
      <c r="D4253" s="4">
        <v>13</v>
      </c>
      <c r="E4253" s="4" t="s">
        <v>188</v>
      </c>
      <c r="F4253" s="4" t="s">
        <v>1848</v>
      </c>
    </row>
    <row r="4254" spans="1:6">
      <c r="A4254" s="4" t="s">
        <v>8828</v>
      </c>
      <c r="B4254" s="6" t="s">
        <v>8827</v>
      </c>
      <c r="C4254" s="4" t="s">
        <v>14</v>
      </c>
      <c r="D4254" s="4">
        <v>7</v>
      </c>
      <c r="E4254" s="4" t="s">
        <v>188</v>
      </c>
      <c r="F4254" s="4" t="s">
        <v>8829</v>
      </c>
    </row>
    <row r="4255" spans="1:6">
      <c r="A4255" s="4" t="s">
        <v>149</v>
      </c>
      <c r="B4255" s="6" t="s">
        <v>8827</v>
      </c>
      <c r="C4255" s="4" t="s">
        <v>149</v>
      </c>
      <c r="D4255" s="4">
        <v>3</v>
      </c>
      <c r="E4255" s="4" t="s">
        <v>188</v>
      </c>
    </row>
    <row r="4256" spans="1:6">
      <c r="A4256" s="4" t="s">
        <v>8830</v>
      </c>
      <c r="B4256" s="6" t="s">
        <v>8831</v>
      </c>
      <c r="C4256" s="4" t="s">
        <v>121</v>
      </c>
      <c r="D4256" s="4">
        <v>4</v>
      </c>
      <c r="E4256" s="4" t="s">
        <v>188</v>
      </c>
    </row>
    <row r="4257" spans="1:6">
      <c r="A4257" s="4" t="s">
        <v>8832</v>
      </c>
      <c r="B4257" s="6" t="s">
        <v>8833</v>
      </c>
      <c r="C4257" s="4" t="s">
        <v>95</v>
      </c>
      <c r="D4257" s="4">
        <v>14</v>
      </c>
      <c r="E4257" s="4" t="s">
        <v>1634</v>
      </c>
      <c r="F4257" s="4" t="s">
        <v>8834</v>
      </c>
    </row>
    <row r="4258" spans="1:6">
      <c r="A4258" s="4" t="s">
        <v>8835</v>
      </c>
      <c r="B4258" s="6" t="s">
        <v>8836</v>
      </c>
      <c r="C4258" s="4" t="s">
        <v>45</v>
      </c>
      <c r="D4258" s="4">
        <v>10</v>
      </c>
      <c r="E4258" s="4" t="s">
        <v>1634</v>
      </c>
      <c r="F4258" s="4" t="s">
        <v>8837</v>
      </c>
    </row>
    <row r="4259" spans="1:6">
      <c r="A4259" s="4" t="s">
        <v>8838</v>
      </c>
      <c r="B4259" s="6" t="s">
        <v>8836</v>
      </c>
      <c r="C4259" s="4" t="s">
        <v>104</v>
      </c>
      <c r="D4259" s="4">
        <v>10</v>
      </c>
      <c r="E4259" s="4" t="s">
        <v>38</v>
      </c>
    </row>
    <row r="4260" spans="1:6">
      <c r="A4260" s="4" t="s">
        <v>8839</v>
      </c>
      <c r="B4260" s="6" t="s">
        <v>8836</v>
      </c>
      <c r="C4260" s="4" t="s">
        <v>23</v>
      </c>
      <c r="D4260" s="4">
        <v>19</v>
      </c>
      <c r="E4260" s="4" t="s">
        <v>1634</v>
      </c>
    </row>
    <row r="4261" spans="1:6">
      <c r="A4261" s="4" t="s">
        <v>8840</v>
      </c>
      <c r="B4261" s="6" t="s">
        <v>8841</v>
      </c>
      <c r="C4261" s="4" t="s">
        <v>686</v>
      </c>
      <c r="D4261" s="4">
        <v>16</v>
      </c>
      <c r="E4261" s="4" t="s">
        <v>1634</v>
      </c>
      <c r="F4261" s="4" t="s">
        <v>8842</v>
      </c>
    </row>
    <row r="4262" spans="1:6">
      <c r="A4262" s="4" t="s">
        <v>8843</v>
      </c>
      <c r="B4262" s="6" t="s">
        <v>8844</v>
      </c>
      <c r="C4262" s="4" t="s">
        <v>1665</v>
      </c>
      <c r="D4262" s="4">
        <v>23</v>
      </c>
      <c r="E4262" s="4" t="s">
        <v>188</v>
      </c>
    </row>
    <row r="4263" spans="1:6">
      <c r="A4263" s="4" t="s">
        <v>8845</v>
      </c>
      <c r="B4263" s="6" t="s">
        <v>8846</v>
      </c>
      <c r="C4263" s="4" t="s">
        <v>37</v>
      </c>
      <c r="D4263" s="4">
        <v>15</v>
      </c>
      <c r="E4263" s="4" t="s">
        <v>1795</v>
      </c>
    </row>
    <row r="4264" spans="1:6">
      <c r="A4264" s="4" t="s">
        <v>8847</v>
      </c>
      <c r="B4264" s="6" t="s">
        <v>8846</v>
      </c>
      <c r="C4264" s="4" t="s">
        <v>34</v>
      </c>
      <c r="D4264" s="4">
        <v>11</v>
      </c>
      <c r="E4264" s="4" t="s">
        <v>852</v>
      </c>
      <c r="F4264" s="4" t="s">
        <v>8848</v>
      </c>
    </row>
    <row r="4265" spans="1:6">
      <c r="A4265" s="4" t="s">
        <v>8849</v>
      </c>
      <c r="B4265" s="6" t="s">
        <v>8850</v>
      </c>
      <c r="C4265" s="4" t="s">
        <v>574</v>
      </c>
      <c r="D4265" s="4">
        <v>8</v>
      </c>
      <c r="E4265" s="4" t="s">
        <v>128</v>
      </c>
      <c r="F4265" s="4" t="s">
        <v>8851</v>
      </c>
    </row>
    <row r="4266" spans="1:6">
      <c r="A4266" s="4" t="s">
        <v>8852</v>
      </c>
      <c r="B4266" s="6" t="s">
        <v>8853</v>
      </c>
      <c r="C4266" s="4" t="s">
        <v>252</v>
      </c>
      <c r="D4266" s="4">
        <v>9</v>
      </c>
      <c r="E4266" s="4" t="s">
        <v>188</v>
      </c>
      <c r="F4266" s="4" t="s">
        <v>1198</v>
      </c>
    </row>
    <row r="4267" spans="1:6">
      <c r="A4267" s="4" t="s">
        <v>8854</v>
      </c>
      <c r="B4267" s="6" t="s">
        <v>8855</v>
      </c>
      <c r="C4267" s="4" t="s">
        <v>34</v>
      </c>
      <c r="D4267" s="4">
        <v>11</v>
      </c>
      <c r="E4267" s="4" t="s">
        <v>1634</v>
      </c>
    </row>
    <row r="4268" spans="1:6">
      <c r="A4268" s="4" t="s">
        <v>8856</v>
      </c>
      <c r="B4268" s="6" t="s">
        <v>8855</v>
      </c>
      <c r="C4268" s="4" t="s">
        <v>140</v>
      </c>
      <c r="D4268" s="4">
        <v>26</v>
      </c>
      <c r="E4268" s="4" t="s">
        <v>8857</v>
      </c>
    </row>
    <row r="4269" spans="1:6">
      <c r="A4269" s="4" t="s">
        <v>8858</v>
      </c>
      <c r="B4269" s="6" t="s">
        <v>8855</v>
      </c>
      <c r="C4269" s="4" t="s">
        <v>3168</v>
      </c>
      <c r="D4269" s="4">
        <v>24</v>
      </c>
      <c r="E4269" s="4" t="s">
        <v>1634</v>
      </c>
      <c r="F4269" s="4" t="s">
        <v>8859</v>
      </c>
    </row>
    <row r="4270" spans="1:6">
      <c r="A4270" s="4" t="s">
        <v>8860</v>
      </c>
      <c r="B4270" s="6" t="s">
        <v>8855</v>
      </c>
      <c r="C4270" s="4" t="s">
        <v>121</v>
      </c>
      <c r="D4270" s="4">
        <v>8</v>
      </c>
      <c r="E4270" s="4" t="s">
        <v>1634</v>
      </c>
    </row>
    <row r="4271" spans="1:6">
      <c r="A4271" s="4" t="s">
        <v>8861</v>
      </c>
      <c r="B4271" s="6" t="s">
        <v>8862</v>
      </c>
      <c r="C4271" s="4" t="s">
        <v>254</v>
      </c>
      <c r="D4271" s="4">
        <v>11</v>
      </c>
      <c r="E4271" s="4" t="s">
        <v>1634</v>
      </c>
    </row>
    <row r="4272" spans="1:6">
      <c r="A4272" s="4" t="s">
        <v>8863</v>
      </c>
      <c r="B4272" s="6" t="s">
        <v>8862</v>
      </c>
      <c r="C4272" s="4" t="s">
        <v>27</v>
      </c>
      <c r="D4272" s="4">
        <v>12</v>
      </c>
      <c r="E4272" s="4" t="s">
        <v>1634</v>
      </c>
      <c r="F4272" s="4" t="s">
        <v>3419</v>
      </c>
    </row>
    <row r="4273" spans="1:6">
      <c r="A4273" s="4" t="s">
        <v>8864</v>
      </c>
      <c r="B4273" s="6" t="s">
        <v>8865</v>
      </c>
      <c r="C4273" s="4" t="s">
        <v>53</v>
      </c>
      <c r="D4273" s="4">
        <v>8</v>
      </c>
      <c r="E4273" s="4" t="s">
        <v>188</v>
      </c>
    </row>
    <row r="4274" spans="1:6">
      <c r="A4274" s="4" t="s">
        <v>8866</v>
      </c>
      <c r="B4274" s="6" t="s">
        <v>8865</v>
      </c>
      <c r="C4274" s="4" t="s">
        <v>544</v>
      </c>
      <c r="D4274" s="4">
        <v>8</v>
      </c>
      <c r="E4274" s="4" t="s">
        <v>188</v>
      </c>
    </row>
    <row r="4275" spans="1:6">
      <c r="A4275" s="4" t="s">
        <v>8867</v>
      </c>
      <c r="B4275" s="6" t="s">
        <v>8868</v>
      </c>
      <c r="C4275" s="4" t="s">
        <v>81</v>
      </c>
      <c r="D4275" s="4">
        <v>13</v>
      </c>
      <c r="E4275" s="4" t="s">
        <v>1609</v>
      </c>
    </row>
    <row r="4276" spans="1:6">
      <c r="A4276" s="4" t="s">
        <v>8869</v>
      </c>
      <c r="B4276" s="6" t="s">
        <v>8868</v>
      </c>
      <c r="C4276" s="4" t="s">
        <v>81</v>
      </c>
      <c r="D4276" s="4">
        <v>18</v>
      </c>
      <c r="E4276" s="4" t="s">
        <v>1609</v>
      </c>
    </row>
    <row r="4277" spans="1:6">
      <c r="A4277" s="4" t="s">
        <v>8870</v>
      </c>
      <c r="B4277" s="6" t="s">
        <v>8868</v>
      </c>
      <c r="C4277" s="4" t="s">
        <v>23</v>
      </c>
      <c r="D4277" s="4">
        <v>16</v>
      </c>
      <c r="E4277" s="4" t="s">
        <v>1609</v>
      </c>
    </row>
    <row r="4278" spans="1:6">
      <c r="A4278" s="4" t="s">
        <v>8871</v>
      </c>
      <c r="B4278" s="6" t="s">
        <v>8872</v>
      </c>
      <c r="C4278" s="4" t="s">
        <v>254</v>
      </c>
      <c r="D4278" s="4">
        <v>10</v>
      </c>
      <c r="E4278" s="4" t="s">
        <v>1609</v>
      </c>
    </row>
    <row r="4279" spans="1:6">
      <c r="A4279" s="4" t="s">
        <v>8873</v>
      </c>
      <c r="B4279" s="6" t="s">
        <v>8874</v>
      </c>
      <c r="C4279" s="4" t="s">
        <v>254</v>
      </c>
      <c r="D4279" s="4">
        <v>8</v>
      </c>
      <c r="E4279" s="4" t="s">
        <v>8544</v>
      </c>
      <c r="F4279" s="4" t="s">
        <v>3861</v>
      </c>
    </row>
  </sheetData>
  <phoneticPr fontId="5"/>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D716F8-9806-4655-A859-EABFAC757565}">
  <sheetPr codeName="Sheet6"/>
  <dimension ref="A1:L28"/>
  <sheetViews>
    <sheetView view="pageLayout" zoomScaleNormal="70" workbookViewId="0">
      <selection activeCell="G8" sqref="G8"/>
    </sheetView>
  </sheetViews>
  <sheetFormatPr defaultRowHeight="18.75"/>
  <sheetData>
    <row r="1" spans="1:12" ht="58.5">
      <c r="A1" s="27"/>
      <c r="B1" s="28"/>
      <c r="C1" s="27"/>
      <c r="D1" s="27"/>
      <c r="E1" s="27"/>
      <c r="F1" s="27"/>
      <c r="G1" s="27"/>
      <c r="H1" s="27"/>
      <c r="I1" s="27"/>
      <c r="J1" s="27"/>
      <c r="K1" s="27"/>
      <c r="L1" s="27"/>
    </row>
    <row r="2" spans="1:12" ht="58.5">
      <c r="A2" s="27"/>
      <c r="B2" s="28"/>
      <c r="C2" s="27"/>
      <c r="D2" s="69" t="s">
        <v>8913</v>
      </c>
      <c r="E2" s="69"/>
      <c r="F2" s="69"/>
      <c r="G2" s="69"/>
      <c r="H2" s="69"/>
      <c r="I2" s="69"/>
      <c r="J2" s="69"/>
      <c r="K2" s="27"/>
      <c r="L2" s="27">
        <v>26</v>
      </c>
    </row>
    <row r="3" spans="1:12" s="30" customFormat="1" ht="42">
      <c r="A3" s="29"/>
      <c r="B3" s="29"/>
      <c r="C3" s="29"/>
      <c r="D3" s="67" t="str">
        <f>Master!B8</f>
        <v>代表する</v>
      </c>
      <c r="E3" s="67"/>
      <c r="F3" s="67"/>
      <c r="G3" s="67"/>
      <c r="H3" s="67"/>
      <c r="I3" s="67"/>
      <c r="J3" s="67"/>
      <c r="K3" s="29"/>
      <c r="L3" s="29" t="s">
        <v>8918</v>
      </c>
    </row>
    <row r="4" spans="1:12" ht="58.5">
      <c r="A4" s="27"/>
      <c r="B4" s="28"/>
      <c r="C4" s="27"/>
      <c r="D4" s="68" t="str">
        <f>"/"&amp;Master!C8&amp;"/"</f>
        <v>/だいひょうする/</v>
      </c>
      <c r="E4" s="68"/>
      <c r="F4" s="68"/>
      <c r="G4" s="68"/>
      <c r="H4" s="68"/>
      <c r="I4" s="68"/>
      <c r="J4" s="68"/>
      <c r="K4" s="27"/>
      <c r="L4" s="27" t="s">
        <v>8915</v>
      </c>
    </row>
    <row r="5" spans="1:12" ht="58.5">
      <c r="A5" s="27"/>
      <c r="B5" s="28"/>
      <c r="C5" s="27"/>
      <c r="D5" s="66" t="s">
        <v>8914</v>
      </c>
      <c r="E5" s="66"/>
      <c r="F5" s="66"/>
      <c r="G5" s="66"/>
      <c r="H5" s="66"/>
      <c r="I5" s="66"/>
      <c r="J5" s="66"/>
      <c r="K5" s="27"/>
      <c r="L5" s="27" t="s">
        <v>8916</v>
      </c>
    </row>
    <row r="6" spans="1:12" ht="58.5">
      <c r="A6" s="27"/>
      <c r="B6" s="28"/>
      <c r="C6" s="27"/>
      <c r="D6" s="66" t="s">
        <v>8912</v>
      </c>
      <c r="E6" s="66"/>
      <c r="F6" s="66"/>
      <c r="G6" s="66"/>
      <c r="H6" s="66"/>
      <c r="I6" s="66"/>
      <c r="J6" s="66"/>
      <c r="K6" s="27"/>
      <c r="L6" s="27" t="s">
        <v>8917</v>
      </c>
    </row>
    <row r="7" spans="1:12" ht="58.5">
      <c r="A7" s="27"/>
      <c r="B7" s="28"/>
      <c r="C7" s="27"/>
      <c r="D7" s="27"/>
      <c r="E7" s="27"/>
      <c r="F7" s="27"/>
      <c r="G7" s="27"/>
      <c r="H7" s="27"/>
      <c r="I7" s="27"/>
      <c r="J7" s="27"/>
      <c r="K7" s="27"/>
      <c r="L7" s="27" t="s">
        <v>8919</v>
      </c>
    </row>
    <row r="8" spans="1:12" ht="58.5">
      <c r="A8" s="27"/>
      <c r="B8" s="28"/>
      <c r="C8" s="27"/>
      <c r="D8" s="27"/>
      <c r="E8" s="27"/>
      <c r="F8" s="27"/>
      <c r="G8" s="27"/>
      <c r="H8" s="27"/>
      <c r="I8" s="27"/>
      <c r="J8" s="27"/>
      <c r="K8" s="27"/>
      <c r="L8" s="27"/>
    </row>
    <row r="9" spans="1:12" ht="58.5">
      <c r="A9" s="27"/>
      <c r="B9" s="28"/>
      <c r="C9" s="27"/>
      <c r="D9" s="27"/>
      <c r="E9" s="27"/>
      <c r="F9" s="27"/>
      <c r="G9" s="27"/>
      <c r="H9" s="27"/>
      <c r="I9" s="27"/>
      <c r="J9" s="27"/>
      <c r="K9" s="27"/>
      <c r="L9" s="27"/>
    </row>
    <row r="10" spans="1:12" ht="58.5">
      <c r="A10" s="27"/>
      <c r="B10" s="28"/>
      <c r="C10" s="27"/>
      <c r="D10" s="27"/>
      <c r="E10" s="27"/>
      <c r="F10" s="27"/>
      <c r="G10" s="27"/>
      <c r="H10" s="27"/>
      <c r="I10" s="27"/>
      <c r="J10" s="27"/>
      <c r="K10" s="27"/>
      <c r="L10" s="27"/>
    </row>
    <row r="11" spans="1:12" ht="58.5">
      <c r="A11" s="27"/>
      <c r="B11" s="28"/>
      <c r="C11" s="27"/>
      <c r="D11" s="27"/>
      <c r="E11" s="27"/>
      <c r="F11" s="27"/>
      <c r="G11" s="27"/>
      <c r="H11" s="27"/>
      <c r="I11" s="27"/>
      <c r="J11" s="27"/>
      <c r="K11" s="27"/>
      <c r="L11" s="27"/>
    </row>
    <row r="12" spans="1:12" ht="58.5">
      <c r="A12" s="27"/>
      <c r="B12" s="28"/>
      <c r="C12" s="27"/>
      <c r="D12" s="27"/>
      <c r="E12" s="27"/>
      <c r="F12" s="27"/>
      <c r="G12" s="27"/>
      <c r="H12" s="27"/>
      <c r="I12" s="27"/>
      <c r="J12" s="27"/>
      <c r="K12" s="27"/>
      <c r="L12" s="27"/>
    </row>
    <row r="13" spans="1:12" ht="58.5">
      <c r="A13" s="27"/>
      <c r="B13" s="28"/>
      <c r="C13" s="27"/>
      <c r="D13" s="27"/>
      <c r="E13" s="27"/>
      <c r="F13" s="27"/>
      <c r="G13" s="27"/>
      <c r="H13" s="27"/>
      <c r="I13" s="27"/>
      <c r="J13" s="27"/>
      <c r="K13" s="27"/>
      <c r="L13" s="27"/>
    </row>
    <row r="14" spans="1:12" ht="58.5">
      <c r="A14" s="27"/>
      <c r="B14" s="28"/>
      <c r="C14" s="27"/>
      <c r="D14" s="27"/>
      <c r="E14" s="27"/>
      <c r="F14" s="27"/>
      <c r="G14" s="27"/>
      <c r="H14" s="27"/>
      <c r="I14" s="27"/>
      <c r="J14" s="27"/>
      <c r="K14" s="27"/>
      <c r="L14" s="27"/>
    </row>
    <row r="15" spans="1:12" ht="58.5">
      <c r="A15" s="27"/>
      <c r="B15" s="28"/>
      <c r="C15" s="27"/>
      <c r="D15" s="27"/>
      <c r="E15" s="27"/>
      <c r="F15" s="27"/>
      <c r="G15" s="27"/>
      <c r="H15" s="27"/>
      <c r="I15" s="27"/>
      <c r="J15" s="27"/>
      <c r="K15" s="27"/>
      <c r="L15" s="27"/>
    </row>
    <row r="16" spans="1:12" ht="58.5">
      <c r="A16" s="27"/>
      <c r="B16" s="28"/>
      <c r="C16" s="27"/>
      <c r="D16" s="27"/>
      <c r="E16" s="27"/>
      <c r="F16" s="27"/>
      <c r="G16" s="27"/>
      <c r="H16" s="27"/>
      <c r="I16" s="27"/>
      <c r="J16" s="27"/>
      <c r="K16" s="27"/>
      <c r="L16" s="27"/>
    </row>
    <row r="17" spans="1:12" ht="58.5">
      <c r="A17" s="27"/>
      <c r="B17" s="28"/>
      <c r="C17" s="27"/>
      <c r="D17" s="27"/>
      <c r="E17" s="27"/>
      <c r="F17" s="27"/>
      <c r="G17" s="27"/>
      <c r="H17" s="27"/>
      <c r="I17" s="27"/>
      <c r="J17" s="27"/>
      <c r="K17" s="27"/>
      <c r="L17" s="27"/>
    </row>
    <row r="18" spans="1:12" ht="58.5">
      <c r="A18" s="27"/>
      <c r="B18" s="28"/>
      <c r="C18" s="27"/>
      <c r="D18" s="27"/>
      <c r="E18" s="27"/>
      <c r="F18" s="27"/>
      <c r="G18" s="27"/>
      <c r="H18" s="27"/>
      <c r="I18" s="27"/>
      <c r="J18" s="27"/>
      <c r="K18" s="27"/>
      <c r="L18" s="27"/>
    </row>
    <row r="19" spans="1:12" ht="58.5">
      <c r="A19" s="27"/>
      <c r="B19" s="28"/>
      <c r="C19" s="27"/>
      <c r="D19" s="27"/>
      <c r="E19" s="27"/>
      <c r="F19" s="27"/>
      <c r="G19" s="27"/>
      <c r="H19" s="27"/>
      <c r="I19" s="27"/>
      <c r="J19" s="27"/>
      <c r="K19" s="27"/>
      <c r="L19" s="27"/>
    </row>
    <row r="20" spans="1:12" ht="58.5">
      <c r="A20" s="27"/>
      <c r="B20" s="28"/>
      <c r="C20" s="27"/>
      <c r="D20" s="27"/>
      <c r="E20" s="27"/>
      <c r="F20" s="27"/>
      <c r="G20" s="27"/>
      <c r="H20" s="27"/>
      <c r="I20" s="27"/>
      <c r="J20" s="27"/>
      <c r="K20" s="27"/>
      <c r="L20" s="27"/>
    </row>
    <row r="21" spans="1:12" ht="58.5">
      <c r="A21" s="27"/>
      <c r="B21" s="28"/>
      <c r="C21" s="27"/>
      <c r="D21" s="27"/>
      <c r="E21" s="27"/>
      <c r="F21" s="27"/>
      <c r="G21" s="27"/>
      <c r="H21" s="27"/>
      <c r="I21" s="27"/>
      <c r="J21" s="27"/>
      <c r="K21" s="27"/>
      <c r="L21" s="27"/>
    </row>
    <row r="22" spans="1:12" ht="58.5">
      <c r="A22" s="27"/>
      <c r="B22" s="28"/>
      <c r="C22" s="27"/>
      <c r="D22" s="27"/>
      <c r="E22" s="27"/>
      <c r="F22" s="27"/>
      <c r="G22" s="27"/>
      <c r="H22" s="27"/>
      <c r="I22" s="27"/>
      <c r="J22" s="27"/>
      <c r="K22" s="27"/>
      <c r="L22" s="27"/>
    </row>
    <row r="23" spans="1:12" ht="58.5">
      <c r="A23" s="27"/>
      <c r="B23" s="28"/>
      <c r="C23" s="27"/>
      <c r="D23" s="27"/>
      <c r="E23" s="27"/>
      <c r="F23" s="27"/>
      <c r="G23" s="27"/>
      <c r="H23" s="27"/>
      <c r="I23" s="27"/>
      <c r="J23" s="27"/>
      <c r="K23" s="27"/>
      <c r="L23" s="27"/>
    </row>
    <row r="24" spans="1:12" ht="58.5">
      <c r="A24" s="27"/>
      <c r="B24" s="28"/>
      <c r="C24" s="27"/>
      <c r="D24" s="27"/>
      <c r="E24" s="27"/>
      <c r="F24" s="27"/>
      <c r="G24" s="27"/>
      <c r="H24" s="27"/>
      <c r="I24" s="27"/>
      <c r="J24" s="27"/>
      <c r="K24" s="27"/>
      <c r="L24" s="27"/>
    </row>
    <row r="25" spans="1:12">
      <c r="A25" s="27"/>
      <c r="B25" s="27"/>
      <c r="C25" s="27"/>
      <c r="D25" s="27"/>
      <c r="E25" s="27"/>
      <c r="F25" s="27"/>
      <c r="G25" s="27"/>
      <c r="H25" s="27"/>
      <c r="I25" s="27"/>
      <c r="J25" s="27"/>
      <c r="K25" s="27"/>
      <c r="L25" s="27"/>
    </row>
    <row r="26" spans="1:12">
      <c r="A26" s="27"/>
      <c r="B26" s="27"/>
      <c r="C26" s="27"/>
      <c r="D26" s="27"/>
      <c r="E26" s="27"/>
      <c r="F26" s="27"/>
      <c r="G26" s="27"/>
      <c r="H26" s="27"/>
      <c r="I26" s="27"/>
      <c r="J26" s="27"/>
      <c r="K26" s="27"/>
      <c r="L26" s="27"/>
    </row>
    <row r="27" spans="1:12">
      <c r="A27" s="27"/>
      <c r="B27" s="27"/>
      <c r="C27" s="27"/>
      <c r="D27" s="27"/>
      <c r="E27" s="27"/>
      <c r="F27" s="27"/>
      <c r="G27" s="27"/>
      <c r="H27" s="27"/>
      <c r="I27" s="27"/>
      <c r="J27" s="27"/>
      <c r="K27" s="27"/>
      <c r="L27" s="27"/>
    </row>
    <row r="28" spans="1:12">
      <c r="A28" s="27"/>
      <c r="B28" s="27"/>
      <c r="C28" s="27"/>
      <c r="D28" s="27"/>
      <c r="E28" s="27"/>
      <c r="F28" s="27"/>
      <c r="G28" s="27"/>
      <c r="H28" s="27"/>
      <c r="I28" s="27"/>
      <c r="J28" s="27"/>
      <c r="K28" s="27"/>
      <c r="L28" s="27"/>
    </row>
  </sheetData>
  <mergeCells count="5">
    <mergeCell ref="D6:J6"/>
    <mergeCell ref="D3:J3"/>
    <mergeCell ref="D4:J4"/>
    <mergeCell ref="D2:J2"/>
    <mergeCell ref="D5:J5"/>
  </mergeCells>
  <phoneticPr fontId="5"/>
  <pageMargins left="0.7" right="0.7" top="0.75" bottom="0.75" header="0.3" footer="0.3"/>
  <pageSetup paperSize="9" orientation="landscape"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46E73-6D46-446B-9533-8B78900645D7}">
  <sheetPr codeName="Sheet3"/>
  <dimension ref="B1:P10"/>
  <sheetViews>
    <sheetView workbookViewId="0">
      <selection activeCell="I5" sqref="I5"/>
    </sheetView>
  </sheetViews>
  <sheetFormatPr defaultRowHeight="18.75"/>
  <cols>
    <col min="2" max="2" width="0.875" customWidth="1"/>
    <col min="16" max="16" width="0.875" customWidth="1"/>
  </cols>
  <sheetData>
    <row r="1" spans="2:16" ht="19.5" thickBot="1"/>
    <row r="2" spans="2:16" ht="5.0999999999999996" customHeight="1" thickTop="1">
      <c r="B2" s="40"/>
      <c r="C2" s="41"/>
      <c r="D2" s="42"/>
      <c r="E2" s="42"/>
      <c r="F2" s="42"/>
      <c r="G2" s="42"/>
      <c r="H2" s="42"/>
      <c r="I2" s="42"/>
      <c r="J2" s="42"/>
      <c r="K2" s="42"/>
      <c r="L2" s="42"/>
      <c r="M2" s="42"/>
      <c r="N2" s="42"/>
      <c r="O2" s="43"/>
      <c r="P2" s="44"/>
    </row>
    <row r="3" spans="2:16" ht="58.5">
      <c r="B3" s="46"/>
      <c r="C3" s="32"/>
      <c r="D3" s="33"/>
      <c r="E3" s="70"/>
      <c r="F3" s="70"/>
      <c r="G3" s="70"/>
      <c r="H3" s="70"/>
      <c r="I3" s="70"/>
      <c r="J3" s="70"/>
      <c r="K3" s="70"/>
      <c r="L3" s="34"/>
      <c r="M3" s="33"/>
      <c r="N3" s="33"/>
      <c r="O3" s="36"/>
      <c r="P3" s="44"/>
    </row>
    <row r="4" spans="2:16" ht="54.75">
      <c r="B4" s="47"/>
      <c r="C4" s="35"/>
      <c r="D4" s="35"/>
      <c r="E4" s="49"/>
      <c r="F4" s="49"/>
      <c r="G4" s="49"/>
      <c r="H4" s="52"/>
      <c r="I4" s="84" t="s">
        <v>8997</v>
      </c>
      <c r="J4" s="49"/>
      <c r="K4" s="49"/>
      <c r="L4" s="49"/>
      <c r="M4" s="35"/>
      <c r="N4" s="35"/>
      <c r="O4" s="56"/>
      <c r="P4" s="57"/>
    </row>
    <row r="5" spans="2:16" ht="58.5">
      <c r="B5" s="46"/>
      <c r="C5" s="32"/>
      <c r="D5" s="33"/>
      <c r="E5" s="51"/>
      <c r="F5" s="51"/>
      <c r="G5" s="51"/>
      <c r="H5" s="51"/>
      <c r="I5" s="85" t="s">
        <v>8998</v>
      </c>
      <c r="J5" s="51"/>
      <c r="K5" s="51"/>
      <c r="L5" s="51"/>
      <c r="M5" s="33"/>
      <c r="N5" s="33"/>
      <c r="O5" s="36"/>
      <c r="P5" s="44"/>
    </row>
    <row r="6" spans="2:16" ht="58.5">
      <c r="B6" s="46"/>
      <c r="C6" s="32"/>
      <c r="D6" s="33"/>
      <c r="E6" s="53"/>
      <c r="F6" s="53"/>
      <c r="G6" s="53"/>
      <c r="H6" s="53"/>
      <c r="I6" s="86" t="s">
        <v>8965</v>
      </c>
      <c r="J6" s="53"/>
      <c r="K6" s="53"/>
      <c r="L6" s="53"/>
      <c r="M6" s="33"/>
      <c r="N6" s="33"/>
      <c r="O6" s="36"/>
      <c r="P6" s="44"/>
    </row>
    <row r="7" spans="2:16" ht="58.5">
      <c r="B7" s="46"/>
      <c r="C7" s="32"/>
      <c r="D7" s="33"/>
      <c r="E7" s="53"/>
      <c r="F7" s="53"/>
      <c r="G7" s="53"/>
      <c r="H7" s="53"/>
      <c r="I7" s="87" t="s">
        <v>8983</v>
      </c>
      <c r="J7" s="53"/>
      <c r="K7" s="53"/>
      <c r="L7" s="53"/>
      <c r="M7" s="33"/>
      <c r="N7" s="33"/>
      <c r="O7" s="36"/>
      <c r="P7" s="44"/>
    </row>
    <row r="8" spans="2:16" ht="58.5">
      <c r="B8" s="46"/>
      <c r="C8" s="32"/>
      <c r="D8" s="33"/>
      <c r="E8" s="33"/>
      <c r="F8" s="33"/>
      <c r="G8" s="33"/>
      <c r="H8" s="33"/>
      <c r="I8" s="54"/>
      <c r="J8" s="33"/>
      <c r="K8" s="33"/>
      <c r="L8" s="33"/>
      <c r="M8" s="33"/>
      <c r="N8" s="33"/>
      <c r="O8" s="36"/>
      <c r="P8" s="44"/>
    </row>
    <row r="9" spans="2:16" ht="59.25" thickBot="1">
      <c r="B9" s="48"/>
      <c r="C9" s="37"/>
      <c r="D9" s="38"/>
      <c r="E9" s="38"/>
      <c r="F9" s="38"/>
      <c r="G9" s="38"/>
      <c r="H9" s="38"/>
      <c r="I9" s="38"/>
      <c r="J9" s="38"/>
      <c r="K9" s="38"/>
      <c r="L9" s="38"/>
      <c r="M9" s="38"/>
      <c r="N9" s="38"/>
      <c r="O9" s="39"/>
      <c r="P9" s="44"/>
    </row>
    <row r="10" spans="2:16" ht="5.0999999999999996" customHeight="1" thickTop="1">
      <c r="B10" s="44"/>
      <c r="C10" s="45"/>
      <c r="D10" s="44"/>
      <c r="E10" s="44"/>
      <c r="F10" s="44"/>
      <c r="G10" s="44"/>
      <c r="H10" s="44"/>
      <c r="I10" s="44"/>
      <c r="J10" s="44"/>
      <c r="K10" s="44"/>
      <c r="L10" s="44"/>
      <c r="M10" s="44"/>
      <c r="N10" s="44"/>
      <c r="O10" s="44"/>
      <c r="P10" s="44"/>
    </row>
  </sheetData>
  <mergeCells count="1">
    <mergeCell ref="E3:K3"/>
  </mergeCells>
  <phoneticPr fontId="5"/>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A6E30-F63A-47E0-B6DC-CF8047E748BC}">
  <sheetPr codeName="Sheet9"/>
  <dimension ref="B1:P10"/>
  <sheetViews>
    <sheetView workbookViewId="0">
      <selection activeCell="T9" sqref="T9"/>
    </sheetView>
  </sheetViews>
  <sheetFormatPr defaultRowHeight="18.75"/>
  <cols>
    <col min="2" max="2" width="0.875" customWidth="1"/>
    <col min="16" max="16" width="0.875" customWidth="1"/>
  </cols>
  <sheetData>
    <row r="1" spans="2:16" ht="19.5" thickBot="1"/>
    <row r="2" spans="2:16" ht="5.0999999999999996" customHeight="1" thickTop="1">
      <c r="B2" s="40"/>
      <c r="C2" s="41"/>
      <c r="D2" s="42"/>
      <c r="E2" s="42"/>
      <c r="F2" s="42"/>
      <c r="G2" s="42"/>
      <c r="H2" s="42"/>
      <c r="I2" s="42"/>
      <c r="J2" s="42"/>
      <c r="K2" s="42"/>
      <c r="L2" s="42"/>
      <c r="M2" s="42"/>
      <c r="N2" s="42"/>
      <c r="O2" s="43"/>
      <c r="P2" s="44"/>
    </row>
    <row r="3" spans="2:16" ht="58.5">
      <c r="B3" s="46"/>
      <c r="C3" s="32"/>
      <c r="D3" s="33"/>
      <c r="E3" s="70"/>
      <c r="F3" s="70"/>
      <c r="G3" s="70"/>
      <c r="H3" s="70"/>
      <c r="I3" s="70"/>
      <c r="J3" s="70"/>
      <c r="K3" s="70"/>
      <c r="L3" s="34"/>
      <c r="M3" s="33"/>
      <c r="N3" s="33"/>
      <c r="O3" s="36"/>
      <c r="P3" s="44"/>
    </row>
    <row r="4" spans="2:16" ht="54.75">
      <c r="B4" s="47"/>
      <c r="C4" s="35"/>
      <c r="D4" s="35"/>
      <c r="E4" s="49"/>
      <c r="F4" s="49"/>
      <c r="G4" s="49"/>
      <c r="H4" s="52"/>
      <c r="I4" s="52" t="s">
        <v>8932</v>
      </c>
      <c r="J4" s="49"/>
      <c r="K4" s="49"/>
      <c r="L4" s="49"/>
      <c r="M4" s="35"/>
      <c r="N4" s="35"/>
      <c r="O4" s="56"/>
      <c r="P4" s="57"/>
    </row>
    <row r="5" spans="2:16" ht="58.5">
      <c r="B5" s="46"/>
      <c r="C5" s="32"/>
      <c r="D5" s="33"/>
      <c r="E5" s="51"/>
      <c r="F5" s="51"/>
      <c r="G5" s="51"/>
      <c r="H5" s="51"/>
      <c r="I5" s="50" t="s">
        <v>8933</v>
      </c>
      <c r="J5" s="51"/>
      <c r="K5" s="51"/>
      <c r="L5" s="51"/>
      <c r="M5" s="33"/>
      <c r="N5" s="33"/>
      <c r="O5" s="36"/>
      <c r="P5" s="44"/>
    </row>
    <row r="6" spans="2:16" ht="58.5">
      <c r="B6" s="46"/>
      <c r="C6" s="32"/>
      <c r="D6" s="33"/>
      <c r="E6" s="53"/>
      <c r="F6" s="53"/>
      <c r="G6" s="53"/>
      <c r="H6" s="53"/>
      <c r="I6" s="55" t="s">
        <v>8934</v>
      </c>
      <c r="J6" s="53"/>
      <c r="K6" s="53"/>
      <c r="L6" s="53"/>
      <c r="M6" s="33"/>
      <c r="N6" s="33"/>
      <c r="O6" s="36"/>
      <c r="P6" s="44"/>
    </row>
    <row r="7" spans="2:16" ht="58.5">
      <c r="B7" s="46"/>
      <c r="C7" s="32"/>
      <c r="D7" s="33"/>
      <c r="E7" s="53"/>
      <c r="F7" s="53"/>
      <c r="G7" s="53"/>
      <c r="H7" s="53"/>
      <c r="I7" s="54" t="s">
        <v>8935</v>
      </c>
      <c r="J7" s="53"/>
      <c r="K7" s="53"/>
      <c r="L7" s="53"/>
      <c r="M7" s="33"/>
      <c r="N7" s="33"/>
      <c r="O7" s="36"/>
      <c r="P7" s="44"/>
    </row>
    <row r="8" spans="2:16" ht="58.5">
      <c r="B8" s="46"/>
      <c r="C8" s="32"/>
      <c r="D8" s="33"/>
      <c r="E8" s="33"/>
      <c r="F8" s="33"/>
      <c r="G8" s="33"/>
      <c r="H8" s="33"/>
      <c r="I8" s="54"/>
      <c r="J8" s="33"/>
      <c r="K8" s="33"/>
      <c r="L8" s="33"/>
      <c r="M8" s="33"/>
      <c r="N8" s="33"/>
      <c r="O8" s="36"/>
      <c r="P8" s="44"/>
    </row>
    <row r="9" spans="2:16" ht="59.25" thickBot="1">
      <c r="B9" s="48"/>
      <c r="C9" s="37"/>
      <c r="D9" s="38"/>
      <c r="E9" s="38"/>
      <c r="F9" s="38"/>
      <c r="G9" s="38"/>
      <c r="H9" s="38"/>
      <c r="I9" s="38"/>
      <c r="J9" s="38"/>
      <c r="K9" s="38"/>
      <c r="L9" s="38"/>
      <c r="M9" s="38"/>
      <c r="N9" s="38"/>
      <c r="O9" s="39"/>
      <c r="P9" s="44"/>
    </row>
    <row r="10" spans="2:16" ht="5.0999999999999996" customHeight="1" thickTop="1">
      <c r="B10" s="44"/>
      <c r="C10" s="45"/>
      <c r="D10" s="44"/>
      <c r="E10" s="44"/>
      <c r="F10" s="44"/>
      <c r="G10" s="44"/>
      <c r="H10" s="44"/>
      <c r="I10" s="44"/>
      <c r="J10" s="44"/>
      <c r="K10" s="44"/>
      <c r="L10" s="44"/>
      <c r="M10" s="44"/>
      <c r="N10" s="44"/>
      <c r="O10" s="44"/>
      <c r="P10" s="44"/>
    </row>
  </sheetData>
  <mergeCells count="1">
    <mergeCell ref="E3:K3"/>
  </mergeCells>
  <phoneticPr fontId="5"/>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F20FE8-1AB8-4DD0-93DB-6230055C6E9C}">
  <sheetPr codeName="Sheet10"/>
  <dimension ref="B1:P10"/>
  <sheetViews>
    <sheetView zoomScale="115" zoomScaleNormal="115" workbookViewId="0">
      <selection activeCell="I4" sqref="I4"/>
    </sheetView>
  </sheetViews>
  <sheetFormatPr defaultRowHeight="18.75"/>
  <cols>
    <col min="2" max="2" width="0.875" customWidth="1"/>
    <col min="16" max="16" width="0.875" customWidth="1"/>
  </cols>
  <sheetData>
    <row r="1" spans="2:16" ht="19.5" thickBot="1"/>
    <row r="2" spans="2:16" ht="5.0999999999999996" customHeight="1" thickTop="1">
      <c r="B2" s="40"/>
      <c r="C2" s="41"/>
      <c r="D2" s="42"/>
      <c r="E2" s="42"/>
      <c r="F2" s="42"/>
      <c r="G2" s="42"/>
      <c r="H2" s="42"/>
      <c r="I2" s="42"/>
      <c r="J2" s="42"/>
      <c r="K2" s="42"/>
      <c r="L2" s="42"/>
      <c r="M2" s="42"/>
      <c r="N2" s="42"/>
      <c r="O2" s="43"/>
      <c r="P2" s="44"/>
    </row>
    <row r="3" spans="2:16" ht="58.5">
      <c r="B3" s="46"/>
      <c r="C3" s="32"/>
      <c r="D3" s="33"/>
      <c r="E3" s="70"/>
      <c r="F3" s="70"/>
      <c r="G3" s="70"/>
      <c r="H3" s="70"/>
      <c r="I3" s="70"/>
      <c r="J3" s="70"/>
      <c r="K3" s="70"/>
      <c r="L3" s="34"/>
      <c r="M3" s="33"/>
      <c r="N3" s="33"/>
      <c r="O3" s="36"/>
      <c r="P3" s="44"/>
    </row>
    <row r="4" spans="2:16" ht="54.75">
      <c r="B4" s="47"/>
      <c r="C4" s="35"/>
      <c r="D4" s="35"/>
      <c r="E4" s="49"/>
      <c r="F4" s="49"/>
      <c r="G4" s="49"/>
      <c r="H4" s="52"/>
      <c r="I4" s="52" t="s">
        <v>8977</v>
      </c>
      <c r="J4" s="49"/>
      <c r="K4" s="49"/>
      <c r="L4" s="49"/>
      <c r="M4" s="35"/>
      <c r="N4" s="35"/>
      <c r="O4" s="56"/>
      <c r="P4" s="57"/>
    </row>
    <row r="5" spans="2:16" ht="58.5">
      <c r="B5" s="46"/>
      <c r="C5" s="32"/>
      <c r="D5" s="33"/>
      <c r="E5" s="51"/>
      <c r="F5" s="51"/>
      <c r="G5" s="51"/>
      <c r="H5" s="51"/>
      <c r="I5" s="50" t="s">
        <v>8978</v>
      </c>
      <c r="J5" s="51"/>
      <c r="K5" s="51"/>
      <c r="L5" s="51"/>
      <c r="M5" s="33"/>
      <c r="N5" s="33"/>
      <c r="O5" s="36"/>
      <c r="P5" s="44"/>
    </row>
    <row r="6" spans="2:16" ht="58.5">
      <c r="B6" s="46"/>
      <c r="C6" s="32"/>
      <c r="D6" s="33"/>
      <c r="E6" s="53"/>
      <c r="F6" s="53"/>
      <c r="G6" s="53"/>
      <c r="H6" s="53"/>
      <c r="I6" s="58" t="s">
        <v>8975</v>
      </c>
      <c r="J6" s="53"/>
      <c r="K6" s="53"/>
      <c r="L6" s="53"/>
      <c r="M6" s="33"/>
      <c r="N6" s="33"/>
      <c r="O6" s="36"/>
      <c r="P6" s="44"/>
    </row>
    <row r="7" spans="2:16" ht="58.5">
      <c r="B7" s="46"/>
      <c r="C7" s="32"/>
      <c r="D7" s="33"/>
      <c r="E7" s="53"/>
      <c r="F7" s="53"/>
      <c r="G7" s="53"/>
      <c r="H7" s="53"/>
      <c r="I7" s="59" t="s">
        <v>8947</v>
      </c>
      <c r="J7" s="53"/>
      <c r="K7" s="53"/>
      <c r="L7" s="53"/>
      <c r="M7" s="33"/>
      <c r="N7" s="33"/>
      <c r="O7" s="36"/>
      <c r="P7" s="44"/>
    </row>
    <row r="8" spans="2:16" ht="58.5">
      <c r="B8" s="46"/>
      <c r="C8" s="32"/>
      <c r="D8" s="33"/>
      <c r="E8" s="33"/>
      <c r="F8" s="33"/>
      <c r="G8" s="33"/>
      <c r="H8" s="33"/>
      <c r="I8" s="54"/>
      <c r="J8" s="33"/>
      <c r="K8" s="33"/>
      <c r="L8" s="33"/>
      <c r="M8" s="33"/>
      <c r="N8" s="33"/>
      <c r="O8" s="36"/>
      <c r="P8" s="44"/>
    </row>
    <row r="9" spans="2:16" ht="59.25" thickBot="1">
      <c r="B9" s="48"/>
      <c r="C9" s="37"/>
      <c r="D9" s="38"/>
      <c r="E9" s="38"/>
      <c r="F9" s="38"/>
      <c r="G9" s="38"/>
      <c r="H9" s="38"/>
      <c r="I9" s="38"/>
      <c r="J9" s="38"/>
      <c r="K9" s="38"/>
      <c r="L9" s="38"/>
      <c r="M9" s="38"/>
      <c r="N9" s="38"/>
      <c r="O9" s="39"/>
      <c r="P9" s="44"/>
    </row>
    <row r="10" spans="2:16" ht="5.0999999999999996" customHeight="1" thickTop="1">
      <c r="B10" s="44"/>
      <c r="C10" s="45"/>
      <c r="D10" s="44"/>
      <c r="E10" s="44"/>
      <c r="F10" s="44"/>
      <c r="G10" s="44"/>
      <c r="H10" s="44"/>
      <c r="I10" s="44"/>
      <c r="J10" s="44"/>
      <c r="K10" s="44"/>
      <c r="L10" s="44"/>
      <c r="M10" s="44"/>
      <c r="N10" s="44"/>
      <c r="O10" s="44"/>
      <c r="P10" s="44"/>
    </row>
  </sheetData>
  <mergeCells count="1">
    <mergeCell ref="E3:K3"/>
  </mergeCells>
  <phoneticPr fontId="5"/>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7525D-1DDB-4E07-895E-743ECCDD5124}">
  <sheetPr codeName="Sheet7"/>
  <dimension ref="B1:P10"/>
  <sheetViews>
    <sheetView workbookViewId="0">
      <selection activeCell="J8" sqref="J8"/>
    </sheetView>
  </sheetViews>
  <sheetFormatPr defaultRowHeight="18.75"/>
  <cols>
    <col min="2" max="2" width="0.875" customWidth="1"/>
    <col min="16" max="16" width="0.875" customWidth="1"/>
  </cols>
  <sheetData>
    <row r="1" spans="2:16" ht="19.5" thickBot="1"/>
    <row r="2" spans="2:16" ht="5.0999999999999996" customHeight="1" thickTop="1">
      <c r="B2" s="40"/>
      <c r="C2" s="41"/>
      <c r="D2" s="42"/>
      <c r="E2" s="42"/>
      <c r="F2" s="42"/>
      <c r="G2" s="42"/>
      <c r="H2" s="42"/>
      <c r="I2" s="42"/>
      <c r="J2" s="42"/>
      <c r="K2" s="42"/>
      <c r="L2" s="42"/>
      <c r="M2" s="42"/>
      <c r="N2" s="42"/>
      <c r="O2" s="43"/>
      <c r="P2" s="44"/>
    </row>
    <row r="3" spans="2:16" ht="58.5">
      <c r="B3" s="46"/>
      <c r="C3" s="71"/>
      <c r="D3" s="60"/>
      <c r="E3" s="72"/>
      <c r="F3" s="72"/>
      <c r="G3" s="72"/>
      <c r="H3" s="72"/>
      <c r="I3" s="72"/>
      <c r="J3" s="72"/>
      <c r="K3" s="72"/>
      <c r="L3" s="73"/>
      <c r="M3" s="60"/>
      <c r="N3" s="60"/>
      <c r="O3" s="36"/>
      <c r="P3" s="44"/>
    </row>
    <row r="4" spans="2:16" ht="54.75">
      <c r="B4" s="47"/>
      <c r="C4" s="74"/>
      <c r="D4" s="74"/>
      <c r="E4" s="75"/>
      <c r="F4" s="75"/>
      <c r="G4" s="75"/>
      <c r="H4" s="76"/>
      <c r="I4" s="76" t="s">
        <v>8972</v>
      </c>
      <c r="J4" s="75"/>
      <c r="K4" s="75"/>
      <c r="L4" s="75"/>
      <c r="M4" s="74"/>
      <c r="N4" s="74"/>
      <c r="O4" s="56"/>
      <c r="P4" s="57"/>
    </row>
    <row r="5" spans="2:16" ht="58.5">
      <c r="B5" s="46"/>
      <c r="C5" s="71"/>
      <c r="D5" s="60"/>
      <c r="E5" s="77"/>
      <c r="F5" s="77"/>
      <c r="G5" s="77"/>
      <c r="H5" s="77"/>
      <c r="I5" s="78" t="s">
        <v>8993</v>
      </c>
      <c r="J5" s="77"/>
      <c r="K5" s="77"/>
      <c r="L5" s="77"/>
      <c r="M5" s="60"/>
      <c r="N5" s="60"/>
      <c r="O5" s="36"/>
      <c r="P5" s="44"/>
    </row>
    <row r="6" spans="2:16" ht="58.5">
      <c r="B6" s="46"/>
      <c r="C6" s="71"/>
      <c r="D6" s="60"/>
      <c r="E6" s="79"/>
      <c r="F6" s="79"/>
      <c r="G6" s="79"/>
      <c r="H6" s="79"/>
      <c r="I6" s="65" t="s">
        <v>8973</v>
      </c>
      <c r="J6" s="79"/>
      <c r="K6" s="79"/>
      <c r="L6" s="79"/>
      <c r="M6" s="60"/>
      <c r="N6" s="60"/>
      <c r="O6" s="36"/>
      <c r="P6" s="44"/>
    </row>
    <row r="7" spans="2:16" ht="58.5">
      <c r="B7" s="46"/>
      <c r="C7" s="71"/>
      <c r="D7" s="60"/>
      <c r="E7" s="79"/>
      <c r="F7" s="79"/>
      <c r="G7" s="79"/>
      <c r="H7" s="79"/>
      <c r="I7" s="80" t="s">
        <v>8994</v>
      </c>
      <c r="J7" s="79"/>
      <c r="K7" s="79"/>
      <c r="L7" s="79"/>
      <c r="M7" s="60"/>
      <c r="N7" s="60"/>
      <c r="O7" s="36"/>
      <c r="P7" s="44"/>
    </row>
    <row r="8" spans="2:16" ht="58.5">
      <c r="B8" s="46"/>
      <c r="C8" s="71"/>
      <c r="D8" s="60"/>
      <c r="E8" s="60"/>
      <c r="F8" s="60"/>
      <c r="G8" s="60"/>
      <c r="H8" s="60"/>
      <c r="I8" s="65"/>
      <c r="J8" s="60"/>
      <c r="K8" s="60"/>
      <c r="L8" s="60"/>
      <c r="M8" s="60"/>
      <c r="N8" s="60"/>
      <c r="O8" s="36"/>
      <c r="P8" s="44"/>
    </row>
    <row r="9" spans="2:16" ht="59.25" thickBot="1">
      <c r="B9" s="48"/>
      <c r="C9" s="37"/>
      <c r="D9" s="38"/>
      <c r="E9" s="38"/>
      <c r="F9" s="38"/>
      <c r="G9" s="38"/>
      <c r="H9" s="38"/>
      <c r="I9" s="38"/>
      <c r="J9" s="38"/>
      <c r="K9" s="38"/>
      <c r="L9" s="38"/>
      <c r="M9" s="38"/>
      <c r="N9" s="38"/>
      <c r="O9" s="39"/>
      <c r="P9" s="44"/>
    </row>
    <row r="10" spans="2:16" ht="5.0999999999999996" customHeight="1" thickTop="1">
      <c r="B10" s="44"/>
      <c r="C10" s="45"/>
      <c r="D10" s="44"/>
      <c r="E10" s="44"/>
      <c r="F10" s="44"/>
      <c r="G10" s="44"/>
      <c r="H10" s="44"/>
      <c r="I10" s="44"/>
      <c r="J10" s="44"/>
      <c r="K10" s="44"/>
      <c r="L10" s="44"/>
      <c r="M10" s="44"/>
      <c r="N10" s="44"/>
      <c r="O10" s="44"/>
      <c r="P10" s="44"/>
    </row>
  </sheetData>
  <dataConsolidate/>
  <mergeCells count="1">
    <mergeCell ref="E3:K3"/>
  </mergeCells>
  <phoneticPr fontId="5"/>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D48FA8-B3DE-47FD-9B96-B5DB3F894364}">
  <sheetPr codeName="Sheet11"/>
  <dimension ref="B1:P10"/>
  <sheetViews>
    <sheetView workbookViewId="0">
      <selection activeCell="I6" sqref="I6"/>
    </sheetView>
  </sheetViews>
  <sheetFormatPr defaultRowHeight="18.75"/>
  <cols>
    <col min="2" max="2" width="0.875" customWidth="1"/>
    <col min="16" max="16" width="0.875" customWidth="1"/>
  </cols>
  <sheetData>
    <row r="1" spans="2:16" ht="19.5" thickBot="1"/>
    <row r="2" spans="2:16" ht="5.0999999999999996" customHeight="1" thickTop="1">
      <c r="B2" s="40"/>
      <c r="C2" s="41"/>
      <c r="D2" s="42"/>
      <c r="E2" s="42"/>
      <c r="F2" s="42"/>
      <c r="G2" s="42"/>
      <c r="H2" s="42"/>
      <c r="I2" s="42"/>
      <c r="J2" s="42"/>
      <c r="K2" s="42"/>
      <c r="L2" s="42"/>
      <c r="M2" s="42"/>
      <c r="N2" s="42"/>
      <c r="O2" s="43"/>
      <c r="P2" s="44"/>
    </row>
    <row r="3" spans="2:16" ht="58.5">
      <c r="B3" s="46"/>
      <c r="C3" s="71"/>
      <c r="D3" s="60"/>
      <c r="E3" s="72"/>
      <c r="F3" s="72"/>
      <c r="G3" s="72"/>
      <c r="H3" s="72"/>
      <c r="I3" s="72"/>
      <c r="J3" s="72"/>
      <c r="K3" s="72"/>
      <c r="L3" s="73"/>
      <c r="M3" s="60"/>
      <c r="N3" s="60"/>
      <c r="O3" s="36"/>
      <c r="P3" s="44"/>
    </row>
    <row r="4" spans="2:16" ht="54.75">
      <c r="B4" s="47"/>
      <c r="C4" s="74"/>
      <c r="D4" s="74"/>
      <c r="E4" s="75"/>
      <c r="F4" s="75"/>
      <c r="G4" s="75"/>
      <c r="H4" s="76"/>
      <c r="I4" s="76" t="s">
        <v>8995</v>
      </c>
      <c r="J4" s="75"/>
      <c r="K4" s="75"/>
      <c r="L4" s="75"/>
      <c r="M4" s="74"/>
      <c r="N4" s="74"/>
      <c r="O4" s="56"/>
      <c r="P4" s="57"/>
    </row>
    <row r="5" spans="2:16" ht="58.5">
      <c r="B5" s="46"/>
      <c r="C5" s="71"/>
      <c r="D5" s="60"/>
      <c r="E5" s="77"/>
      <c r="F5" s="77"/>
      <c r="G5" s="77"/>
      <c r="H5" s="77"/>
      <c r="I5" s="81"/>
      <c r="J5" s="77"/>
      <c r="K5" s="77"/>
      <c r="L5" s="77"/>
      <c r="M5" s="60"/>
      <c r="N5" s="60"/>
      <c r="O5" s="36"/>
      <c r="P5" s="44"/>
    </row>
    <row r="6" spans="2:16" ht="58.5">
      <c r="B6" s="46"/>
      <c r="C6" s="71"/>
      <c r="D6" s="60"/>
      <c r="E6" s="79"/>
      <c r="F6" s="79"/>
      <c r="G6" s="79"/>
      <c r="H6" s="79"/>
      <c r="I6" s="82" t="s">
        <v>8994</v>
      </c>
      <c r="J6" s="79"/>
      <c r="K6" s="79"/>
      <c r="L6" s="79"/>
      <c r="M6" s="60"/>
      <c r="N6" s="60"/>
      <c r="O6" s="36"/>
      <c r="P6" s="44"/>
    </row>
    <row r="7" spans="2:16" ht="58.5">
      <c r="B7" s="46"/>
      <c r="C7" s="71"/>
      <c r="D7" s="60"/>
      <c r="E7" s="79"/>
      <c r="F7" s="79"/>
      <c r="G7" s="79"/>
      <c r="H7" s="79"/>
      <c r="I7" s="83"/>
      <c r="J7" s="79"/>
      <c r="K7" s="79"/>
      <c r="L7" s="79"/>
      <c r="M7" s="60"/>
      <c r="N7" s="60"/>
      <c r="O7" s="36"/>
      <c r="P7" s="44"/>
    </row>
    <row r="8" spans="2:16" ht="58.5">
      <c r="B8" s="46"/>
      <c r="C8" s="71"/>
      <c r="D8" s="60"/>
      <c r="E8" s="60"/>
      <c r="F8" s="60"/>
      <c r="G8" s="60"/>
      <c r="H8" s="60"/>
      <c r="I8" s="83"/>
      <c r="J8" s="60"/>
      <c r="K8" s="60"/>
      <c r="L8" s="60"/>
      <c r="M8" s="60"/>
      <c r="N8" s="60"/>
      <c r="O8" s="36"/>
      <c r="P8" s="44"/>
    </row>
    <row r="9" spans="2:16" ht="59.25" thickBot="1">
      <c r="B9" s="48"/>
      <c r="C9" s="37"/>
      <c r="D9" s="38"/>
      <c r="E9" s="38"/>
      <c r="F9" s="38"/>
      <c r="G9" s="38"/>
      <c r="H9" s="38"/>
      <c r="I9" s="38"/>
      <c r="J9" s="38"/>
      <c r="K9" s="38"/>
      <c r="L9" s="38"/>
      <c r="M9" s="38"/>
      <c r="N9" s="38"/>
      <c r="O9" s="39"/>
      <c r="P9" s="44"/>
    </row>
    <row r="10" spans="2:16" ht="5.0999999999999996" customHeight="1" thickTop="1">
      <c r="B10" s="44"/>
      <c r="C10" s="45"/>
      <c r="D10" s="44"/>
      <c r="E10" s="44"/>
      <c r="F10" s="44"/>
      <c r="G10" s="44"/>
      <c r="H10" s="44"/>
      <c r="I10" s="44"/>
      <c r="J10" s="44"/>
      <c r="K10" s="44"/>
      <c r="L10" s="44"/>
      <c r="M10" s="44"/>
      <c r="N10" s="44"/>
      <c r="O10" s="44"/>
      <c r="P10" s="44"/>
    </row>
  </sheetData>
  <mergeCells count="1">
    <mergeCell ref="E3:K3"/>
  </mergeCells>
  <phoneticPr fontId="5"/>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Master</vt:lpstr>
      <vt:lpstr>Revision</vt:lpstr>
      <vt:lpstr>Configs</vt:lpstr>
      <vt:lpstr>Test</vt:lpstr>
      <vt:lpstr>2_Hans</vt:lpstr>
      <vt:lpstr>Kanji_2_HanViet</vt:lpstr>
      <vt:lpstr>fileinmau</vt:lpstr>
      <vt:lpstr>IMGTempWord</vt:lpstr>
      <vt:lpstr>IMGTempWord_bk</vt:lpstr>
      <vt:lpstr>IMGTempCover</vt:lpstr>
      <vt:lpstr>IMGTempWord_Tram_1</vt:lpstr>
      <vt:lpstr>IMGTempWord_Tram_2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Phan Thanh, Minh</dc:creator>
  <cp:lastModifiedBy>Phan Thanh, Minh</cp:lastModifiedBy>
  <cp:lastPrinted>2021-03-17T06:10:34Z</cp:lastPrinted>
  <dcterms:created xsi:type="dcterms:W3CDTF">2020-04-27T01:32:13Z</dcterms:created>
  <dcterms:modified xsi:type="dcterms:W3CDTF">2022-04-19T02:51:12Z</dcterms:modified>
</cp:coreProperties>
</file>